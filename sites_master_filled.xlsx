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345" windowHeight="12375" tabRatio="545" firstSheet="1" activeTab="2" autoFilterDateGrouping="1"/>
  </bookViews>
  <sheets>
    <sheet name="Pilot站点" sheetId="1" state="hidden" r:id="rId1"/>
    <sheet name="Verson Update" sheetId="2" state="visible" r:id="rId2"/>
    <sheet name="RF Parameter" sheetId="3" state="visible" r:id="rId3"/>
    <sheet name="2G" sheetId="4" state="visible" r:id="rId4"/>
    <sheet name="3G" sheetId="5" state="visible" r:id="rId5"/>
    <sheet name="4G" sheetId="6" state="visible" r:id="rId6"/>
    <sheet name="5G" sheetId="7" state="visible" r:id="rId7"/>
    <sheet name="Comment" sheetId="8" state="visible" r:id="rId8"/>
    <sheet name="NBIOT" sheetId="9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0" hidden="1">'Pilot站点'!$A$4:$AE$24</definedName>
    <definedName name="_xlnm._FilterDatabase" localSheetId="2" hidden="1">'RF Parameter'!$A$1:$AL$1444</definedName>
    <definedName name="_xlnm._FilterDatabase" localSheetId="3" hidden="1">'2G'!$A$1:$AA$16</definedName>
    <definedName name="_xlnm._FilterDatabase" localSheetId="4" hidden="1">'3G'!$A$1:$AB$16</definedName>
    <definedName name="_xlnm._FilterDatabase" localSheetId="5" hidden="1">'4G'!$A$1:$AH$85</definedName>
    <definedName name="_xlnm._FilterDatabase" localSheetId="8" hidden="1">'NBIOT'!$A$1:$Y$2</definedName>
  </definedNames>
  <calcPr calcId="144525" fullCalcOnLoad="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_ * #,##0_ ;_ * \-#,##0_ ;_ * &quot;-&quot;_ ;_ @_ "/>
    <numFmt numFmtId="166" formatCode="_ &quot;￥&quot;* #,##0_ ;_ &quot;￥&quot;* \-#,##0_ ;_ &quot;￥&quot;* &quot;-&quot;_ ;_ @_ "/>
    <numFmt numFmtId="167" formatCode="_ &quot;￥&quot;* #,##0.00_ ;_ &quot;￥&quot;* \-#,##0.00_ ;_ &quot;￥&quot;* &quot;-&quot;??_ ;_ @_ "/>
    <numFmt numFmtId="168" formatCode="[$-1010409]d\ mmm\ yy;@"/>
    <numFmt numFmtId="169" formatCode="[$-409]d/mmm/yy;@"/>
  </numFmts>
  <fonts count="44">
    <font>
      <name val="Calibri"/>
      <charset val="134"/>
      <color theme="1"/>
      <sz val="11"/>
      <scheme val="minor"/>
    </font>
    <font>
      <name val="等线"/>
      <charset val="134"/>
      <color theme="1"/>
      <sz val="10"/>
    </font>
    <font>
      <name val="等线"/>
      <charset val="134"/>
      <sz val="10"/>
    </font>
    <font>
      <name val="等线"/>
      <charset val="134"/>
      <b val="1"/>
      <color theme="1"/>
      <sz val="10"/>
    </font>
    <font>
      <name val="等线"/>
      <charset val="204"/>
      <color theme="1"/>
      <sz val="10"/>
    </font>
    <font>
      <name val="等线"/>
      <charset val="204"/>
      <color rgb="FF000000"/>
      <sz val="10"/>
    </font>
    <font>
      <name val="等线"/>
      <charset val="134"/>
      <color rgb="FF000000"/>
      <sz val="10"/>
    </font>
    <font>
      <name val="Calibri"/>
      <charset val="134"/>
      <color theme="1"/>
      <sz val="10"/>
      <scheme val="minor"/>
    </font>
    <font>
      <name val="等线"/>
      <charset val="134"/>
      <b val="1"/>
      <sz val="10"/>
    </font>
    <font>
      <name val="Barlow"/>
      <charset val="134"/>
      <color rgb="FF000000"/>
      <sz val="10"/>
    </font>
    <font>
      <name val="Arial"/>
      <charset val="134"/>
      <b val="1"/>
      <sz val="8"/>
    </font>
    <font>
      <name val="等线"/>
      <charset val="204"/>
      <b val="1"/>
      <sz val="8"/>
    </font>
    <font>
      <name val="等线"/>
      <charset val="204"/>
      <color theme="1"/>
      <sz val="8"/>
    </font>
    <font>
      <name val="等线"/>
      <charset val="204"/>
      <b val="1"/>
      <sz val="10"/>
    </font>
    <font>
      <name val="等线"/>
      <charset val="134"/>
      <color rgb="FF000000"/>
      <sz val="10.5"/>
    </font>
    <font>
      <name val="等线"/>
      <charset val="134"/>
      <color theme="1"/>
      <sz val="11"/>
    </font>
    <font>
      <name val="等线"/>
      <charset val="134"/>
      <color rgb="FF000000"/>
      <sz val="12"/>
    </font>
    <font>
      <name val="等线"/>
      <charset val="134"/>
      <b val="1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theme="0"/>
      <sz val="11"/>
      <scheme val="minor"/>
    </font>
    <font>
      <name val="Arial"/>
      <charset val="134"/>
      <color indexed="8"/>
      <sz val="10"/>
    </font>
    <font>
      <name val="Calibri"/>
      <charset val="0"/>
      <color rgb="FF9C0006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theme="1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Times New Roman"/>
      <charset val="134"/>
      <color theme="1"/>
      <sz val="11"/>
    </font>
    <font>
      <name val="Calibri"/>
      <charset val="0"/>
      <b val="1"/>
      <color rgb="FF3F3F3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indexed="8"/>
      <sz val="12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F0000"/>
      <sz val="11"/>
      <scheme val="minor"/>
    </font>
    <font>
      <name val="宋体"/>
      <charset val="134"/>
      <sz val="12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204"/>
      <color theme="1"/>
      <sz val="10"/>
    </font>
    <font>
      <name val="Calibri"/>
      <charset val="204"/>
      <color theme="1"/>
      <sz val="11"/>
      <scheme val="minor"/>
    </font>
    <font>
      <name val="Arial"/>
      <charset val="134"/>
      <sz val="10"/>
    </font>
  </fonts>
  <fills count="4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theme="4" tint="0.799981688894314"/>
      </patternFill>
    </fill>
    <fill>
      <patternFill patternType="solid">
        <fgColor rgb="FF00B0F0"/>
        <bgColor theme="4" tint="0.799981688894314"/>
      </patternFill>
    </fill>
    <fill>
      <patternFill patternType="solid">
        <fgColor theme="7"/>
        <bgColor theme="4" tint="0.79998168889431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4">
    <xf numFmtId="0" fontId="0" fillId="0" borderId="0" applyAlignment="1">
      <alignment vertical="center"/>
    </xf>
    <xf numFmtId="0" fontId="23" fillId="26" borderId="0" applyAlignment="1">
      <alignment vertical="center"/>
    </xf>
    <xf numFmtId="164" fontId="7" fillId="0" borderId="0" applyAlignment="1">
      <alignment vertical="center"/>
    </xf>
    <xf numFmtId="165" fontId="7" fillId="0" borderId="0" applyAlignment="1">
      <alignment vertical="center"/>
    </xf>
    <xf numFmtId="166" fontId="7" fillId="0" borderId="0" applyAlignment="1">
      <alignment vertical="center"/>
    </xf>
    <xf numFmtId="167" fontId="7" fillId="0" borderId="0" applyAlignment="1">
      <alignment vertical="center"/>
    </xf>
    <xf numFmtId="9" fontId="7" fillId="0" borderId="0" applyAlignment="1">
      <alignment vertical="center"/>
    </xf>
    <xf numFmtId="0" fontId="25" fillId="21" borderId="17" applyAlignment="1">
      <alignment vertical="center"/>
    </xf>
    <xf numFmtId="0" fontId="22" fillId="0" borderId="16" applyAlignment="1">
      <alignment vertical="center"/>
    </xf>
    <xf numFmtId="0" fontId="7" fillId="17" borderId="15" applyAlignment="1">
      <alignment vertical="center"/>
    </xf>
    <xf numFmtId="0" fontId="18" fillId="0" borderId="0" applyAlignment="1">
      <alignment vertical="center"/>
    </xf>
    <xf numFmtId="0" fontId="0" fillId="0" borderId="0"/>
    <xf numFmtId="0" fontId="19" fillId="30" borderId="0" applyAlignment="1">
      <alignment vertical="center"/>
    </xf>
    <xf numFmtId="0" fontId="32" fillId="0" borderId="0" applyAlignment="1">
      <alignment vertical="center"/>
    </xf>
    <xf numFmtId="0" fontId="23" fillId="34" borderId="0" applyAlignment="1">
      <alignment vertical="center"/>
    </xf>
    <xf numFmtId="0" fontId="36" fillId="0" borderId="0" applyAlignment="1">
      <alignment vertical="center"/>
    </xf>
    <xf numFmtId="0" fontId="37" fillId="0" borderId="0"/>
    <xf numFmtId="0" fontId="23" fillId="39" borderId="0" applyAlignment="1">
      <alignment vertical="center"/>
    </xf>
    <xf numFmtId="0" fontId="35" fillId="0" borderId="0" applyAlignment="1">
      <alignment vertical="center"/>
    </xf>
    <xf numFmtId="0" fontId="24" fillId="0" borderId="0" applyAlignment="1">
      <alignment vertical="center"/>
    </xf>
    <xf numFmtId="0" fontId="29" fillId="0" borderId="16" applyAlignment="1">
      <alignment vertical="center"/>
    </xf>
    <xf numFmtId="0" fontId="39" fillId="0" borderId="22" applyAlignment="1">
      <alignment vertical="center"/>
    </xf>
    <xf numFmtId="0" fontId="39" fillId="0" borderId="0" applyAlignment="1">
      <alignment vertical="center"/>
    </xf>
    <xf numFmtId="0" fontId="27" fillId="25" borderId="18" applyAlignment="1">
      <alignment vertical="center"/>
    </xf>
    <xf numFmtId="168" fontId="37" fillId="0" borderId="0" applyAlignment="1">
      <alignment vertical="center"/>
    </xf>
    <xf numFmtId="0" fontId="0" fillId="0" borderId="0"/>
    <xf numFmtId="0" fontId="19" fillId="20" borderId="0" applyAlignment="1">
      <alignment vertical="center"/>
    </xf>
    <xf numFmtId="0" fontId="26" fillId="24" borderId="0" applyAlignment="1">
      <alignment vertical="center"/>
    </xf>
    <xf numFmtId="0" fontId="31" fillId="33" borderId="20" applyAlignment="1">
      <alignment vertical="center"/>
    </xf>
    <xf numFmtId="0" fontId="23" fillId="32" borderId="0" applyAlignment="1">
      <alignment vertical="center"/>
    </xf>
    <xf numFmtId="0" fontId="38" fillId="33" borderId="18" applyAlignment="1">
      <alignment vertical="center"/>
    </xf>
    <xf numFmtId="0" fontId="28" fillId="0" borderId="19" applyAlignment="1">
      <alignment vertical="center"/>
    </xf>
    <xf numFmtId="0" fontId="40" fillId="0" borderId="21" applyAlignment="1">
      <alignment vertical="center"/>
    </xf>
    <xf numFmtId="0" fontId="0" fillId="0" borderId="0"/>
    <xf numFmtId="0" fontId="21" fillId="16" borderId="0" applyAlignment="1">
      <alignment vertical="center"/>
    </xf>
    <xf numFmtId="0" fontId="20" fillId="0" borderId="0"/>
    <xf numFmtId="0" fontId="34" fillId="35" borderId="0" applyAlignment="1">
      <alignment vertical="center"/>
    </xf>
    <xf numFmtId="0" fontId="19" fillId="29" borderId="0" applyAlignment="1">
      <alignment vertical="center"/>
    </xf>
    <xf numFmtId="0" fontId="33" fillId="0" borderId="0"/>
    <xf numFmtId="0" fontId="23" fillId="23" borderId="0" applyAlignment="1">
      <alignment vertical="center"/>
    </xf>
    <xf numFmtId="0" fontId="19" fillId="15" borderId="0" applyAlignment="1">
      <alignment vertical="center"/>
    </xf>
    <xf numFmtId="0" fontId="19" fillId="4" borderId="0" applyAlignment="1">
      <alignment vertical="center"/>
    </xf>
    <xf numFmtId="0" fontId="23" fillId="31" borderId="0" applyAlignment="1">
      <alignment vertical="center"/>
    </xf>
    <xf numFmtId="0" fontId="30" fillId="0" borderId="0"/>
    <xf numFmtId="0" fontId="23" fillId="43" borderId="0" applyAlignment="1">
      <alignment vertical="center"/>
    </xf>
    <xf numFmtId="0" fontId="19" fillId="28" borderId="0" applyAlignment="1">
      <alignment vertical="center"/>
    </xf>
    <xf numFmtId="0" fontId="42" fillId="0" borderId="0"/>
    <xf numFmtId="0" fontId="19" fillId="14" borderId="0" applyAlignment="1">
      <alignment vertical="center"/>
    </xf>
    <xf numFmtId="0" fontId="23" fillId="27" borderId="0" applyAlignment="1">
      <alignment vertical="center"/>
    </xf>
    <xf numFmtId="0" fontId="19" fillId="19" borderId="0" applyAlignment="1">
      <alignment vertical="center"/>
    </xf>
    <xf numFmtId="0" fontId="23" fillId="18" borderId="0" applyAlignment="1">
      <alignment vertical="center"/>
    </xf>
    <xf numFmtId="169" fontId="41" fillId="0" borderId="0"/>
    <xf numFmtId="0" fontId="23" fillId="42" borderId="0" applyAlignment="1">
      <alignment vertical="center"/>
    </xf>
    <xf numFmtId="0" fontId="43" fillId="0" borderId="0"/>
    <xf numFmtId="0" fontId="19" fillId="41" borderId="0" applyAlignment="1">
      <alignment vertical="center"/>
    </xf>
    <xf numFmtId="0" fontId="37" fillId="0" borderId="0"/>
    <xf numFmtId="0" fontId="23" fillId="38" borderId="0" applyAlignment="1">
      <alignment vertical="center"/>
    </xf>
    <xf numFmtId="0" fontId="0" fillId="0" borderId="0"/>
    <xf numFmtId="0" fontId="19" fillId="37" borderId="0" applyAlignment="1">
      <alignment vertical="center"/>
    </xf>
    <xf numFmtId="0" fontId="19" fillId="40" borderId="0" applyAlignment="1">
      <alignment vertical="center"/>
    </xf>
    <xf numFmtId="0" fontId="23" fillId="22" borderId="0" applyAlignment="1">
      <alignment vertical="center"/>
    </xf>
    <xf numFmtId="0" fontId="19" fillId="36" borderId="0" applyAlignment="1">
      <alignment vertical="center"/>
    </xf>
    <xf numFmtId="0" fontId="0" fillId="0" borderId="0"/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24">
      <alignment horizontal="center" vertical="center" wrapText="1"/>
    </xf>
    <xf numFmtId="0" fontId="3" fillId="6" borderId="1" applyAlignment="1" pivotButton="0" quotePrefix="0" xfId="24">
      <alignment horizontal="center" vertical="center" wrapText="1"/>
    </xf>
    <xf numFmtId="49" fontId="1" fillId="0" borderId="0" applyAlignment="1" pivotButton="0" quotePrefix="0" xfId="0">
      <alignment horizontal="center"/>
    </xf>
    <xf numFmtId="0" fontId="5" fillId="0" borderId="0" pivotButton="0" quotePrefix="0" xfId="0"/>
    <xf numFmtId="0" fontId="6" fillId="7" borderId="0" applyAlignment="1" pivotButton="0" quotePrefix="0" xfId="0">
      <alignment wrapText="1"/>
    </xf>
    <xf numFmtId="0" fontId="6" fillId="7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24">
      <alignment horizontal="center" vertical="center" wrapText="1"/>
    </xf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/>
    </xf>
    <xf numFmtId="0" fontId="8" fillId="2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8" fillId="0" borderId="0" applyAlignment="1" pivotButton="0" quotePrefix="0" xfId="24">
      <alignment horizontal="left" vertical="center" wrapText="1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 wrapText="1"/>
    </xf>
    <xf numFmtId="0" fontId="8" fillId="6" borderId="0" applyAlignment="1" pivotButton="0" quotePrefix="0" xfId="24">
      <alignment horizontal="left" vertical="center" wrapText="1"/>
    </xf>
    <xf numFmtId="0" fontId="2" fillId="5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0" fillId="6" borderId="1" applyAlignment="1" pivotButton="0" quotePrefix="0" xfId="55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/>
    </xf>
    <xf numFmtId="0" fontId="3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24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/>
    </xf>
    <xf numFmtId="0" fontId="13" fillId="2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horizontal="left" vertical="center" wrapText="1"/>
    </xf>
    <xf numFmtId="49" fontId="13" fillId="8" borderId="0" applyAlignment="1" pivotButton="0" quotePrefix="0" xfId="0">
      <alignment horizontal="left" vertical="center" wrapText="1"/>
    </xf>
    <xf numFmtId="49" fontId="13" fillId="3" borderId="0" applyAlignment="1" pivotButton="0" quotePrefix="0" xfId="0">
      <alignment horizontal="left" vertical="center" wrapText="1"/>
    </xf>
    <xf numFmtId="49" fontId="13" fillId="6" borderId="0" applyAlignment="1" pivotButton="0" quotePrefix="0" xfId="0">
      <alignment horizontal="left" vertical="center" wrapText="1"/>
    </xf>
    <xf numFmtId="49" fontId="13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58" fontId="2" fillId="0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2" fillId="3" borderId="1" pivotButton="0" quotePrefix="0" xfId="0"/>
    <xf numFmtId="0" fontId="1" fillId="3" borderId="1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16" fillId="7" borderId="7" applyAlignment="1" pivotButton="0" quotePrefix="0" xfId="0">
      <alignment horizontal="center" vertical="center" wrapText="1"/>
    </xf>
    <xf numFmtId="9" fontId="16" fillId="7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</cellXfs>
  <cellStyles count="64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Normal 5" xfId="11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常规 2" xfId="16"/>
    <cellStyle name="40% - Accent2" xfId="17" builtinId="35"/>
    <cellStyle name="Title" xfId="18" builtinId="15"/>
    <cellStyle name="CExplanatory Text" xfId="19" builtinId="53"/>
    <cellStyle name="Heading 1" xfId="20" builtinId="16"/>
    <cellStyle name="Heading 3" xfId="21" builtinId="18"/>
    <cellStyle name="Heading 4" xfId="22" builtinId="19"/>
    <cellStyle name="Input" xfId="23" builtinId="20"/>
    <cellStyle name="Normal 4 20 2" xfId="24"/>
    <cellStyle name="Normal 4" xfId="25"/>
    <cellStyle name="60% - Accent3" xfId="26" builtinId="40"/>
    <cellStyle name="Good" xfId="27" builtinId="26"/>
    <cellStyle name="Output" xfId="28" builtinId="21"/>
    <cellStyle name="20% - Accent1" xfId="29" builtinId="30"/>
    <cellStyle name="Calculation" xfId="30" builtinId="22"/>
    <cellStyle name="Linked Cell" xfId="31" builtinId="24"/>
    <cellStyle name="Total" xfId="32" builtinId="25"/>
    <cellStyle name="Normal 4 2" xfId="33"/>
    <cellStyle name="Bad" xfId="34" builtinId="27"/>
    <cellStyle name="Normal_4G" xfId="35"/>
    <cellStyle name="Neutral" xfId="36" builtinId="28"/>
    <cellStyle name="Accent1" xfId="37" builtinId="29"/>
    <cellStyle name="Normal 2" xfId="38"/>
    <cellStyle name="20% - Accent5" xfId="39" builtinId="46"/>
    <cellStyle name="60% - Accent1" xfId="40" builtinId="32"/>
    <cellStyle name="Accent2" xfId="41" builtinId="33"/>
    <cellStyle name="20% - Accent2" xfId="42" builtinId="34"/>
    <cellStyle name="Normal 3" xfId="43"/>
    <cellStyle name="20% - Accent6" xfId="44" builtinId="50"/>
    <cellStyle name="60% - Accent2" xfId="45" builtinId="36"/>
    <cellStyle name="Обычный 3" xfId="46"/>
    <cellStyle name="Accent3" xfId="47" builtinId="37"/>
    <cellStyle name="20% - Accent3" xfId="48" builtinId="38"/>
    <cellStyle name="Accent4" xfId="49" builtinId="41"/>
    <cellStyle name="20% - Accent4" xfId="50" builtinId="42"/>
    <cellStyle name="常规 4" xfId="51"/>
    <cellStyle name="40% - Accent4" xfId="52" builtinId="43"/>
    <cellStyle name="Normal 28" xfId="53"/>
    <cellStyle name="Accent5" xfId="54" builtinId="45"/>
    <cellStyle name="常规 5" xfId="55"/>
    <cellStyle name="40% - Accent5" xfId="56" builtinId="47"/>
    <cellStyle name="Normal 6" xfId="57"/>
    <cellStyle name="60% - Accent5" xfId="58" builtinId="48"/>
    <cellStyle name="Accent6" xfId="59" builtinId="49"/>
    <cellStyle name="40% - Accent6" xfId="60" builtinId="51"/>
    <cellStyle name="60% - Accent6" xfId="61" builtinId="52"/>
    <cellStyle name="Normal 2 2" xfId="62"/>
    <cellStyle name="Normal 2 3" xfId="6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externalLink" Target="/xl/externalLinks/externalLink2.xml" Id="rId11" /><Relationship Type="http://schemas.openxmlformats.org/officeDocument/2006/relationships/externalLink" Target="/xl/externalLinks/externalLink3.xml" Id="rId12" /><Relationship Type="http://schemas.openxmlformats.org/officeDocument/2006/relationships/externalLink" Target="/xl/externalLinks/externalLink4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&#24037;&#20316;\2026\&#26031;&#37324;&#20848;&#21345;\mobitel\&#29616;&#32593;&#24037;&#21442;\2G,4G%20Parameters%20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&#24037;&#20316;\2026\&#26031;&#37324;&#20848;&#21345;\mobitel\Mobitel%20PO%201%20BOQ%20%20V10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&#22521;&#35757;&#35838;&#31243;\&#32593;&#35268;\&#24037;&#20855;\&#31449;&#38388;&#36317;\&#32456;&#26497;&#37051;&#31449;&#32463;&#32428;&#24230;&#35745;&#31639;&#24037;&#20855;v2.2.7(&#21407;&#29256;&#21247;&#29992;)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&#24037;&#20316;\2026\&#26031;&#37324;&#20848;&#21345;\mobitel\&#22825;&#32447;&#26367;&#25442;\&#31449;&#28857;&#22825;&#32447;&#36879;&#35270;&#34920;_&#25353;&#25159;&#21306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4G Parameters"/>
      <sheetName val="2G Parameters"/>
      <sheetName val="导出计数_列E"/>
      <sheetName val="E-Tilt Details"/>
    </sheetNames>
    <sheetDataSet>
      <sheetData sheetId="0"/>
      <sheetData sheetId="1">
        <row r="1">
          <cell r="E1" t="str">
            <v>Site ID</v>
          </cell>
        </row>
        <row r="1">
          <cell r="G1" t="str">
            <v>Cell Name</v>
          </cell>
        </row>
        <row r="1">
          <cell r="I1" t="str">
            <v>longitude</v>
          </cell>
          <cell r="J1" t="str">
            <v>latitude</v>
          </cell>
        </row>
        <row r="1">
          <cell r="AA1" t="str">
            <v>Tx &amp; Rx mode</v>
          </cell>
        </row>
        <row r="2">
          <cell r="E2" t="str">
            <v>GMPIT1</v>
          </cell>
        </row>
        <row r="2">
          <cell r="G2" t="str">
            <v>GMPIT1-M-L85-C1</v>
          </cell>
        </row>
        <row r="2">
          <cell r="I2">
            <v>79.8206</v>
          </cell>
          <cell r="J2">
            <v>7.19843</v>
          </cell>
        </row>
        <row r="2">
          <cell r="AA2" t="str">
            <v>2T2R</v>
          </cell>
        </row>
        <row r="3">
          <cell r="E3" t="str">
            <v>GMPIT1</v>
          </cell>
        </row>
        <row r="3">
          <cell r="G3" t="str">
            <v>GMPIT1-M-L85-B1</v>
          </cell>
        </row>
        <row r="3">
          <cell r="I3">
            <v>79.8206</v>
          </cell>
          <cell r="J3">
            <v>7.19843</v>
          </cell>
        </row>
        <row r="3">
          <cell r="AA3" t="str">
            <v>2T2R</v>
          </cell>
        </row>
        <row r="4">
          <cell r="E4" t="str">
            <v>GMPIT1</v>
          </cell>
        </row>
        <row r="4">
          <cell r="G4" t="str">
            <v>GMPIT1-M-L85-A1</v>
          </cell>
        </row>
        <row r="4">
          <cell r="I4">
            <v>79.8206</v>
          </cell>
          <cell r="J4">
            <v>7.19843</v>
          </cell>
        </row>
        <row r="4">
          <cell r="AA4" t="str">
            <v>2T2R</v>
          </cell>
        </row>
        <row r="5">
          <cell r="E5" t="str">
            <v>GMPIT1</v>
          </cell>
        </row>
        <row r="5">
          <cell r="G5" t="str">
            <v>GMPIT1-M-L18-C1</v>
          </cell>
        </row>
        <row r="5">
          <cell r="I5">
            <v>79.8206</v>
          </cell>
          <cell r="J5">
            <v>7.19843</v>
          </cell>
        </row>
        <row r="5">
          <cell r="AA5" t="str">
            <v>4T4R</v>
          </cell>
        </row>
        <row r="6">
          <cell r="E6" t="str">
            <v>GMPIT1</v>
          </cell>
        </row>
        <row r="6">
          <cell r="G6" t="str">
            <v>GMPIT1-M-L21-C2</v>
          </cell>
        </row>
        <row r="6">
          <cell r="I6">
            <v>79.8206</v>
          </cell>
          <cell r="J6">
            <v>7.19843</v>
          </cell>
        </row>
        <row r="6">
          <cell r="AA6" t="str">
            <v>4T4R</v>
          </cell>
        </row>
        <row r="7">
          <cell r="E7" t="str">
            <v>GMPIT1</v>
          </cell>
        </row>
        <row r="7">
          <cell r="G7" t="str">
            <v>GMPIT1-M-L21-B2</v>
          </cell>
        </row>
        <row r="7">
          <cell r="I7">
            <v>79.8206</v>
          </cell>
          <cell r="J7">
            <v>7.19843</v>
          </cell>
        </row>
        <row r="7">
          <cell r="AA7" t="str">
            <v>2T2R</v>
          </cell>
        </row>
        <row r="8">
          <cell r="E8" t="str">
            <v>GMPIT1</v>
          </cell>
        </row>
        <row r="8">
          <cell r="G8" t="str">
            <v>GMPIT1-M-L21-A2</v>
          </cell>
        </row>
        <row r="8">
          <cell r="I8">
            <v>79.8206</v>
          </cell>
          <cell r="J8">
            <v>7.19843</v>
          </cell>
        </row>
        <row r="8">
          <cell r="AA8" t="str">
            <v>2T2R</v>
          </cell>
        </row>
        <row r="9">
          <cell r="E9" t="str">
            <v>GMPIT1</v>
          </cell>
        </row>
        <row r="9">
          <cell r="G9" t="str">
            <v>GMPIT1-M-L18-H1</v>
          </cell>
        </row>
        <row r="9">
          <cell r="I9">
            <v>79.8206</v>
          </cell>
          <cell r="J9">
            <v>7.19843</v>
          </cell>
        </row>
        <row r="9">
          <cell r="AA9" t="str">
            <v>2T2R</v>
          </cell>
        </row>
        <row r="10">
          <cell r="E10" t="str">
            <v>GMPIT1</v>
          </cell>
        </row>
        <row r="10">
          <cell r="G10" t="str">
            <v>GMPIT1-M-L21-C1</v>
          </cell>
        </row>
        <row r="10">
          <cell r="I10">
            <v>79.8206</v>
          </cell>
          <cell r="J10">
            <v>7.19843</v>
          </cell>
        </row>
        <row r="10">
          <cell r="AA10" t="str">
            <v>4T4R</v>
          </cell>
        </row>
        <row r="11">
          <cell r="E11" t="str">
            <v>GMPIT1</v>
          </cell>
        </row>
        <row r="11">
          <cell r="G11" t="str">
            <v>GMPIT1I</v>
          </cell>
        </row>
        <row r="11">
          <cell r="I11">
            <v>79.8206</v>
          </cell>
          <cell r="J11">
            <v>7.19843</v>
          </cell>
        </row>
        <row r="11">
          <cell r="AA11" t="str">
            <v>4T4R</v>
          </cell>
        </row>
        <row r="12">
          <cell r="E12" t="str">
            <v>GMPIT1</v>
          </cell>
        </row>
        <row r="12">
          <cell r="G12" t="str">
            <v>GMPIT1H</v>
          </cell>
        </row>
        <row r="12">
          <cell r="I12">
            <v>79.8206</v>
          </cell>
          <cell r="J12">
            <v>7.19843</v>
          </cell>
        </row>
        <row r="12">
          <cell r="AA12" t="str">
            <v>2T2R</v>
          </cell>
        </row>
        <row r="13">
          <cell r="E13" t="str">
            <v>GMPIT1</v>
          </cell>
        </row>
        <row r="13">
          <cell r="G13" t="str">
            <v>GMPIT1G</v>
          </cell>
        </row>
        <row r="13">
          <cell r="I13">
            <v>79.8206</v>
          </cell>
          <cell r="J13">
            <v>7.19843</v>
          </cell>
        </row>
        <row r="13">
          <cell r="AA13" t="str">
            <v>4T4R</v>
          </cell>
        </row>
        <row r="14">
          <cell r="E14" t="str">
            <v>LGM030</v>
          </cell>
        </row>
        <row r="14">
          <cell r="G14" t="str">
            <v>LGM030I</v>
          </cell>
        </row>
        <row r="14">
          <cell r="I14">
            <v>79.823185</v>
          </cell>
          <cell r="J14">
            <v>7.207014</v>
          </cell>
        </row>
        <row r="14">
          <cell r="AA14" t="str">
            <v>2T2R</v>
          </cell>
        </row>
        <row r="15">
          <cell r="E15" t="str">
            <v>LGM030</v>
          </cell>
        </row>
        <row r="15">
          <cell r="G15" t="str">
            <v>LGM030H</v>
          </cell>
        </row>
        <row r="15">
          <cell r="I15">
            <v>79.823185</v>
          </cell>
          <cell r="J15">
            <v>7.207014</v>
          </cell>
        </row>
        <row r="15">
          <cell r="AA15" t="str">
            <v>2T2R</v>
          </cell>
        </row>
        <row r="16">
          <cell r="E16" t="str">
            <v>LGM030</v>
          </cell>
        </row>
        <row r="16">
          <cell r="G16" t="str">
            <v>LGM030G</v>
          </cell>
        </row>
        <row r="16">
          <cell r="I16">
            <v>79.823185</v>
          </cell>
          <cell r="J16">
            <v>7.207014</v>
          </cell>
        </row>
        <row r="16">
          <cell r="AA16" t="str">
            <v>2T2R</v>
          </cell>
        </row>
        <row r="17">
          <cell r="E17" t="str">
            <v>GMTAL1</v>
          </cell>
        </row>
        <row r="17">
          <cell r="G17" t="str">
            <v>GMTAL1I</v>
          </cell>
        </row>
        <row r="17">
          <cell r="I17">
            <v>79.825579</v>
          </cell>
          <cell r="J17">
            <v>7.171009</v>
          </cell>
        </row>
        <row r="17">
          <cell r="AA17" t="str">
            <v>1T2R</v>
          </cell>
        </row>
        <row r="18">
          <cell r="E18" t="str">
            <v>GMTAL1</v>
          </cell>
        </row>
        <row r="18">
          <cell r="G18" t="str">
            <v>GMTAL1H</v>
          </cell>
        </row>
        <row r="18">
          <cell r="I18">
            <v>79.825579</v>
          </cell>
          <cell r="J18">
            <v>7.171009</v>
          </cell>
        </row>
        <row r="18">
          <cell r="AA18" t="str">
            <v>2T2R</v>
          </cell>
        </row>
        <row r="19">
          <cell r="E19" t="str">
            <v>GMTAL1</v>
          </cell>
        </row>
        <row r="19">
          <cell r="G19" t="str">
            <v>GMTAL1G</v>
          </cell>
        </row>
        <row r="19">
          <cell r="I19">
            <v>79.825579</v>
          </cell>
          <cell r="J19">
            <v>7.171009</v>
          </cell>
        </row>
        <row r="19">
          <cell r="AA19" t="str">
            <v>2T2R</v>
          </cell>
        </row>
        <row r="20">
          <cell r="E20" t="str">
            <v>GMTAL1</v>
          </cell>
        </row>
        <row r="20">
          <cell r="G20" t="str">
            <v>GMTAL1-M-L85-A1</v>
          </cell>
        </row>
        <row r="20">
          <cell r="I20">
            <v>79.825579</v>
          </cell>
          <cell r="J20">
            <v>7.171009</v>
          </cell>
        </row>
        <row r="20">
          <cell r="AA20" t="str">
            <v>2T2R</v>
          </cell>
        </row>
        <row r="21">
          <cell r="E21" t="str">
            <v>GMTAL1</v>
          </cell>
        </row>
        <row r="21">
          <cell r="G21" t="str">
            <v>GMTAL1-M-L85-B1</v>
          </cell>
        </row>
        <row r="21">
          <cell r="I21">
            <v>79.825579</v>
          </cell>
          <cell r="J21">
            <v>7.171009</v>
          </cell>
        </row>
        <row r="21">
          <cell r="AA21" t="str">
            <v>2T2R</v>
          </cell>
        </row>
        <row r="22">
          <cell r="E22" t="str">
            <v>IBJTL1</v>
          </cell>
        </row>
        <row r="22">
          <cell r="G22" t="str">
            <v>IBJTL1I</v>
          </cell>
        </row>
        <row r="22">
          <cell r="I22">
            <v>79.8259</v>
          </cell>
          <cell r="J22">
            <v>7.168</v>
          </cell>
        </row>
        <row r="22">
          <cell r="AA22" t="str">
            <v>1T1R</v>
          </cell>
        </row>
        <row r="23">
          <cell r="E23" t="str">
            <v>IBJTL1</v>
          </cell>
        </row>
        <row r="23">
          <cell r="G23" t="str">
            <v>IBJTL1G</v>
          </cell>
        </row>
        <row r="23">
          <cell r="I23">
            <v>79.8259</v>
          </cell>
          <cell r="J23">
            <v>7.168</v>
          </cell>
        </row>
        <row r="23">
          <cell r="AA23" t="str">
            <v>1T1R</v>
          </cell>
        </row>
        <row r="24">
          <cell r="E24" t="str">
            <v>GMNTN3</v>
          </cell>
        </row>
        <row r="24">
          <cell r="G24" t="str">
            <v>GMNTN3I</v>
          </cell>
        </row>
        <row r="24">
          <cell r="I24">
            <v>79.833422</v>
          </cell>
          <cell r="J24">
            <v>7.1985869</v>
          </cell>
        </row>
        <row r="24">
          <cell r="AA24" t="str">
            <v>4T4R</v>
          </cell>
        </row>
        <row r="25">
          <cell r="E25" t="str">
            <v>GMNTN3</v>
          </cell>
        </row>
        <row r="25">
          <cell r="G25" t="str">
            <v>GMNTN3H</v>
          </cell>
        </row>
        <row r="25">
          <cell r="I25">
            <v>79.833422</v>
          </cell>
          <cell r="J25">
            <v>7.1985869</v>
          </cell>
        </row>
        <row r="25">
          <cell r="AA25" t="str">
            <v>4T4R</v>
          </cell>
        </row>
        <row r="26">
          <cell r="E26" t="str">
            <v>GMNTN3</v>
          </cell>
        </row>
        <row r="26">
          <cell r="G26" t="str">
            <v>GMNTN3G</v>
          </cell>
        </row>
        <row r="26">
          <cell r="I26">
            <v>79.833422</v>
          </cell>
          <cell r="J26">
            <v>7.1985869</v>
          </cell>
        </row>
        <row r="26">
          <cell r="AA26" t="str">
            <v>4T4R</v>
          </cell>
        </row>
        <row r="27">
          <cell r="E27" t="str">
            <v>LGM048</v>
          </cell>
        </row>
        <row r="27">
          <cell r="G27" t="str">
            <v>LGM048I</v>
          </cell>
        </row>
        <row r="27">
          <cell r="I27">
            <v>79.833611</v>
          </cell>
          <cell r="J27">
            <v>7.194113</v>
          </cell>
        </row>
        <row r="27">
          <cell r="AA27" t="str">
            <v>2T2R</v>
          </cell>
        </row>
        <row r="28">
          <cell r="E28" t="str">
            <v>LGM048</v>
          </cell>
        </row>
        <row r="28">
          <cell r="G28" t="str">
            <v>LGM048H</v>
          </cell>
        </row>
        <row r="28">
          <cell r="I28">
            <v>79.833611</v>
          </cell>
          <cell r="J28">
            <v>7.194113</v>
          </cell>
        </row>
        <row r="28">
          <cell r="AA28" t="str">
            <v>2T2R</v>
          </cell>
        </row>
        <row r="29">
          <cell r="E29" t="str">
            <v>LGM048</v>
          </cell>
        </row>
        <row r="29">
          <cell r="G29" t="str">
            <v>LGM048G</v>
          </cell>
        </row>
        <row r="29">
          <cell r="I29">
            <v>79.833611</v>
          </cell>
          <cell r="J29">
            <v>7.194113</v>
          </cell>
        </row>
        <row r="29">
          <cell r="AA29" t="str">
            <v>2T2R</v>
          </cell>
        </row>
        <row r="30">
          <cell r="E30" t="str">
            <v>LGM048</v>
          </cell>
        </row>
        <row r="30">
          <cell r="G30" t="str">
            <v>LGM048I</v>
          </cell>
        </row>
        <row r="30">
          <cell r="I30">
            <v>79.833611</v>
          </cell>
          <cell r="J30">
            <v>7.194113</v>
          </cell>
        </row>
        <row r="30">
          <cell r="AA30" t="str">
            <v>2T2R</v>
          </cell>
        </row>
        <row r="31">
          <cell r="E31" t="str">
            <v>LGM048</v>
          </cell>
        </row>
        <row r="31">
          <cell r="G31" t="str">
            <v>LGM048H</v>
          </cell>
        </row>
        <row r="31">
          <cell r="I31">
            <v>79.833611</v>
          </cell>
          <cell r="J31">
            <v>7.194113</v>
          </cell>
        </row>
        <row r="31">
          <cell r="AA31" t="str">
            <v>2T2R</v>
          </cell>
        </row>
        <row r="32">
          <cell r="E32" t="str">
            <v>GMNTN2</v>
          </cell>
        </row>
        <row r="32">
          <cell r="G32" t="str">
            <v>GMNTN2I</v>
          </cell>
        </row>
        <row r="32">
          <cell r="I32">
            <v>79.834045</v>
          </cell>
          <cell r="J32">
            <v>7.206448</v>
          </cell>
        </row>
        <row r="32">
          <cell r="AA32" t="str">
            <v>4T4R</v>
          </cell>
        </row>
        <row r="33">
          <cell r="E33" t="str">
            <v>GMNTN2</v>
          </cell>
        </row>
        <row r="33">
          <cell r="G33" t="str">
            <v>GMNTN2H</v>
          </cell>
        </row>
        <row r="33">
          <cell r="I33">
            <v>79.834045</v>
          </cell>
          <cell r="J33">
            <v>7.206448</v>
          </cell>
        </row>
        <row r="33">
          <cell r="AA33" t="str">
            <v>2T2R</v>
          </cell>
        </row>
        <row r="34">
          <cell r="E34" t="str">
            <v>GMNTN2</v>
          </cell>
        </row>
        <row r="34">
          <cell r="G34" t="str">
            <v>GMNTN2G</v>
          </cell>
        </row>
        <row r="34">
          <cell r="I34">
            <v>79.834045</v>
          </cell>
          <cell r="J34">
            <v>7.206448</v>
          </cell>
        </row>
        <row r="34">
          <cell r="AA34" t="str">
            <v>4T4R</v>
          </cell>
        </row>
        <row r="35">
          <cell r="E35" t="str">
            <v>GMNTN2</v>
          </cell>
        </row>
        <row r="35">
          <cell r="G35" t="str">
            <v>GMNTN2-M-L18-B1</v>
          </cell>
        </row>
        <row r="35">
          <cell r="I35">
            <v>79.834045</v>
          </cell>
          <cell r="J35">
            <v>7.206448</v>
          </cell>
        </row>
        <row r="35">
          <cell r="AA35" t="str">
            <v>2T2R</v>
          </cell>
        </row>
        <row r="36">
          <cell r="E36" t="str">
            <v>GMNTN2</v>
          </cell>
        </row>
        <row r="36">
          <cell r="G36" t="str">
            <v>GMNTN2-M-L21-B2</v>
          </cell>
        </row>
        <row r="36">
          <cell r="I36">
            <v>79.834045</v>
          </cell>
          <cell r="J36">
            <v>7.206448</v>
          </cell>
        </row>
        <row r="36">
          <cell r="AA36" t="str">
            <v>2T2R</v>
          </cell>
        </row>
        <row r="37">
          <cell r="E37" t="str">
            <v>GMNTN2</v>
          </cell>
        </row>
        <row r="37">
          <cell r="G37" t="str">
            <v>GMNTN2-M-L21-C2</v>
          </cell>
        </row>
        <row r="37">
          <cell r="I37">
            <v>79.834045</v>
          </cell>
          <cell r="J37">
            <v>7.206448</v>
          </cell>
        </row>
        <row r="37">
          <cell r="AA37" t="str">
            <v>2T2R</v>
          </cell>
        </row>
        <row r="38">
          <cell r="E38" t="str">
            <v>GMDUN1</v>
          </cell>
        </row>
        <row r="38">
          <cell r="G38" t="str">
            <v>GMDUN1H</v>
          </cell>
        </row>
        <row r="38">
          <cell r="I38">
            <v>79.8343</v>
          </cell>
          <cell r="J38">
            <v>7.14513</v>
          </cell>
        </row>
        <row r="38">
          <cell r="AA38" t="str">
            <v>2T2R</v>
          </cell>
        </row>
        <row r="39">
          <cell r="E39" t="str">
            <v>GMDUN1</v>
          </cell>
        </row>
        <row r="39">
          <cell r="G39" t="str">
            <v>GMDUN1G</v>
          </cell>
        </row>
        <row r="39">
          <cell r="I39">
            <v>79.8343</v>
          </cell>
          <cell r="J39">
            <v>7.14513</v>
          </cell>
        </row>
        <row r="39">
          <cell r="AA39" t="str">
            <v>2T2R</v>
          </cell>
        </row>
        <row r="40">
          <cell r="E40" t="str">
            <v>GMDUN1</v>
          </cell>
        </row>
        <row r="40">
          <cell r="G40" t="str">
            <v>GMDUN1-M-L85-B1</v>
          </cell>
        </row>
        <row r="40">
          <cell r="I40">
            <v>79.8343</v>
          </cell>
          <cell r="J40">
            <v>7.14513</v>
          </cell>
        </row>
        <row r="40">
          <cell r="AA40" t="str">
            <v>2T2R</v>
          </cell>
        </row>
        <row r="41">
          <cell r="E41" t="str">
            <v>GMDUN1</v>
          </cell>
        </row>
        <row r="41">
          <cell r="G41" t="str">
            <v>GMDUN1-M-L85-A1</v>
          </cell>
        </row>
        <row r="41">
          <cell r="I41">
            <v>79.8343</v>
          </cell>
          <cell r="J41">
            <v>7.14513</v>
          </cell>
        </row>
        <row r="41">
          <cell r="AA41" t="str">
            <v>2T2R</v>
          </cell>
        </row>
        <row r="42">
          <cell r="E42" t="str">
            <v>GMNEG3</v>
          </cell>
        </row>
        <row r="42">
          <cell r="G42" t="str">
            <v>GMNEG3I</v>
          </cell>
        </row>
        <row r="42">
          <cell r="I42">
            <v>79.8379</v>
          </cell>
          <cell r="J42">
            <v>7.21147</v>
          </cell>
        </row>
        <row r="42">
          <cell r="AA42" t="str">
            <v>4T4R</v>
          </cell>
        </row>
        <row r="43">
          <cell r="E43" t="str">
            <v>GMNEG3</v>
          </cell>
        </row>
        <row r="43">
          <cell r="G43" t="str">
            <v>GMNEG3H</v>
          </cell>
        </row>
        <row r="43">
          <cell r="I43">
            <v>79.8379</v>
          </cell>
          <cell r="J43">
            <v>7.21147</v>
          </cell>
        </row>
        <row r="43">
          <cell r="AA43" t="str">
            <v>4T4R</v>
          </cell>
        </row>
        <row r="44">
          <cell r="E44" t="str">
            <v>GMNEG3</v>
          </cell>
        </row>
        <row r="44">
          <cell r="G44" t="str">
            <v>GMNEG3G</v>
          </cell>
        </row>
        <row r="44">
          <cell r="I44">
            <v>79.8379</v>
          </cell>
          <cell r="J44">
            <v>7.21147</v>
          </cell>
        </row>
        <row r="44">
          <cell r="AA44" t="str">
            <v>4T4R</v>
          </cell>
        </row>
        <row r="45">
          <cell r="E45" t="str">
            <v>GMNEG3</v>
          </cell>
        </row>
        <row r="45">
          <cell r="G45" t="str">
            <v>GMNEG3-M-L85-C1</v>
          </cell>
        </row>
        <row r="45">
          <cell r="I45">
            <v>79.8379</v>
          </cell>
          <cell r="J45">
            <v>7.21147</v>
          </cell>
        </row>
        <row r="45">
          <cell r="AA45" t="str">
            <v>2T2R</v>
          </cell>
        </row>
        <row r="46">
          <cell r="E46" t="str">
            <v>GMNEG3</v>
          </cell>
        </row>
        <row r="46">
          <cell r="G46" t="str">
            <v>GMNEG3-M-L85-B1</v>
          </cell>
        </row>
        <row r="46">
          <cell r="I46">
            <v>79.8379</v>
          </cell>
          <cell r="J46">
            <v>7.21147</v>
          </cell>
        </row>
        <row r="46">
          <cell r="AA46" t="str">
            <v>2T2R</v>
          </cell>
        </row>
        <row r="47">
          <cell r="E47" t="str">
            <v>GMNEG3</v>
          </cell>
        </row>
        <row r="47">
          <cell r="G47" t="str">
            <v>GMNEG3-M-L85-A1</v>
          </cell>
        </row>
        <row r="47">
          <cell r="I47">
            <v>79.8379</v>
          </cell>
          <cell r="J47">
            <v>7.21147</v>
          </cell>
        </row>
        <row r="47">
          <cell r="AA47" t="str">
            <v>2T2R</v>
          </cell>
        </row>
        <row r="48">
          <cell r="E48" t="str">
            <v>GMNEG3</v>
          </cell>
        </row>
        <row r="48">
          <cell r="G48" t="str">
            <v>GMNEG3-M-L21-C2</v>
          </cell>
        </row>
        <row r="48">
          <cell r="I48">
            <v>79.8379</v>
          </cell>
          <cell r="J48">
            <v>7.21147</v>
          </cell>
        </row>
        <row r="48">
          <cell r="AA48" t="str">
            <v>2T2R</v>
          </cell>
        </row>
        <row r="49">
          <cell r="E49" t="str">
            <v>GMNEG3</v>
          </cell>
        </row>
        <row r="49">
          <cell r="G49" t="str">
            <v>GMNEG3-M-L21-B2</v>
          </cell>
        </row>
        <row r="49">
          <cell r="I49">
            <v>79.8379</v>
          </cell>
          <cell r="J49">
            <v>7.21147</v>
          </cell>
        </row>
        <row r="49">
          <cell r="AA49" t="str">
            <v>2T2R</v>
          </cell>
        </row>
        <row r="50">
          <cell r="E50" t="str">
            <v>GMPAM3</v>
          </cell>
        </row>
        <row r="50">
          <cell r="G50" t="str">
            <v>GMPAM3I</v>
          </cell>
        </row>
        <row r="50">
          <cell r="I50">
            <v>79.8385</v>
          </cell>
          <cell r="J50">
            <v>7.127194</v>
          </cell>
        </row>
        <row r="50">
          <cell r="AA50" t="str">
            <v>2T2R</v>
          </cell>
        </row>
        <row r="51">
          <cell r="E51" t="str">
            <v>GMPAM3</v>
          </cell>
        </row>
        <row r="51">
          <cell r="G51" t="str">
            <v>GMPAM3H</v>
          </cell>
        </row>
        <row r="51">
          <cell r="I51">
            <v>79.8385</v>
          </cell>
          <cell r="J51">
            <v>7.127194</v>
          </cell>
        </row>
        <row r="51">
          <cell r="AA51" t="str">
            <v>2T2R</v>
          </cell>
        </row>
        <row r="52">
          <cell r="E52" t="str">
            <v>GMPAM3</v>
          </cell>
        </row>
        <row r="52">
          <cell r="G52" t="str">
            <v>GMPAM3G</v>
          </cell>
        </row>
        <row r="52">
          <cell r="I52">
            <v>79.8385</v>
          </cell>
          <cell r="J52">
            <v>7.127194</v>
          </cell>
        </row>
        <row r="52">
          <cell r="AA52" t="str">
            <v>2T2R</v>
          </cell>
        </row>
        <row r="53">
          <cell r="E53" t="str">
            <v>LGM050</v>
          </cell>
        </row>
        <row r="53">
          <cell r="G53" t="str">
            <v>LGM050I</v>
          </cell>
        </row>
        <row r="53">
          <cell r="I53">
            <v>79.84008</v>
          </cell>
          <cell r="J53">
            <v>7.223881</v>
          </cell>
        </row>
        <row r="53">
          <cell r="AA53" t="str">
            <v>2T2R</v>
          </cell>
        </row>
        <row r="54">
          <cell r="E54" t="str">
            <v>LGM050</v>
          </cell>
        </row>
        <row r="54">
          <cell r="G54" t="str">
            <v>LGM050H</v>
          </cell>
        </row>
        <row r="54">
          <cell r="I54">
            <v>79.84008</v>
          </cell>
          <cell r="J54">
            <v>7.223881</v>
          </cell>
        </row>
        <row r="54">
          <cell r="AA54" t="str">
            <v>2T2R</v>
          </cell>
        </row>
        <row r="55">
          <cell r="E55" t="str">
            <v>LGM050</v>
          </cell>
        </row>
        <row r="55">
          <cell r="G55" t="str">
            <v>LGM050G</v>
          </cell>
        </row>
        <row r="55">
          <cell r="I55">
            <v>79.84008</v>
          </cell>
          <cell r="J55">
            <v>7.223881</v>
          </cell>
        </row>
        <row r="55">
          <cell r="AA55" t="str">
            <v>2T2R</v>
          </cell>
        </row>
        <row r="56">
          <cell r="E56" t="str">
            <v>LGM042</v>
          </cell>
        </row>
        <row r="56">
          <cell r="G56" t="str">
            <v>LGM042-M-L21-C2</v>
          </cell>
        </row>
        <row r="56">
          <cell r="I56">
            <v>79.8403</v>
          </cell>
          <cell r="J56">
            <v>7.2377</v>
          </cell>
        </row>
        <row r="56">
          <cell r="AA56" t="str">
            <v>2T2R</v>
          </cell>
        </row>
        <row r="57">
          <cell r="E57" t="str">
            <v>LGM042</v>
          </cell>
        </row>
        <row r="57">
          <cell r="G57" t="str">
            <v>LGM042-M-L21-B2</v>
          </cell>
        </row>
        <row r="57">
          <cell r="I57">
            <v>79.8403</v>
          </cell>
          <cell r="J57">
            <v>7.2377</v>
          </cell>
        </row>
        <row r="57">
          <cell r="AA57" t="str">
            <v>2T2R</v>
          </cell>
        </row>
        <row r="58">
          <cell r="E58" t="str">
            <v>LGM042</v>
          </cell>
        </row>
        <row r="58">
          <cell r="G58" t="str">
            <v>LGM042-M-L21-A2</v>
          </cell>
        </row>
        <row r="58">
          <cell r="I58">
            <v>79.8403</v>
          </cell>
          <cell r="J58">
            <v>7.2377</v>
          </cell>
        </row>
        <row r="58">
          <cell r="AA58" t="str">
            <v>2T2R</v>
          </cell>
        </row>
        <row r="59">
          <cell r="E59" t="str">
            <v>LGM051</v>
          </cell>
        </row>
        <row r="59">
          <cell r="G59" t="str">
            <v>LGM051I</v>
          </cell>
        </row>
        <row r="59">
          <cell r="I59">
            <v>79.84104</v>
          </cell>
          <cell r="J59">
            <v>7.231453</v>
          </cell>
        </row>
        <row r="59">
          <cell r="AA59" t="str">
            <v>2T2R</v>
          </cell>
        </row>
        <row r="60">
          <cell r="E60" t="str">
            <v>LGM051</v>
          </cell>
        </row>
        <row r="60">
          <cell r="G60" t="str">
            <v>LGM051H</v>
          </cell>
        </row>
        <row r="60">
          <cell r="I60">
            <v>79.84104</v>
          </cell>
          <cell r="J60">
            <v>7.231453</v>
          </cell>
        </row>
        <row r="60">
          <cell r="AA60" t="str">
            <v>2T2R</v>
          </cell>
        </row>
        <row r="61">
          <cell r="E61" t="str">
            <v>LGM051</v>
          </cell>
        </row>
        <row r="61">
          <cell r="G61" t="str">
            <v>LGM051G</v>
          </cell>
        </row>
        <row r="61">
          <cell r="I61">
            <v>79.84104</v>
          </cell>
          <cell r="J61">
            <v>7.231453</v>
          </cell>
        </row>
        <row r="61">
          <cell r="AA61" t="str">
            <v>2T2R</v>
          </cell>
        </row>
        <row r="62">
          <cell r="E62" t="str">
            <v>GMNTN1</v>
          </cell>
        </row>
        <row r="62">
          <cell r="G62" t="str">
            <v>GMNTN1I</v>
          </cell>
        </row>
        <row r="62">
          <cell r="I62">
            <v>79.841092</v>
          </cell>
          <cell r="J62">
            <v>7.220368</v>
          </cell>
        </row>
        <row r="62">
          <cell r="AA62" t="str">
            <v>4T4R</v>
          </cell>
        </row>
        <row r="63">
          <cell r="E63" t="str">
            <v>GMNTN1</v>
          </cell>
        </row>
        <row r="63">
          <cell r="G63" t="str">
            <v>GMNTN1H</v>
          </cell>
        </row>
        <row r="63">
          <cell r="I63">
            <v>79.841092</v>
          </cell>
          <cell r="J63">
            <v>7.220368</v>
          </cell>
        </row>
        <row r="63">
          <cell r="AA63" t="str">
            <v>4T4R</v>
          </cell>
        </row>
        <row r="64">
          <cell r="E64" t="str">
            <v>GMNTN1</v>
          </cell>
        </row>
        <row r="64">
          <cell r="G64" t="str">
            <v>GMNTN1G</v>
          </cell>
        </row>
        <row r="64">
          <cell r="I64">
            <v>79.841092</v>
          </cell>
          <cell r="J64">
            <v>7.220368</v>
          </cell>
        </row>
        <row r="64">
          <cell r="AA64" t="str">
            <v>4T4R</v>
          </cell>
        </row>
        <row r="65">
          <cell r="E65" t="str">
            <v>LGM049</v>
          </cell>
        </row>
        <row r="65">
          <cell r="G65" t="str">
            <v>LGM049G</v>
          </cell>
        </row>
        <row r="65">
          <cell r="I65">
            <v>79.841264</v>
          </cell>
          <cell r="J65">
            <v>7.245597</v>
          </cell>
        </row>
        <row r="65">
          <cell r="AA65" t="str">
            <v>2T2R</v>
          </cell>
        </row>
        <row r="66">
          <cell r="E66" t="str">
            <v>QGMCM2</v>
          </cell>
        </row>
        <row r="66">
          <cell r="G66" t="str">
            <v>QGMCM2G_21</v>
          </cell>
        </row>
        <row r="66">
          <cell r="I66">
            <v>79.841343</v>
          </cell>
          <cell r="J66">
            <v>7.21094</v>
          </cell>
        </row>
        <row r="66">
          <cell r="AA66" t="str"/>
        </row>
        <row r="67">
          <cell r="E67" t="str">
            <v>QGMCM2</v>
          </cell>
        </row>
        <row r="67">
          <cell r="G67" t="str">
            <v>QGMCM2G</v>
          </cell>
        </row>
        <row r="67">
          <cell r="I67">
            <v>79.841343</v>
          </cell>
          <cell r="J67">
            <v>7.21094</v>
          </cell>
        </row>
        <row r="67">
          <cell r="AA67" t="str"/>
        </row>
        <row r="68">
          <cell r="E68" t="str">
            <v>GMETH1</v>
          </cell>
        </row>
        <row r="68">
          <cell r="G68" t="str">
            <v>GMETH1-M-L21-C2</v>
          </cell>
        </row>
        <row r="68">
          <cell r="I68">
            <v>79.8416</v>
          </cell>
          <cell r="J68">
            <v>7.23572</v>
          </cell>
        </row>
        <row r="68">
          <cell r="AA68" t="str">
            <v>2T2R</v>
          </cell>
        </row>
        <row r="69">
          <cell r="E69" t="str">
            <v>GMETH1</v>
          </cell>
        </row>
        <row r="69">
          <cell r="G69" t="str">
            <v>GMETH1-M-L21-B2</v>
          </cell>
        </row>
        <row r="69">
          <cell r="I69">
            <v>79.8416</v>
          </cell>
          <cell r="J69">
            <v>7.23572</v>
          </cell>
        </row>
        <row r="69">
          <cell r="AA69" t="str">
            <v>2T2R</v>
          </cell>
        </row>
        <row r="70">
          <cell r="E70" t="str">
            <v>GMETH1</v>
          </cell>
        </row>
        <row r="70">
          <cell r="G70" t="str">
            <v>GMETH1-M-L21-A2</v>
          </cell>
        </row>
        <row r="70">
          <cell r="I70">
            <v>79.8416</v>
          </cell>
          <cell r="J70">
            <v>7.23572</v>
          </cell>
        </row>
        <row r="70">
          <cell r="AA70" t="str">
            <v>2T2R</v>
          </cell>
        </row>
        <row r="71">
          <cell r="E71" t="str">
            <v>GMETH1</v>
          </cell>
        </row>
        <row r="71">
          <cell r="G71" t="str">
            <v>GMETH1-M-L85-C1</v>
          </cell>
        </row>
        <row r="71">
          <cell r="I71">
            <v>79.8416</v>
          </cell>
          <cell r="J71">
            <v>7.23572</v>
          </cell>
        </row>
        <row r="71">
          <cell r="AA71" t="str">
            <v>2T2R</v>
          </cell>
        </row>
        <row r="72">
          <cell r="E72" t="str">
            <v>GMETH1</v>
          </cell>
        </row>
        <row r="72">
          <cell r="G72" t="str">
            <v>GMETH1-M-L85-B1</v>
          </cell>
        </row>
        <row r="72">
          <cell r="I72">
            <v>79.8416</v>
          </cell>
          <cell r="J72">
            <v>7.23572</v>
          </cell>
        </row>
        <row r="72">
          <cell r="AA72" t="str">
            <v>2T2R</v>
          </cell>
        </row>
        <row r="73">
          <cell r="E73" t="str">
            <v>GMETH1</v>
          </cell>
        </row>
        <row r="73">
          <cell r="G73" t="str">
            <v>GMETH1-M-L85-A1</v>
          </cell>
        </row>
        <row r="73">
          <cell r="I73">
            <v>79.8416</v>
          </cell>
          <cell r="J73">
            <v>7.23572</v>
          </cell>
        </row>
        <row r="73">
          <cell r="AA73" t="str">
            <v>2T2R</v>
          </cell>
        </row>
        <row r="74">
          <cell r="E74" t="str">
            <v>GMETH1</v>
          </cell>
        </row>
        <row r="74">
          <cell r="G74" t="str">
            <v>GMETH1G</v>
          </cell>
        </row>
        <row r="74">
          <cell r="I74">
            <v>79.8416</v>
          </cell>
          <cell r="J74">
            <v>7.23572</v>
          </cell>
        </row>
        <row r="74">
          <cell r="AA74" t="str">
            <v>2T2R</v>
          </cell>
        </row>
        <row r="75">
          <cell r="E75" t="str">
            <v>GMETH1</v>
          </cell>
        </row>
        <row r="75">
          <cell r="G75" t="str">
            <v>GMETH1H</v>
          </cell>
        </row>
        <row r="75">
          <cell r="I75">
            <v>79.8416</v>
          </cell>
          <cell r="J75">
            <v>7.23572</v>
          </cell>
        </row>
        <row r="75">
          <cell r="AA75" t="str">
            <v>2T2R</v>
          </cell>
        </row>
        <row r="76">
          <cell r="E76" t="str">
            <v>GMETH1</v>
          </cell>
        </row>
        <row r="76">
          <cell r="G76" t="str">
            <v>GMETH1I</v>
          </cell>
        </row>
        <row r="76">
          <cell r="I76">
            <v>79.8416</v>
          </cell>
          <cell r="J76">
            <v>7.23572</v>
          </cell>
        </row>
        <row r="76">
          <cell r="AA76" t="str">
            <v>2T2R</v>
          </cell>
        </row>
        <row r="77">
          <cell r="E77" t="str">
            <v>GMETH2</v>
          </cell>
        </row>
        <row r="77">
          <cell r="G77" t="str">
            <v>GMETH2-M-L85-A1</v>
          </cell>
        </row>
        <row r="77">
          <cell r="I77">
            <v>79.841751</v>
          </cell>
          <cell r="J77">
            <v>7.24109</v>
          </cell>
        </row>
        <row r="77">
          <cell r="AA77" t="str">
            <v>2T2R</v>
          </cell>
        </row>
        <row r="78">
          <cell r="E78" t="str">
            <v>GMETH2</v>
          </cell>
        </row>
        <row r="78">
          <cell r="G78" t="str">
            <v>GMETH2-M-L85-B1</v>
          </cell>
        </row>
        <row r="78">
          <cell r="I78">
            <v>79.841751</v>
          </cell>
          <cell r="J78">
            <v>7.24109</v>
          </cell>
        </row>
        <row r="78">
          <cell r="AA78" t="str">
            <v>2T2R</v>
          </cell>
        </row>
        <row r="79">
          <cell r="E79" t="str">
            <v>GMETH2</v>
          </cell>
        </row>
        <row r="79">
          <cell r="G79" t="str">
            <v>GMETH2-M-L85-C1</v>
          </cell>
        </row>
        <row r="79">
          <cell r="I79">
            <v>79.841751</v>
          </cell>
          <cell r="J79">
            <v>7.24109</v>
          </cell>
        </row>
        <row r="79">
          <cell r="AA79" t="str">
            <v>2T2R</v>
          </cell>
        </row>
        <row r="80">
          <cell r="E80" t="str">
            <v>GMETH2</v>
          </cell>
        </row>
        <row r="80">
          <cell r="G80" t="str">
            <v>GMETH2G</v>
          </cell>
        </row>
        <row r="80">
          <cell r="I80">
            <v>79.841751</v>
          </cell>
          <cell r="J80">
            <v>7.24109</v>
          </cell>
        </row>
        <row r="80">
          <cell r="AA80" t="str">
            <v>2T2R</v>
          </cell>
        </row>
        <row r="81">
          <cell r="E81" t="str">
            <v>GMETH2</v>
          </cell>
        </row>
        <row r="81">
          <cell r="G81" t="str">
            <v>GMETH2H</v>
          </cell>
        </row>
        <row r="81">
          <cell r="I81">
            <v>79.841751</v>
          </cell>
          <cell r="J81">
            <v>7.24109</v>
          </cell>
        </row>
        <row r="81">
          <cell r="AA81" t="str">
            <v>2T2R</v>
          </cell>
        </row>
        <row r="82">
          <cell r="E82" t="str">
            <v>GMETH2</v>
          </cell>
        </row>
        <row r="82">
          <cell r="G82" t="str">
            <v>GMETH2I</v>
          </cell>
        </row>
        <row r="82">
          <cell r="I82">
            <v>79.841751</v>
          </cell>
          <cell r="J82">
            <v>7.24109</v>
          </cell>
        </row>
        <row r="82">
          <cell r="AA82" t="str">
            <v>4T4R</v>
          </cell>
        </row>
        <row r="83">
          <cell r="E83" t="str">
            <v>GMNEG1</v>
          </cell>
        </row>
        <row r="83">
          <cell r="G83" t="str">
            <v>GMNEG1F</v>
          </cell>
        </row>
        <row r="83">
          <cell r="I83">
            <v>79.8419</v>
          </cell>
          <cell r="J83">
            <v>7.2059</v>
          </cell>
        </row>
        <row r="83">
          <cell r="AA83" t="str">
            <v>1T1R</v>
          </cell>
        </row>
        <row r="84">
          <cell r="E84" t="str">
            <v>GMNEG1</v>
          </cell>
        </row>
        <row r="84">
          <cell r="G84" t="str">
            <v>GMNEG1-M-L18-C1</v>
          </cell>
        </row>
        <row r="84">
          <cell r="I84">
            <v>79.8419</v>
          </cell>
          <cell r="J84">
            <v>7.2059</v>
          </cell>
        </row>
        <row r="84">
          <cell r="AA84" t="str">
            <v>2T2R</v>
          </cell>
        </row>
        <row r="85">
          <cell r="E85" t="str">
            <v>GMNEG1</v>
          </cell>
        </row>
        <row r="85">
          <cell r="G85" t="str">
            <v>GMNEG1-M-L21-C2</v>
          </cell>
        </row>
        <row r="85">
          <cell r="I85">
            <v>79.8419</v>
          </cell>
          <cell r="J85">
            <v>7.2059</v>
          </cell>
        </row>
        <row r="85">
          <cell r="AA85" t="str">
            <v>2T2R</v>
          </cell>
        </row>
        <row r="86">
          <cell r="E86" t="str">
            <v>GMNEG1</v>
          </cell>
        </row>
        <row r="86">
          <cell r="G86" t="str">
            <v>GMNEG1-M-L21-B2</v>
          </cell>
        </row>
        <row r="86">
          <cell r="I86">
            <v>79.8419</v>
          </cell>
          <cell r="J86">
            <v>7.2059</v>
          </cell>
        </row>
        <row r="86">
          <cell r="AA86" t="str">
            <v>4T4R</v>
          </cell>
        </row>
        <row r="87">
          <cell r="E87" t="str">
            <v>GMNEG1</v>
          </cell>
        </row>
        <row r="87">
          <cell r="G87" t="str">
            <v>GMNEG1-M-L21-A2</v>
          </cell>
        </row>
        <row r="87">
          <cell r="I87">
            <v>79.8419</v>
          </cell>
          <cell r="J87">
            <v>7.2059</v>
          </cell>
        </row>
        <row r="87">
          <cell r="AA87" t="str">
            <v>4T4R</v>
          </cell>
        </row>
        <row r="88">
          <cell r="E88" t="str">
            <v>GMNEG1</v>
          </cell>
        </row>
        <row r="88">
          <cell r="G88" t="str">
            <v>GMNEG1-M-L21-C1</v>
          </cell>
        </row>
        <row r="88">
          <cell r="I88">
            <v>79.8419</v>
          </cell>
          <cell r="J88">
            <v>7.2059</v>
          </cell>
        </row>
        <row r="88">
          <cell r="AA88" t="str">
            <v>2T2R</v>
          </cell>
        </row>
        <row r="89">
          <cell r="E89" t="str">
            <v>GMNEG1</v>
          </cell>
        </row>
        <row r="89">
          <cell r="G89" t="str">
            <v>GMNEG1G</v>
          </cell>
        </row>
        <row r="89">
          <cell r="I89">
            <v>79.8419</v>
          </cell>
          <cell r="J89">
            <v>7.2059</v>
          </cell>
        </row>
        <row r="89">
          <cell r="AA89" t="str">
            <v>4T4R</v>
          </cell>
        </row>
        <row r="90">
          <cell r="E90" t="str">
            <v>GMNEG1</v>
          </cell>
        </row>
        <row r="90">
          <cell r="G90" t="str">
            <v>GMNEG1H</v>
          </cell>
        </row>
        <row r="90">
          <cell r="I90">
            <v>79.8419</v>
          </cell>
          <cell r="J90">
            <v>7.2059</v>
          </cell>
        </row>
        <row r="90">
          <cell r="AA90" t="str">
            <v>4T4R</v>
          </cell>
        </row>
        <row r="91">
          <cell r="E91" t="str">
            <v>GMNEG1</v>
          </cell>
        </row>
        <row r="91">
          <cell r="G91" t="str">
            <v>GMNEG1I</v>
          </cell>
        </row>
        <row r="91">
          <cell r="I91">
            <v>79.8419</v>
          </cell>
          <cell r="J91">
            <v>7.2059</v>
          </cell>
        </row>
        <row r="91">
          <cell r="AA91" t="str">
            <v>4T4R</v>
          </cell>
        </row>
        <row r="92">
          <cell r="E92" t="str">
            <v>GMNEG1</v>
          </cell>
        </row>
        <row r="92">
          <cell r="G92" t="str">
            <v>GMNEG1-M-L85-C1</v>
          </cell>
        </row>
        <row r="92">
          <cell r="I92">
            <v>79.8419</v>
          </cell>
          <cell r="J92">
            <v>7.2059</v>
          </cell>
        </row>
        <row r="92">
          <cell r="AA92" t="str">
            <v>2T2R</v>
          </cell>
        </row>
        <row r="93">
          <cell r="E93" t="str">
            <v>GMNEG1</v>
          </cell>
        </row>
        <row r="93">
          <cell r="G93" t="str">
            <v>GMNEG1-M-L85-B1</v>
          </cell>
        </row>
        <row r="93">
          <cell r="I93">
            <v>79.8419</v>
          </cell>
          <cell r="J93">
            <v>7.2059</v>
          </cell>
        </row>
        <row r="93">
          <cell r="AA93" t="str">
            <v>2T2R</v>
          </cell>
        </row>
        <row r="94">
          <cell r="E94" t="str">
            <v>GMNEG1</v>
          </cell>
        </row>
        <row r="94">
          <cell r="G94" t="str">
            <v>GMNEG1-M-L85-A1</v>
          </cell>
        </row>
        <row r="94">
          <cell r="I94">
            <v>79.8419</v>
          </cell>
          <cell r="J94">
            <v>7.2059</v>
          </cell>
        </row>
        <row r="94">
          <cell r="AA94" t="str">
            <v>2T2R</v>
          </cell>
        </row>
        <row r="95">
          <cell r="E95" t="str">
            <v>LGM040</v>
          </cell>
        </row>
        <row r="95">
          <cell r="G95" t="str">
            <v>LGM040-M-L21-C2</v>
          </cell>
        </row>
        <row r="95">
          <cell r="I95">
            <v>79.8425</v>
          </cell>
          <cell r="J95">
            <v>7.2552</v>
          </cell>
        </row>
        <row r="95">
          <cell r="AA95" t="str">
            <v>2T2R</v>
          </cell>
        </row>
        <row r="96">
          <cell r="E96" t="str">
            <v>LGM040</v>
          </cell>
        </row>
        <row r="96">
          <cell r="G96" t="str">
            <v>LGM040-M-L21-B2</v>
          </cell>
        </row>
        <row r="96">
          <cell r="I96">
            <v>79.8425</v>
          </cell>
          <cell r="J96">
            <v>7.2552</v>
          </cell>
        </row>
        <row r="96">
          <cell r="AA96" t="str">
            <v>2T2R</v>
          </cell>
        </row>
        <row r="97">
          <cell r="E97" t="str">
            <v>LGM040</v>
          </cell>
        </row>
        <row r="97">
          <cell r="G97" t="str">
            <v>LGM040-M-L21-A2</v>
          </cell>
        </row>
        <row r="97">
          <cell r="I97">
            <v>79.8425</v>
          </cell>
          <cell r="J97">
            <v>7.2552</v>
          </cell>
        </row>
        <row r="97">
          <cell r="AA97" t="str">
            <v>2T2R</v>
          </cell>
        </row>
        <row r="98">
          <cell r="E98" t="str">
            <v>GMKDP1</v>
          </cell>
        </row>
        <row r="98">
          <cell r="G98" t="str">
            <v>GMKDP1I</v>
          </cell>
        </row>
        <row r="98">
          <cell r="I98">
            <v>79.8426562</v>
          </cell>
          <cell r="J98">
            <v>7.2271942</v>
          </cell>
        </row>
        <row r="98">
          <cell r="AA98" t="str">
            <v>2T2R</v>
          </cell>
        </row>
        <row r="99">
          <cell r="E99" t="str">
            <v>GMKDP1</v>
          </cell>
        </row>
        <row r="99">
          <cell r="G99" t="str">
            <v>GMKDP1H</v>
          </cell>
        </row>
        <row r="99">
          <cell r="I99">
            <v>79.8426562</v>
          </cell>
          <cell r="J99">
            <v>7.2271942</v>
          </cell>
        </row>
        <row r="99">
          <cell r="AA99" t="str">
            <v>2T2R</v>
          </cell>
        </row>
        <row r="100">
          <cell r="E100" t="str">
            <v>GMKDP1</v>
          </cell>
        </row>
        <row r="100">
          <cell r="G100" t="str">
            <v>GMKDP1G</v>
          </cell>
        </row>
        <row r="100">
          <cell r="I100">
            <v>79.8426562</v>
          </cell>
          <cell r="J100">
            <v>7.2271942</v>
          </cell>
        </row>
        <row r="100">
          <cell r="AA100" t="str">
            <v>2T2R</v>
          </cell>
        </row>
        <row r="101">
          <cell r="E101" t="str">
            <v>GMPOR2</v>
          </cell>
        </row>
        <row r="101">
          <cell r="G101" t="str">
            <v>GMPOR2I</v>
          </cell>
        </row>
        <row r="101">
          <cell r="I101">
            <v>79.843836</v>
          </cell>
          <cell r="J101">
            <v>7.26471</v>
          </cell>
        </row>
        <row r="101">
          <cell r="AA101" t="str">
            <v>2T2R</v>
          </cell>
        </row>
        <row r="102">
          <cell r="E102" t="str">
            <v>GMPOR2</v>
          </cell>
        </row>
        <row r="102">
          <cell r="G102" t="str">
            <v>GMPOR2H</v>
          </cell>
        </row>
        <row r="102">
          <cell r="I102">
            <v>79.843836</v>
          </cell>
          <cell r="J102">
            <v>7.26471</v>
          </cell>
        </row>
        <row r="102">
          <cell r="AA102" t="str">
            <v>2T2R</v>
          </cell>
        </row>
        <row r="103">
          <cell r="E103" t="str">
            <v>GMPOR2</v>
          </cell>
        </row>
        <row r="103">
          <cell r="G103" t="str">
            <v>GMPOR2G</v>
          </cell>
        </row>
        <row r="103">
          <cell r="I103">
            <v>79.843836</v>
          </cell>
          <cell r="J103">
            <v>7.26471</v>
          </cell>
        </row>
        <row r="103">
          <cell r="AA103" t="str">
            <v>2T2R</v>
          </cell>
        </row>
        <row r="104">
          <cell r="E104" t="str">
            <v>GMNEG9</v>
          </cell>
        </row>
        <row r="104">
          <cell r="G104" t="str">
            <v>GMNEG9I</v>
          </cell>
        </row>
        <row r="104">
          <cell r="I104">
            <v>79.8454</v>
          </cell>
          <cell r="J104">
            <v>7.21719</v>
          </cell>
        </row>
        <row r="104">
          <cell r="AA104" t="str">
            <v>4T4R</v>
          </cell>
        </row>
        <row r="105">
          <cell r="E105" t="str">
            <v>GMNEG9</v>
          </cell>
        </row>
        <row r="105">
          <cell r="G105" t="str">
            <v>GMNEG9H</v>
          </cell>
        </row>
        <row r="105">
          <cell r="I105">
            <v>79.8454</v>
          </cell>
          <cell r="J105">
            <v>7.21719</v>
          </cell>
        </row>
        <row r="105">
          <cell r="AA105" t="str">
            <v>2T2R</v>
          </cell>
        </row>
        <row r="106">
          <cell r="E106" t="str">
            <v>GMNEG9</v>
          </cell>
        </row>
        <row r="106">
          <cell r="G106" t="str">
            <v>GMNEG9G</v>
          </cell>
        </row>
        <row r="106">
          <cell r="I106">
            <v>79.8454</v>
          </cell>
          <cell r="J106">
            <v>7.21719</v>
          </cell>
        </row>
        <row r="106">
          <cell r="AA106" t="str">
            <v>2T2R</v>
          </cell>
        </row>
        <row r="107">
          <cell r="E107" t="str">
            <v>GMNEG9</v>
          </cell>
        </row>
        <row r="107">
          <cell r="G107" t="str">
            <v>GMNEG9-M-L21-C2</v>
          </cell>
        </row>
        <row r="107">
          <cell r="I107">
            <v>79.8454</v>
          </cell>
          <cell r="J107">
            <v>7.21719</v>
          </cell>
        </row>
        <row r="107">
          <cell r="AA107" t="str">
            <v>2T2R</v>
          </cell>
        </row>
        <row r="108">
          <cell r="E108" t="str">
            <v>GMNEG9</v>
          </cell>
        </row>
        <row r="108">
          <cell r="G108" t="str">
            <v>GMNEG9-M-L21-B2</v>
          </cell>
        </row>
        <row r="108">
          <cell r="I108">
            <v>79.8454</v>
          </cell>
          <cell r="J108">
            <v>7.21719</v>
          </cell>
        </row>
        <row r="108">
          <cell r="AA108" t="str">
            <v>2T2R</v>
          </cell>
        </row>
        <row r="109">
          <cell r="E109" t="str">
            <v>GMNEG9</v>
          </cell>
        </row>
        <row r="109">
          <cell r="G109" t="str">
            <v>GMNEG9-M-L21-A2</v>
          </cell>
        </row>
        <row r="109">
          <cell r="I109">
            <v>79.8454</v>
          </cell>
          <cell r="J109">
            <v>7.21719</v>
          </cell>
        </row>
        <row r="109">
          <cell r="AA109" t="str">
            <v>2T2R</v>
          </cell>
        </row>
        <row r="110">
          <cell r="E110" t="str">
            <v>GMPOR1</v>
          </cell>
        </row>
        <row r="110">
          <cell r="G110" t="str">
            <v>GMPOR1I</v>
          </cell>
        </row>
        <row r="110">
          <cell r="I110">
            <v>79.845414</v>
          </cell>
          <cell r="J110">
            <v>7.255533</v>
          </cell>
        </row>
        <row r="110">
          <cell r="AA110" t="str">
            <v>2T2R</v>
          </cell>
        </row>
        <row r="111">
          <cell r="E111" t="str">
            <v>GMPOR1</v>
          </cell>
        </row>
        <row r="111">
          <cell r="G111" t="str">
            <v>GMPOR1H</v>
          </cell>
        </row>
        <row r="111">
          <cell r="I111">
            <v>79.845414</v>
          </cell>
          <cell r="J111">
            <v>7.255533</v>
          </cell>
        </row>
        <row r="111">
          <cell r="AA111" t="str">
            <v>2T2R</v>
          </cell>
        </row>
        <row r="112">
          <cell r="E112" t="str">
            <v>GMPOR1</v>
          </cell>
        </row>
        <row r="112">
          <cell r="G112" t="str">
            <v>GMPOR1G</v>
          </cell>
        </row>
        <row r="112">
          <cell r="I112">
            <v>79.845414</v>
          </cell>
          <cell r="J112">
            <v>7.255533</v>
          </cell>
        </row>
        <row r="112">
          <cell r="AA112" t="str">
            <v>2T2R</v>
          </cell>
        </row>
        <row r="113">
          <cell r="E113" t="str">
            <v>GMPOR1</v>
          </cell>
        </row>
        <row r="113">
          <cell r="G113" t="str">
            <v>GMPOR1-M-L85-A1</v>
          </cell>
        </row>
        <row r="113">
          <cell r="I113">
            <v>79.845414</v>
          </cell>
          <cell r="J113">
            <v>7.255533</v>
          </cell>
        </row>
        <row r="113">
          <cell r="AA113" t="str">
            <v>2T2R</v>
          </cell>
        </row>
        <row r="114">
          <cell r="E114" t="str">
            <v>GMPOR1</v>
          </cell>
        </row>
        <row r="114">
          <cell r="G114" t="str">
            <v>GMPOR1-M-L85-B1</v>
          </cell>
        </row>
        <row r="114">
          <cell r="I114">
            <v>79.845414</v>
          </cell>
          <cell r="J114">
            <v>7.255533</v>
          </cell>
        </row>
        <row r="114">
          <cell r="AA114" t="str">
            <v>2T2R</v>
          </cell>
        </row>
        <row r="115">
          <cell r="E115" t="str">
            <v>GMPOR1</v>
          </cell>
        </row>
        <row r="115">
          <cell r="G115" t="str">
            <v>GMPOR1-M-L85-C1</v>
          </cell>
        </row>
        <row r="115">
          <cell r="I115">
            <v>79.845414</v>
          </cell>
          <cell r="J115">
            <v>7.255533</v>
          </cell>
        </row>
        <row r="115">
          <cell r="AA115" t="str">
            <v>2T2R</v>
          </cell>
        </row>
        <row r="116">
          <cell r="E116" t="str">
            <v>GMPAM1</v>
          </cell>
        </row>
        <row r="116">
          <cell r="G116" t="str">
            <v>GMPAM1I</v>
          </cell>
        </row>
        <row r="116">
          <cell r="I116">
            <v>79.8459</v>
          </cell>
          <cell r="J116">
            <v>7.10965</v>
          </cell>
        </row>
        <row r="116">
          <cell r="AA116" t="str">
            <v>2T2R</v>
          </cell>
        </row>
        <row r="117">
          <cell r="E117" t="str">
            <v>GMPAM1</v>
          </cell>
        </row>
        <row r="117">
          <cell r="G117" t="str">
            <v>GMPAM1H</v>
          </cell>
        </row>
        <row r="117">
          <cell r="I117">
            <v>79.8459</v>
          </cell>
          <cell r="J117">
            <v>7.10965</v>
          </cell>
        </row>
        <row r="117">
          <cell r="AA117" t="str">
            <v>2T2R</v>
          </cell>
        </row>
        <row r="118">
          <cell r="E118" t="str">
            <v>GMPAM1</v>
          </cell>
        </row>
        <row r="118">
          <cell r="G118" t="str">
            <v>GMPAM1G</v>
          </cell>
        </row>
        <row r="118">
          <cell r="I118">
            <v>79.8459</v>
          </cell>
          <cell r="J118">
            <v>7.10965</v>
          </cell>
        </row>
        <row r="118">
          <cell r="AA118" t="str">
            <v>2T2R</v>
          </cell>
        </row>
        <row r="119">
          <cell r="E119" t="str">
            <v>GMPAM1</v>
          </cell>
        </row>
        <row r="119">
          <cell r="G119" t="str">
            <v>GMPAM1-M-L85-C1</v>
          </cell>
        </row>
        <row r="119">
          <cell r="I119">
            <v>79.8459</v>
          </cell>
          <cell r="J119">
            <v>7.10965</v>
          </cell>
        </row>
        <row r="119">
          <cell r="AA119" t="str">
            <v>2T2R</v>
          </cell>
        </row>
        <row r="120">
          <cell r="E120" t="str">
            <v>GMPAM1</v>
          </cell>
        </row>
        <row r="120">
          <cell r="G120" t="str">
            <v>GMPAM1-M-L85-B1</v>
          </cell>
        </row>
        <row r="120">
          <cell r="I120">
            <v>79.8459</v>
          </cell>
          <cell r="J120">
            <v>7.10965</v>
          </cell>
        </row>
        <row r="120">
          <cell r="AA120" t="str">
            <v>2T2R</v>
          </cell>
        </row>
        <row r="121">
          <cell r="E121" t="str">
            <v>GMPAM1</v>
          </cell>
        </row>
        <row r="121">
          <cell r="G121" t="str">
            <v>GMPAM1-M-L85-A1</v>
          </cell>
        </row>
        <row r="121">
          <cell r="I121">
            <v>79.8459</v>
          </cell>
          <cell r="J121">
            <v>7.10965</v>
          </cell>
        </row>
        <row r="121">
          <cell r="AA121" t="str">
            <v>2T2R</v>
          </cell>
        </row>
        <row r="122">
          <cell r="E122" t="str">
            <v>GMPER1</v>
          </cell>
        </row>
        <row r="122">
          <cell r="G122" t="str">
            <v>GMPER1I</v>
          </cell>
        </row>
        <row r="122">
          <cell r="I122">
            <v>79.8470372</v>
          </cell>
          <cell r="J122">
            <v>7.2237968</v>
          </cell>
        </row>
        <row r="122">
          <cell r="AA122" t="str">
            <v>2T2R</v>
          </cell>
        </row>
        <row r="123">
          <cell r="E123" t="str">
            <v>GMPER1</v>
          </cell>
        </row>
        <row r="123">
          <cell r="G123" t="str">
            <v>GMPER1H</v>
          </cell>
        </row>
        <row r="123">
          <cell r="I123">
            <v>79.8470372</v>
          </cell>
          <cell r="J123">
            <v>7.2237968</v>
          </cell>
        </row>
        <row r="123">
          <cell r="AA123" t="str">
            <v>2T2R</v>
          </cell>
        </row>
        <row r="124">
          <cell r="E124" t="str">
            <v>GMPER1</v>
          </cell>
        </row>
        <row r="124">
          <cell r="G124" t="str">
            <v>GMPER1G</v>
          </cell>
        </row>
        <row r="124">
          <cell r="I124">
            <v>79.8470372</v>
          </cell>
          <cell r="J124">
            <v>7.2237968</v>
          </cell>
        </row>
        <row r="124">
          <cell r="AA124" t="str">
            <v>2T2R</v>
          </cell>
        </row>
        <row r="125">
          <cell r="E125" t="str">
            <v>GMBLW3</v>
          </cell>
        </row>
        <row r="125">
          <cell r="G125" t="str">
            <v>GMBLW3I</v>
          </cell>
        </row>
        <row r="125">
          <cell r="I125">
            <v>79.8475</v>
          </cell>
          <cell r="J125">
            <v>7.21291</v>
          </cell>
        </row>
        <row r="125">
          <cell r="AA125" t="str">
            <v>4T4R</v>
          </cell>
        </row>
        <row r="126">
          <cell r="E126" t="str">
            <v>GMBLW3</v>
          </cell>
        </row>
        <row r="126">
          <cell r="G126" t="str">
            <v>GMBLW3H</v>
          </cell>
        </row>
        <row r="126">
          <cell r="I126">
            <v>79.8475</v>
          </cell>
          <cell r="J126">
            <v>7.21291</v>
          </cell>
        </row>
        <row r="126">
          <cell r="AA126" t="str">
            <v>4T4R</v>
          </cell>
        </row>
        <row r="127">
          <cell r="E127" t="str">
            <v>GMBLW3</v>
          </cell>
        </row>
        <row r="127">
          <cell r="G127" t="str">
            <v>GMBLW3G</v>
          </cell>
        </row>
        <row r="127">
          <cell r="I127">
            <v>79.8475</v>
          </cell>
          <cell r="J127">
            <v>7.21291</v>
          </cell>
        </row>
        <row r="127">
          <cell r="AA127" t="str">
            <v>2T2R</v>
          </cell>
        </row>
        <row r="128">
          <cell r="E128" t="str">
            <v>LGM034</v>
          </cell>
        </row>
        <row r="128">
          <cell r="G128" t="str">
            <v>LGM034-M-L21-C2</v>
          </cell>
        </row>
        <row r="128">
          <cell r="I128">
            <v>79.8482</v>
          </cell>
          <cell r="J128">
            <v>7.2304</v>
          </cell>
        </row>
        <row r="128">
          <cell r="AA128" t="str">
            <v>2T2R</v>
          </cell>
        </row>
        <row r="129">
          <cell r="E129" t="str">
            <v>LGM034</v>
          </cell>
        </row>
        <row r="129">
          <cell r="G129" t="str">
            <v>LGM034-M-L21-B2</v>
          </cell>
        </row>
        <row r="129">
          <cell r="I129">
            <v>79.8482</v>
          </cell>
          <cell r="J129">
            <v>7.2304</v>
          </cell>
        </row>
        <row r="129">
          <cell r="AA129" t="str">
            <v>2T2R</v>
          </cell>
        </row>
        <row r="130">
          <cell r="E130" t="str">
            <v>LGM034</v>
          </cell>
        </row>
        <row r="130">
          <cell r="G130" t="str">
            <v>LGM034-M-L21-A2</v>
          </cell>
        </row>
        <row r="130">
          <cell r="I130">
            <v>79.8482</v>
          </cell>
          <cell r="J130">
            <v>7.2304</v>
          </cell>
        </row>
        <row r="130">
          <cell r="AA130" t="str">
            <v>2T2R</v>
          </cell>
        </row>
        <row r="131">
          <cell r="E131" t="str">
            <v>GMKTW3</v>
          </cell>
        </row>
        <row r="131">
          <cell r="G131" t="str">
            <v>GMKTW3I</v>
          </cell>
        </row>
        <row r="131">
          <cell r="I131">
            <v>79.848292</v>
          </cell>
          <cell r="J131">
            <v>7.236391</v>
          </cell>
        </row>
        <row r="131">
          <cell r="AA131" t="str">
            <v>2T2R</v>
          </cell>
        </row>
        <row r="132">
          <cell r="E132" t="str">
            <v>GMKTW3</v>
          </cell>
        </row>
        <row r="132">
          <cell r="G132" t="str">
            <v>GMKTW3H</v>
          </cell>
        </row>
        <row r="132">
          <cell r="I132">
            <v>79.848292</v>
          </cell>
          <cell r="J132">
            <v>7.236391</v>
          </cell>
        </row>
        <row r="132">
          <cell r="AA132" t="str">
            <v>2T2R</v>
          </cell>
        </row>
        <row r="133">
          <cell r="E133" t="str">
            <v>GMKTW3</v>
          </cell>
        </row>
        <row r="133">
          <cell r="G133" t="str">
            <v>GMKTW3G</v>
          </cell>
        </row>
        <row r="133">
          <cell r="I133">
            <v>79.848292</v>
          </cell>
          <cell r="J133">
            <v>7.236391</v>
          </cell>
        </row>
        <row r="133">
          <cell r="AA133" t="str">
            <v>2T2R</v>
          </cell>
        </row>
        <row r="134">
          <cell r="E134" t="str">
            <v>QGMNH1</v>
          </cell>
        </row>
        <row r="134">
          <cell r="G134" t="str">
            <v>QGMNH1G</v>
          </cell>
        </row>
        <row r="134">
          <cell r="I134">
            <v>79.849909</v>
          </cell>
          <cell r="J134">
            <v>7.209341</v>
          </cell>
        </row>
        <row r="134">
          <cell r="AA134" t="str">
            <v>1T1R</v>
          </cell>
        </row>
        <row r="135">
          <cell r="E135" t="str">
            <v>GMPAM2</v>
          </cell>
        </row>
        <row r="135">
          <cell r="G135" t="str">
            <v>GMPAM2I</v>
          </cell>
        </row>
        <row r="135">
          <cell r="I135">
            <v>79.850408</v>
          </cell>
          <cell r="J135">
            <v>7.092714</v>
          </cell>
        </row>
        <row r="135">
          <cell r="AA135" t="str">
            <v>4T4R</v>
          </cell>
        </row>
        <row r="136">
          <cell r="E136" t="str">
            <v>GMPAM2</v>
          </cell>
        </row>
        <row r="136">
          <cell r="G136" t="str">
            <v>GMPAM2H</v>
          </cell>
        </row>
        <row r="136">
          <cell r="I136">
            <v>79.850408</v>
          </cell>
          <cell r="J136">
            <v>7.092714</v>
          </cell>
        </row>
        <row r="136">
          <cell r="AA136" t="str">
            <v>2T2R</v>
          </cell>
        </row>
        <row r="137">
          <cell r="E137" t="str">
            <v>GMKTW2</v>
          </cell>
        </row>
        <row r="137">
          <cell r="G137" t="str">
            <v>GMKTW2G</v>
          </cell>
        </row>
        <row r="137">
          <cell r="I137">
            <v>79.8505</v>
          </cell>
          <cell r="J137">
            <v>7.24947</v>
          </cell>
        </row>
        <row r="137">
          <cell r="AA137" t="str">
            <v>2T2R</v>
          </cell>
        </row>
        <row r="138">
          <cell r="E138" t="str">
            <v>GMKTW2</v>
          </cell>
        </row>
        <row r="138">
          <cell r="G138" t="str">
            <v>GMKTW2H</v>
          </cell>
        </row>
        <row r="138">
          <cell r="I138">
            <v>79.8505</v>
          </cell>
          <cell r="J138">
            <v>7.24947</v>
          </cell>
        </row>
        <row r="138">
          <cell r="AA138" t="str">
            <v>2T2R</v>
          </cell>
        </row>
        <row r="139">
          <cell r="E139" t="str">
            <v>GMKTW2</v>
          </cell>
        </row>
        <row r="139">
          <cell r="G139" t="str">
            <v>GMKTW2I</v>
          </cell>
        </row>
        <row r="139">
          <cell r="I139">
            <v>79.8505</v>
          </cell>
          <cell r="J139">
            <v>7.24947</v>
          </cell>
        </row>
        <row r="139">
          <cell r="AA139" t="str">
            <v>2T2R</v>
          </cell>
        </row>
        <row r="140">
          <cell r="E140" t="str">
            <v>GMKTW2</v>
          </cell>
        </row>
        <row r="140">
          <cell r="G140" t="str">
            <v>GMKTW2F</v>
          </cell>
        </row>
        <row r="140">
          <cell r="I140">
            <v>79.8505</v>
          </cell>
          <cell r="J140">
            <v>7.24947</v>
          </cell>
        </row>
        <row r="140">
          <cell r="AA140" t="str">
            <v>4T4R</v>
          </cell>
        </row>
        <row r="141">
          <cell r="E141" t="str">
            <v>GMKTW2</v>
          </cell>
        </row>
        <row r="141">
          <cell r="G141" t="str">
            <v>GMKTW2-M-L85-C1</v>
          </cell>
        </row>
        <row r="141">
          <cell r="I141">
            <v>79.8505</v>
          </cell>
          <cell r="J141">
            <v>7.24947</v>
          </cell>
        </row>
        <row r="141">
          <cell r="AA141" t="str">
            <v>2T2R</v>
          </cell>
        </row>
        <row r="142">
          <cell r="E142" t="str">
            <v>GMKTW2</v>
          </cell>
        </row>
        <row r="142">
          <cell r="G142" t="str">
            <v>GMKTW2-M-L85-B1</v>
          </cell>
        </row>
        <row r="142">
          <cell r="I142">
            <v>79.8505</v>
          </cell>
          <cell r="J142">
            <v>7.24947</v>
          </cell>
        </row>
        <row r="142">
          <cell r="AA142" t="str">
            <v>2T2R</v>
          </cell>
        </row>
        <row r="143">
          <cell r="E143" t="str">
            <v>GMKTW2</v>
          </cell>
        </row>
        <row r="143">
          <cell r="G143" t="str">
            <v>GMKTW2-M-L85-A1</v>
          </cell>
        </row>
        <row r="143">
          <cell r="I143">
            <v>79.8505</v>
          </cell>
          <cell r="J143">
            <v>7.24947</v>
          </cell>
        </row>
        <row r="143">
          <cell r="AA143" t="str">
            <v>2T2R</v>
          </cell>
        </row>
        <row r="144">
          <cell r="E144" t="str">
            <v>GMBLW1</v>
          </cell>
        </row>
        <row r="144">
          <cell r="G144" t="str">
            <v>GMBLW1-M-L21-C2</v>
          </cell>
        </row>
        <row r="144">
          <cell r="I144">
            <v>79.8527</v>
          </cell>
          <cell r="J144">
            <v>7.20187</v>
          </cell>
        </row>
        <row r="144">
          <cell r="AA144" t="str">
            <v>2T2R</v>
          </cell>
        </row>
        <row r="145">
          <cell r="E145" t="str">
            <v>GMBLW1</v>
          </cell>
        </row>
        <row r="145">
          <cell r="G145" t="str">
            <v>GMBLW1-M-L21-B2</v>
          </cell>
        </row>
        <row r="145">
          <cell r="I145">
            <v>79.8527</v>
          </cell>
          <cell r="J145">
            <v>7.20187</v>
          </cell>
        </row>
        <row r="145">
          <cell r="AA145" t="str">
            <v>2T2R</v>
          </cell>
        </row>
        <row r="146">
          <cell r="E146" t="str">
            <v>GMBLW1</v>
          </cell>
        </row>
        <row r="146">
          <cell r="G146" t="str">
            <v>GMBLW1-M-L21-A2</v>
          </cell>
        </row>
        <row r="146">
          <cell r="I146">
            <v>79.8527</v>
          </cell>
          <cell r="J146">
            <v>7.20187</v>
          </cell>
        </row>
        <row r="146">
          <cell r="AA146" t="str">
            <v>2T2R</v>
          </cell>
        </row>
        <row r="147">
          <cell r="E147" t="str">
            <v>GMBLW1</v>
          </cell>
        </row>
        <row r="147">
          <cell r="G147" t="str">
            <v>GMBLW1I</v>
          </cell>
        </row>
        <row r="147">
          <cell r="I147">
            <v>79.8527</v>
          </cell>
          <cell r="J147">
            <v>7.20187</v>
          </cell>
        </row>
        <row r="147">
          <cell r="AA147" t="str">
            <v>4T4R</v>
          </cell>
        </row>
        <row r="148">
          <cell r="E148" t="str">
            <v>GMBLW1</v>
          </cell>
        </row>
        <row r="148">
          <cell r="G148" t="str">
            <v>GMBLW1H</v>
          </cell>
        </row>
        <row r="148">
          <cell r="I148">
            <v>79.8527</v>
          </cell>
          <cell r="J148">
            <v>7.20187</v>
          </cell>
        </row>
        <row r="148">
          <cell r="AA148" t="str">
            <v>4T4R</v>
          </cell>
        </row>
        <row r="149">
          <cell r="E149" t="str">
            <v>GMBLW1</v>
          </cell>
        </row>
        <row r="149">
          <cell r="G149" t="str">
            <v>GMBLW1G</v>
          </cell>
        </row>
        <row r="149">
          <cell r="I149">
            <v>79.8527</v>
          </cell>
          <cell r="J149">
            <v>7.20187</v>
          </cell>
        </row>
        <row r="149">
          <cell r="AA149" t="str">
            <v>4T4R</v>
          </cell>
        </row>
        <row r="150">
          <cell r="E150" t="str">
            <v>GMBLW1</v>
          </cell>
        </row>
        <row r="150">
          <cell r="G150" t="str">
            <v>GMBLW1-M-L85-C1</v>
          </cell>
        </row>
        <row r="150">
          <cell r="I150">
            <v>79.8527</v>
          </cell>
          <cell r="J150">
            <v>7.20187</v>
          </cell>
        </row>
        <row r="150">
          <cell r="AA150" t="str">
            <v>2T2R</v>
          </cell>
        </row>
        <row r="151">
          <cell r="E151" t="str">
            <v>GMBLW1</v>
          </cell>
        </row>
        <row r="151">
          <cell r="G151" t="str">
            <v>GMBLW1-M-L85-B1</v>
          </cell>
        </row>
        <row r="151">
          <cell r="I151">
            <v>79.8527</v>
          </cell>
          <cell r="J151">
            <v>7.20187</v>
          </cell>
        </row>
        <row r="151">
          <cell r="AA151" t="str">
            <v>2T2R</v>
          </cell>
        </row>
        <row r="152">
          <cell r="E152" t="str">
            <v>GMBLW1</v>
          </cell>
        </row>
        <row r="152">
          <cell r="G152" t="str">
            <v>GMBLW1-M-L85-A1</v>
          </cell>
        </row>
        <row r="152">
          <cell r="I152">
            <v>79.8527</v>
          </cell>
          <cell r="J152">
            <v>7.20187</v>
          </cell>
        </row>
        <row r="152">
          <cell r="AA152" t="str">
            <v>2T2R</v>
          </cell>
        </row>
        <row r="153">
          <cell r="E153" t="str">
            <v>GMNEG5</v>
          </cell>
        </row>
        <row r="153">
          <cell r="G153" t="str">
            <v>GMNEG5-M-L21-C2</v>
          </cell>
        </row>
        <row r="153">
          <cell r="I153">
            <v>79.8537</v>
          </cell>
          <cell r="J153">
            <v>7.21714</v>
          </cell>
        </row>
        <row r="153">
          <cell r="AA153" t="str">
            <v>2T2R</v>
          </cell>
        </row>
        <row r="154">
          <cell r="E154" t="str">
            <v>GMNEG5</v>
          </cell>
        </row>
        <row r="154">
          <cell r="G154" t="str">
            <v>GMNEG5-M-L21-A2</v>
          </cell>
        </row>
        <row r="154">
          <cell r="I154">
            <v>79.8537</v>
          </cell>
          <cell r="J154">
            <v>7.21714</v>
          </cell>
        </row>
        <row r="154">
          <cell r="AA154" t="str">
            <v>2T2R</v>
          </cell>
        </row>
        <row r="155">
          <cell r="E155" t="str">
            <v>GMNEG5</v>
          </cell>
        </row>
        <row r="155">
          <cell r="G155" t="str">
            <v>GMNEG5I</v>
          </cell>
        </row>
        <row r="155">
          <cell r="I155">
            <v>79.8537</v>
          </cell>
          <cell r="J155">
            <v>7.21714</v>
          </cell>
        </row>
        <row r="155">
          <cell r="AA155" t="str">
            <v>4T4R</v>
          </cell>
        </row>
        <row r="156">
          <cell r="E156" t="str">
            <v>GMNEG5</v>
          </cell>
        </row>
        <row r="156">
          <cell r="G156" t="str">
            <v>GMNEG5H</v>
          </cell>
        </row>
        <row r="156">
          <cell r="I156">
            <v>79.8537</v>
          </cell>
          <cell r="J156">
            <v>7.21714</v>
          </cell>
        </row>
        <row r="156">
          <cell r="AA156" t="str">
            <v>4T4R</v>
          </cell>
        </row>
        <row r="157">
          <cell r="E157" t="str">
            <v>GMNEG5</v>
          </cell>
        </row>
        <row r="157">
          <cell r="G157" t="str">
            <v>GMNEG5G</v>
          </cell>
        </row>
        <row r="157">
          <cell r="I157">
            <v>79.8537</v>
          </cell>
          <cell r="J157">
            <v>7.21714</v>
          </cell>
        </row>
        <row r="157">
          <cell r="AA157" t="str">
            <v>4T4R</v>
          </cell>
        </row>
        <row r="158">
          <cell r="E158" t="str">
            <v>GMKTW1</v>
          </cell>
        </row>
        <row r="158">
          <cell r="G158" t="str">
            <v>GMKTW1G</v>
          </cell>
        </row>
        <row r="158">
          <cell r="I158">
            <v>79.8541</v>
          </cell>
          <cell r="J158">
            <v>7.23158</v>
          </cell>
        </row>
        <row r="158">
          <cell r="AA158" t="str">
            <v>4T4R</v>
          </cell>
        </row>
        <row r="159">
          <cell r="E159" t="str">
            <v>GMKTW1</v>
          </cell>
        </row>
        <row r="159">
          <cell r="G159" t="str">
            <v>GMKTW1H</v>
          </cell>
        </row>
        <row r="159">
          <cell r="I159">
            <v>79.8541</v>
          </cell>
          <cell r="J159">
            <v>7.23158</v>
          </cell>
        </row>
        <row r="159">
          <cell r="AA159" t="str">
            <v>4T4R</v>
          </cell>
        </row>
        <row r="160">
          <cell r="E160" t="str">
            <v>GMKTW1</v>
          </cell>
        </row>
        <row r="160">
          <cell r="G160" t="str">
            <v>GMKTW1I</v>
          </cell>
        </row>
        <row r="160">
          <cell r="I160">
            <v>79.8541</v>
          </cell>
          <cell r="J160">
            <v>7.23158</v>
          </cell>
        </row>
        <row r="160">
          <cell r="AA160" t="str">
            <v>4T4R</v>
          </cell>
        </row>
        <row r="161">
          <cell r="E161" t="str">
            <v>GMKTW1</v>
          </cell>
        </row>
        <row r="161">
          <cell r="G161" t="str">
            <v>GMKTW1F</v>
          </cell>
        </row>
        <row r="161">
          <cell r="I161">
            <v>79.8541</v>
          </cell>
          <cell r="J161">
            <v>7.23158</v>
          </cell>
        </row>
        <row r="161">
          <cell r="AA161" t="str">
            <v>2T2R</v>
          </cell>
        </row>
        <row r="162">
          <cell r="E162" t="str">
            <v>GMKTW1</v>
          </cell>
        </row>
        <row r="162">
          <cell r="G162" t="str">
            <v>GMKTW1-M-L21-C2</v>
          </cell>
        </row>
        <row r="162">
          <cell r="I162">
            <v>79.8541</v>
          </cell>
          <cell r="J162">
            <v>7.23158</v>
          </cell>
        </row>
        <row r="162">
          <cell r="AA162" t="str">
            <v>4T4R</v>
          </cell>
        </row>
        <row r="163">
          <cell r="E163" t="str">
            <v>GMKTW1</v>
          </cell>
        </row>
        <row r="163">
          <cell r="G163" t="str">
            <v>GMKTW1-M-L21-B2</v>
          </cell>
        </row>
        <row r="163">
          <cell r="I163">
            <v>79.8541</v>
          </cell>
          <cell r="J163">
            <v>7.23158</v>
          </cell>
        </row>
        <row r="163">
          <cell r="AA163" t="str">
            <v>2T2R</v>
          </cell>
        </row>
        <row r="164">
          <cell r="E164" t="str">
            <v>GMKTW1</v>
          </cell>
        </row>
        <row r="164">
          <cell r="G164" t="str">
            <v>GMKTW1-M-L21-A2</v>
          </cell>
        </row>
        <row r="164">
          <cell r="I164">
            <v>79.8541</v>
          </cell>
          <cell r="J164">
            <v>7.23158</v>
          </cell>
        </row>
        <row r="164">
          <cell r="AA164" t="str">
            <v>2T2R</v>
          </cell>
        </row>
        <row r="165">
          <cell r="E165" t="str">
            <v>GMBLW2</v>
          </cell>
        </row>
        <row r="165">
          <cell r="G165" t="str">
            <v>GMBLW2I</v>
          </cell>
        </row>
        <row r="165">
          <cell r="I165">
            <v>79.8544</v>
          </cell>
          <cell r="J165">
            <v>7.21122</v>
          </cell>
        </row>
        <row r="165">
          <cell r="AA165" t="str">
            <v>2T2R</v>
          </cell>
        </row>
        <row r="166">
          <cell r="E166" t="str">
            <v>GMBLW2</v>
          </cell>
        </row>
        <row r="166">
          <cell r="G166" t="str">
            <v>GMBLW2H</v>
          </cell>
        </row>
        <row r="166">
          <cell r="I166">
            <v>79.8544</v>
          </cell>
          <cell r="J166">
            <v>7.21122</v>
          </cell>
        </row>
        <row r="166">
          <cell r="AA166" t="str">
            <v>2T2R</v>
          </cell>
        </row>
        <row r="167">
          <cell r="E167" t="str">
            <v>GMBLW2</v>
          </cell>
        </row>
        <row r="167">
          <cell r="G167" t="str">
            <v>GMBLW2G</v>
          </cell>
        </row>
        <row r="167">
          <cell r="I167">
            <v>79.8544</v>
          </cell>
          <cell r="J167">
            <v>7.21122</v>
          </cell>
        </row>
        <row r="167">
          <cell r="AA167" t="str">
            <v>2T2R</v>
          </cell>
        </row>
        <row r="168">
          <cell r="E168" t="str">
            <v>QGMAL1</v>
          </cell>
        </row>
        <row r="168">
          <cell r="G168" t="str">
            <v>QGMAL1G</v>
          </cell>
        </row>
        <row r="168">
          <cell r="I168">
            <v>79.85474</v>
          </cell>
          <cell r="J168">
            <v>7.190412</v>
          </cell>
        </row>
        <row r="168">
          <cell r="AA168" t="str">
            <v>1T1R</v>
          </cell>
        </row>
        <row r="169">
          <cell r="E169" t="str">
            <v>ZWAT12</v>
          </cell>
        </row>
        <row r="169">
          <cell r="G169" t="str">
            <v>ZWAT12-M-L21-D2</v>
          </cell>
        </row>
        <row r="169">
          <cell r="I169">
            <v>79.8553</v>
          </cell>
          <cell r="J169">
            <v>7.07883</v>
          </cell>
        </row>
        <row r="169">
          <cell r="AA169" t="str">
            <v>2T2R</v>
          </cell>
        </row>
        <row r="170">
          <cell r="E170" t="str">
            <v>ZWAT12</v>
          </cell>
        </row>
        <row r="170">
          <cell r="G170" t="str">
            <v>ZWAT12-M-L21-B2</v>
          </cell>
        </row>
        <row r="170">
          <cell r="I170">
            <v>79.8553</v>
          </cell>
          <cell r="J170">
            <v>7.07883</v>
          </cell>
        </row>
        <row r="170">
          <cell r="AA170" t="str">
            <v>2T2R</v>
          </cell>
        </row>
        <row r="171">
          <cell r="E171" t="str">
            <v>ZWAT12</v>
          </cell>
        </row>
        <row r="171">
          <cell r="G171" t="str">
            <v>ZWAT12-M-L21-A2</v>
          </cell>
        </row>
        <row r="171">
          <cell r="I171">
            <v>79.8553</v>
          </cell>
          <cell r="J171">
            <v>7.07883</v>
          </cell>
        </row>
        <row r="171">
          <cell r="AA171" t="str">
            <v>2T2R</v>
          </cell>
        </row>
        <row r="172">
          <cell r="E172" t="str">
            <v>ZWAT12</v>
          </cell>
        </row>
        <row r="172">
          <cell r="G172" t="str">
            <v>ZWAT12I</v>
          </cell>
        </row>
        <row r="172">
          <cell r="I172">
            <v>79.8553</v>
          </cell>
          <cell r="J172">
            <v>7.07883</v>
          </cell>
        </row>
        <row r="172">
          <cell r="AA172" t="str">
            <v>2T2R</v>
          </cell>
        </row>
        <row r="173">
          <cell r="E173" t="str">
            <v>ZWAT12</v>
          </cell>
        </row>
        <row r="173">
          <cell r="G173" t="str">
            <v>ZWAT12H</v>
          </cell>
        </row>
        <row r="173">
          <cell r="I173">
            <v>79.8553</v>
          </cell>
          <cell r="J173">
            <v>7.07883</v>
          </cell>
        </row>
        <row r="173">
          <cell r="AA173" t="str">
            <v>2T2R</v>
          </cell>
        </row>
        <row r="174">
          <cell r="E174" t="str">
            <v>ZWAT12</v>
          </cell>
        </row>
        <row r="174">
          <cell r="G174" t="str">
            <v>ZWAT12G</v>
          </cell>
        </row>
        <row r="174">
          <cell r="I174">
            <v>79.8553</v>
          </cell>
          <cell r="J174">
            <v>7.07883</v>
          </cell>
        </row>
        <row r="174">
          <cell r="AA174" t="str">
            <v>2T2R</v>
          </cell>
        </row>
        <row r="175">
          <cell r="E175" t="str">
            <v>ZWAT12</v>
          </cell>
        </row>
        <row r="175">
          <cell r="G175" t="str">
            <v>ZWAT12F</v>
          </cell>
        </row>
        <row r="175">
          <cell r="I175">
            <v>79.8553</v>
          </cell>
          <cell r="J175">
            <v>7.07883</v>
          </cell>
        </row>
        <row r="175">
          <cell r="AA175" t="str">
            <v>2T2R</v>
          </cell>
        </row>
        <row r="176">
          <cell r="E176" t="str">
            <v>ZWAT12</v>
          </cell>
        </row>
        <row r="176">
          <cell r="G176" t="str">
            <v>ZWAT12-M-L85-C1</v>
          </cell>
        </row>
        <row r="176">
          <cell r="I176">
            <v>79.8553</v>
          </cell>
          <cell r="J176">
            <v>7.07883</v>
          </cell>
        </row>
        <row r="176">
          <cell r="AA176" t="str">
            <v>2T2R</v>
          </cell>
        </row>
        <row r="177">
          <cell r="E177" t="str">
            <v>ZWAT12</v>
          </cell>
        </row>
        <row r="177">
          <cell r="G177" t="str">
            <v>ZWAT12-M-L85-B1</v>
          </cell>
        </row>
        <row r="177">
          <cell r="I177">
            <v>79.8553</v>
          </cell>
          <cell r="J177">
            <v>7.07883</v>
          </cell>
        </row>
        <row r="177">
          <cell r="AA177" t="str">
            <v>2T2R</v>
          </cell>
        </row>
        <row r="178">
          <cell r="E178" t="str">
            <v>ZWAT12</v>
          </cell>
        </row>
        <row r="178">
          <cell r="G178" t="str">
            <v>ZWAT12-M-L85-A1</v>
          </cell>
        </row>
        <row r="178">
          <cell r="I178">
            <v>79.8553</v>
          </cell>
          <cell r="J178">
            <v>7.07883</v>
          </cell>
        </row>
        <row r="178">
          <cell r="AA178" t="str">
            <v>2T2R</v>
          </cell>
        </row>
        <row r="179">
          <cell r="E179" t="str">
            <v>GMKOC1</v>
          </cell>
        </row>
        <row r="179">
          <cell r="G179" t="str">
            <v>GMKOC1-M-L21-B2</v>
          </cell>
        </row>
        <row r="179">
          <cell r="I179">
            <v>79.8565</v>
          </cell>
          <cell r="J179">
            <v>7.2647</v>
          </cell>
        </row>
        <row r="179">
          <cell r="AA179" t="str">
            <v>2T2R</v>
          </cell>
        </row>
        <row r="180">
          <cell r="E180" t="str">
            <v>GMKOC1</v>
          </cell>
        </row>
        <row r="180">
          <cell r="G180" t="str">
            <v>GMKOC1I</v>
          </cell>
        </row>
        <row r="180">
          <cell r="I180">
            <v>79.8565</v>
          </cell>
          <cell r="J180">
            <v>7.2647</v>
          </cell>
        </row>
        <row r="180">
          <cell r="AA180" t="str">
            <v>4T4R</v>
          </cell>
        </row>
        <row r="181">
          <cell r="E181" t="str">
            <v>GMKOC1</v>
          </cell>
        </row>
        <row r="181">
          <cell r="G181" t="str">
            <v>GMKOC1H</v>
          </cell>
        </row>
        <row r="181">
          <cell r="I181">
            <v>79.8565</v>
          </cell>
          <cell r="J181">
            <v>7.2647</v>
          </cell>
        </row>
        <row r="181">
          <cell r="AA181" t="str">
            <v>4T4R</v>
          </cell>
        </row>
        <row r="182">
          <cell r="E182" t="str">
            <v>GMKOC1</v>
          </cell>
        </row>
        <row r="182">
          <cell r="G182" t="str">
            <v>GMKOC1G</v>
          </cell>
        </row>
        <row r="182">
          <cell r="I182">
            <v>79.8565</v>
          </cell>
          <cell r="J182">
            <v>7.2647</v>
          </cell>
        </row>
        <row r="182">
          <cell r="AA182" t="str">
            <v>4T4R</v>
          </cell>
        </row>
        <row r="183">
          <cell r="E183" t="str">
            <v>GMKOC1</v>
          </cell>
        </row>
        <row r="183">
          <cell r="G183" t="str">
            <v>GMKOC1-M-L85-C1</v>
          </cell>
        </row>
        <row r="183">
          <cell r="I183">
            <v>79.8565</v>
          </cell>
          <cell r="J183">
            <v>7.2647</v>
          </cell>
        </row>
        <row r="183">
          <cell r="AA183" t="str">
            <v>2T2R</v>
          </cell>
        </row>
        <row r="184">
          <cell r="E184" t="str">
            <v>GMKOC1</v>
          </cell>
        </row>
        <row r="184">
          <cell r="G184" t="str">
            <v>GMKOC1-M-L85-B1</v>
          </cell>
        </row>
        <row r="184">
          <cell r="I184">
            <v>79.8565</v>
          </cell>
          <cell r="J184">
            <v>7.2647</v>
          </cell>
        </row>
        <row r="184">
          <cell r="AA184" t="str">
            <v>2T2R</v>
          </cell>
        </row>
        <row r="185">
          <cell r="E185" t="str">
            <v>GMKOC1</v>
          </cell>
        </row>
        <row r="185">
          <cell r="G185" t="str">
            <v>GMKOC1-M-L85-A1</v>
          </cell>
        </row>
        <row r="185">
          <cell r="I185">
            <v>79.8565</v>
          </cell>
          <cell r="J185">
            <v>7.2647</v>
          </cell>
        </row>
        <row r="185">
          <cell r="AA185" t="str">
            <v>2T2R</v>
          </cell>
        </row>
        <row r="186">
          <cell r="E186" t="str">
            <v>GMNEG4</v>
          </cell>
        </row>
        <row r="186">
          <cell r="G186" t="str">
            <v>GMNEG4-M-L21-C2</v>
          </cell>
        </row>
        <row r="186">
          <cell r="I186">
            <v>79.8573</v>
          </cell>
          <cell r="J186">
            <v>7.19214</v>
          </cell>
        </row>
        <row r="186">
          <cell r="AA186" t="str">
            <v>2T2R</v>
          </cell>
        </row>
        <row r="187">
          <cell r="E187" t="str">
            <v>GMNEG4</v>
          </cell>
        </row>
        <row r="187">
          <cell r="G187" t="str">
            <v>GMNEG4-M-L21-B2</v>
          </cell>
        </row>
        <row r="187">
          <cell r="I187">
            <v>79.8573</v>
          </cell>
          <cell r="J187">
            <v>7.19214</v>
          </cell>
        </row>
        <row r="187">
          <cell r="AA187" t="str">
            <v>2T2R</v>
          </cell>
        </row>
        <row r="188">
          <cell r="E188" t="str">
            <v>GMNEG4</v>
          </cell>
        </row>
        <row r="188">
          <cell r="G188" t="str">
            <v>GMNEG4-M-L21-A2</v>
          </cell>
        </row>
        <row r="188">
          <cell r="I188">
            <v>79.8573</v>
          </cell>
          <cell r="J188">
            <v>7.19214</v>
          </cell>
        </row>
        <row r="188">
          <cell r="AA188" t="str">
            <v>2T2R</v>
          </cell>
        </row>
        <row r="189">
          <cell r="E189" t="str">
            <v>GMNEG4</v>
          </cell>
        </row>
        <row r="189">
          <cell r="G189" t="str">
            <v>GMNEG4-M-L85-C1</v>
          </cell>
        </row>
        <row r="189">
          <cell r="I189">
            <v>79.8573</v>
          </cell>
          <cell r="J189">
            <v>7.19214</v>
          </cell>
        </row>
        <row r="189">
          <cell r="AA189" t="str">
            <v>2T2R</v>
          </cell>
        </row>
        <row r="190">
          <cell r="E190" t="str">
            <v>GMNEG4</v>
          </cell>
        </row>
        <row r="190">
          <cell r="G190" t="str">
            <v>GMNEG4-M-L85-B1</v>
          </cell>
        </row>
        <row r="190">
          <cell r="I190">
            <v>79.8573</v>
          </cell>
          <cell r="J190">
            <v>7.19214</v>
          </cell>
        </row>
        <row r="190">
          <cell r="AA190" t="str">
            <v>2T2R</v>
          </cell>
        </row>
        <row r="191">
          <cell r="E191" t="str">
            <v>GMNEG4</v>
          </cell>
        </row>
        <row r="191">
          <cell r="G191" t="str">
            <v>GMNEG4-M-L85-A1</v>
          </cell>
        </row>
        <row r="191">
          <cell r="I191">
            <v>79.8573</v>
          </cell>
          <cell r="J191">
            <v>7.19214</v>
          </cell>
        </row>
        <row r="191">
          <cell r="AA191" t="str">
            <v>2T2R</v>
          </cell>
        </row>
        <row r="192">
          <cell r="E192" t="str">
            <v>GMNEG4</v>
          </cell>
        </row>
        <row r="192">
          <cell r="G192" t="str">
            <v>GMNEG4I</v>
          </cell>
        </row>
        <row r="192">
          <cell r="I192">
            <v>79.8573</v>
          </cell>
          <cell r="J192">
            <v>7.19214</v>
          </cell>
        </row>
        <row r="192">
          <cell r="AA192" t="str">
            <v>4T4R</v>
          </cell>
        </row>
        <row r="193">
          <cell r="E193" t="str">
            <v>GMNEG4</v>
          </cell>
        </row>
        <row r="193">
          <cell r="G193" t="str">
            <v>GMNEG4H</v>
          </cell>
        </row>
        <row r="193">
          <cell r="I193">
            <v>79.8573</v>
          </cell>
          <cell r="J193">
            <v>7.19214</v>
          </cell>
        </row>
        <row r="193">
          <cell r="AA193" t="str">
            <v>4T4R</v>
          </cell>
        </row>
        <row r="194">
          <cell r="E194" t="str">
            <v>GMNEG4</v>
          </cell>
        </row>
        <row r="194">
          <cell r="G194" t="str">
            <v>GMNEG4G</v>
          </cell>
        </row>
        <row r="194">
          <cell r="I194">
            <v>79.8573</v>
          </cell>
          <cell r="J194">
            <v>7.19214</v>
          </cell>
        </row>
        <row r="194">
          <cell r="AA194" t="str">
            <v>4T4R</v>
          </cell>
        </row>
        <row r="195">
          <cell r="E195" t="str">
            <v>ZWAT33</v>
          </cell>
        </row>
        <row r="195">
          <cell r="G195" t="str">
            <v>ZWAT33-M-L85-A1</v>
          </cell>
        </row>
        <row r="195">
          <cell r="I195">
            <v>79.8574</v>
          </cell>
          <cell r="J195">
            <v>7.06522</v>
          </cell>
        </row>
        <row r="195">
          <cell r="AA195" t="str">
            <v>2T2R</v>
          </cell>
        </row>
        <row r="196">
          <cell r="E196" t="str">
            <v>ZWAT33</v>
          </cell>
        </row>
        <row r="196">
          <cell r="G196" t="str">
            <v>ZWAT33-M-L85-B1</v>
          </cell>
        </row>
        <row r="196">
          <cell r="I196">
            <v>79.8574</v>
          </cell>
          <cell r="J196">
            <v>7.06522</v>
          </cell>
        </row>
        <row r="196">
          <cell r="AA196" t="str">
            <v>2T2R</v>
          </cell>
        </row>
        <row r="197">
          <cell r="E197" t="str">
            <v>ZWAT33</v>
          </cell>
        </row>
        <row r="197">
          <cell r="G197" t="str">
            <v>ZWAT33-M-L85-C1</v>
          </cell>
        </row>
        <row r="197">
          <cell r="I197">
            <v>79.8574</v>
          </cell>
          <cell r="J197">
            <v>7.06522</v>
          </cell>
        </row>
        <row r="197">
          <cell r="AA197" t="str">
            <v>2T2R</v>
          </cell>
        </row>
        <row r="198">
          <cell r="E198" t="str">
            <v>ZWAT33</v>
          </cell>
        </row>
        <row r="198">
          <cell r="G198" t="str">
            <v>ZWAT33I</v>
          </cell>
        </row>
        <row r="198">
          <cell r="I198">
            <v>79.8574</v>
          </cell>
          <cell r="J198">
            <v>7.06522</v>
          </cell>
        </row>
        <row r="198">
          <cell r="AA198" t="str">
            <v>4T4R</v>
          </cell>
        </row>
        <row r="199">
          <cell r="E199" t="str">
            <v>ZWAT33</v>
          </cell>
        </row>
        <row r="199">
          <cell r="G199" t="str">
            <v>ZWAT33H</v>
          </cell>
        </row>
        <row r="199">
          <cell r="I199">
            <v>79.8574</v>
          </cell>
          <cell r="J199">
            <v>7.06522</v>
          </cell>
        </row>
        <row r="199">
          <cell r="AA199" t="str">
            <v>4T4R</v>
          </cell>
        </row>
        <row r="200">
          <cell r="E200" t="str">
            <v>ZWAT33</v>
          </cell>
        </row>
        <row r="200">
          <cell r="G200" t="str">
            <v>ZWAT33G</v>
          </cell>
        </row>
        <row r="200">
          <cell r="I200">
            <v>79.8574</v>
          </cell>
          <cell r="J200">
            <v>7.06522</v>
          </cell>
        </row>
        <row r="200">
          <cell r="AA200" t="str">
            <v>4T4R</v>
          </cell>
        </row>
        <row r="201">
          <cell r="E201" t="str">
            <v>IBGDZ1</v>
          </cell>
        </row>
        <row r="201">
          <cell r="G201" t="str">
            <v>IBGDZ1H</v>
          </cell>
        </row>
        <row r="201">
          <cell r="I201">
            <v>79.8586</v>
          </cell>
          <cell r="J201">
            <v>7.1854</v>
          </cell>
        </row>
        <row r="201">
          <cell r="AA201" t="str">
            <v>1T1R</v>
          </cell>
        </row>
        <row r="202">
          <cell r="E202" t="str">
            <v>IBGDZ1</v>
          </cell>
        </row>
        <row r="202">
          <cell r="G202" t="str">
            <v>IBGDZ1G</v>
          </cell>
        </row>
        <row r="202">
          <cell r="I202">
            <v>79.8586</v>
          </cell>
          <cell r="J202">
            <v>7.1854</v>
          </cell>
        </row>
        <row r="202">
          <cell r="AA202" t="str">
            <v>1T1R</v>
          </cell>
        </row>
        <row r="203">
          <cell r="E203" t="str">
            <v>ZWAT13</v>
          </cell>
        </row>
        <row r="203">
          <cell r="G203" t="str">
            <v>ZWAT13G</v>
          </cell>
        </row>
        <row r="203">
          <cell r="I203">
            <v>79.8623</v>
          </cell>
          <cell r="J203">
            <v>7.04084</v>
          </cell>
        </row>
        <row r="203">
          <cell r="AA203" t="str">
            <v>4T4R</v>
          </cell>
        </row>
        <row r="204">
          <cell r="E204" t="str">
            <v>ZWAT13</v>
          </cell>
        </row>
        <row r="204">
          <cell r="G204" t="str">
            <v>ZWAT13I</v>
          </cell>
        </row>
        <row r="204">
          <cell r="I204">
            <v>79.8623</v>
          </cell>
          <cell r="J204">
            <v>7.04084</v>
          </cell>
        </row>
        <row r="204">
          <cell r="AA204" t="str">
            <v>4T4R</v>
          </cell>
        </row>
        <row r="205">
          <cell r="E205" t="str">
            <v>ZWAT13</v>
          </cell>
        </row>
        <row r="205">
          <cell r="G205" t="str">
            <v>ZWAT13H</v>
          </cell>
        </row>
        <row r="205">
          <cell r="I205">
            <v>79.8623</v>
          </cell>
          <cell r="J205">
            <v>7.04084</v>
          </cell>
        </row>
        <row r="205">
          <cell r="AA205" t="str">
            <v>2T2R</v>
          </cell>
        </row>
        <row r="206">
          <cell r="E206" t="str">
            <v>ZWAT13</v>
          </cell>
        </row>
        <row r="206">
          <cell r="G206" t="str">
            <v>ZWAT13F</v>
          </cell>
        </row>
        <row r="206">
          <cell r="I206">
            <v>79.8623</v>
          </cell>
          <cell r="J206">
            <v>7.04084</v>
          </cell>
        </row>
        <row r="206">
          <cell r="AA206" t="str">
            <v>2T2R</v>
          </cell>
        </row>
        <row r="207">
          <cell r="E207" t="str">
            <v>ZWAT13</v>
          </cell>
        </row>
        <row r="207">
          <cell r="G207" t="str">
            <v>ZWAT13-M-L85-C1</v>
          </cell>
        </row>
        <row r="207">
          <cell r="I207">
            <v>79.8623</v>
          </cell>
          <cell r="J207">
            <v>7.04084</v>
          </cell>
        </row>
        <row r="207">
          <cell r="AA207" t="str">
            <v>2T2R</v>
          </cell>
        </row>
        <row r="208">
          <cell r="E208" t="str">
            <v>ZWAT13</v>
          </cell>
        </row>
        <row r="208">
          <cell r="G208" t="str">
            <v>ZWAT13-M-L85-B1</v>
          </cell>
        </row>
        <row r="208">
          <cell r="I208">
            <v>79.8623</v>
          </cell>
          <cell r="J208">
            <v>7.04084</v>
          </cell>
        </row>
        <row r="208">
          <cell r="AA208" t="str">
            <v>2T2R</v>
          </cell>
        </row>
        <row r="209">
          <cell r="E209" t="str">
            <v>ZWAT13</v>
          </cell>
        </row>
        <row r="209">
          <cell r="G209" t="str">
            <v>ZWAT13-M-L85-A1</v>
          </cell>
        </row>
        <row r="209">
          <cell r="I209">
            <v>79.8623</v>
          </cell>
          <cell r="J209">
            <v>7.04084</v>
          </cell>
        </row>
        <row r="209">
          <cell r="AA209" t="str">
            <v>2T2R</v>
          </cell>
        </row>
        <row r="210">
          <cell r="E210" t="str">
            <v>ZWAT13</v>
          </cell>
        </row>
        <row r="210">
          <cell r="G210" t="str">
            <v>ZWAT13-M-L18-B1</v>
          </cell>
        </row>
        <row r="210">
          <cell r="I210">
            <v>79.8623</v>
          </cell>
          <cell r="J210">
            <v>7.04084</v>
          </cell>
        </row>
        <row r="210">
          <cell r="AA210" t="str">
            <v>2T2R</v>
          </cell>
        </row>
        <row r="211">
          <cell r="E211" t="str">
            <v>ZWAT13</v>
          </cell>
        </row>
        <row r="211">
          <cell r="G211" t="str">
            <v>ZWAT13-M-L21-C2</v>
          </cell>
        </row>
        <row r="211">
          <cell r="I211">
            <v>79.8623</v>
          </cell>
          <cell r="J211">
            <v>7.04084</v>
          </cell>
        </row>
        <row r="211">
          <cell r="AA211" t="str">
            <v>2T2R</v>
          </cell>
        </row>
        <row r="212">
          <cell r="E212" t="str">
            <v>ZWAT13</v>
          </cell>
        </row>
        <row r="212">
          <cell r="G212" t="str">
            <v>ZWAT13-M-L21-B2</v>
          </cell>
        </row>
        <row r="212">
          <cell r="I212">
            <v>79.8623</v>
          </cell>
          <cell r="J212">
            <v>7.04084</v>
          </cell>
        </row>
        <row r="212">
          <cell r="AA212" t="str">
            <v>2T2R</v>
          </cell>
        </row>
        <row r="213">
          <cell r="E213" t="str">
            <v>ZWAT13</v>
          </cell>
        </row>
        <row r="213">
          <cell r="G213" t="str">
            <v>ZWAT13-M-L21-A2</v>
          </cell>
        </row>
        <row r="213">
          <cell r="I213">
            <v>79.8623</v>
          </cell>
          <cell r="J213">
            <v>7.04084</v>
          </cell>
        </row>
        <row r="213">
          <cell r="AA213" t="str">
            <v>2T2R</v>
          </cell>
        </row>
        <row r="214">
          <cell r="E214" t="str">
            <v>GMKUR4</v>
          </cell>
        </row>
        <row r="214">
          <cell r="G214" t="str">
            <v>GMKUR4-M-L85-C1</v>
          </cell>
        </row>
        <row r="214">
          <cell r="I214">
            <v>79.862674</v>
          </cell>
          <cell r="J214">
            <v>7.179093</v>
          </cell>
        </row>
        <row r="214">
          <cell r="AA214" t="str">
            <v>2T2R</v>
          </cell>
        </row>
        <row r="215">
          <cell r="E215" t="str">
            <v>GMKUR4</v>
          </cell>
        </row>
        <row r="215">
          <cell r="G215" t="str">
            <v>GMKUR4-M-L85-B1</v>
          </cell>
        </row>
        <row r="215">
          <cell r="I215">
            <v>79.862674</v>
          </cell>
          <cell r="J215">
            <v>7.179093</v>
          </cell>
        </row>
        <row r="215">
          <cell r="AA215" t="str">
            <v>2T2R</v>
          </cell>
        </row>
        <row r="216">
          <cell r="E216" t="str">
            <v>GMKUR4</v>
          </cell>
        </row>
        <row r="216">
          <cell r="G216" t="str">
            <v>GMKUR4-M-L85-A1</v>
          </cell>
        </row>
        <row r="216">
          <cell r="I216">
            <v>79.862674</v>
          </cell>
          <cell r="J216">
            <v>7.179093</v>
          </cell>
        </row>
        <row r="216">
          <cell r="AA216" t="str">
            <v>2T2R</v>
          </cell>
        </row>
        <row r="217">
          <cell r="E217" t="str">
            <v>GMKUR4</v>
          </cell>
        </row>
        <row r="217">
          <cell r="G217" t="str">
            <v>GMKUR4I</v>
          </cell>
        </row>
        <row r="217">
          <cell r="I217">
            <v>79.862674</v>
          </cell>
          <cell r="J217">
            <v>7.179093</v>
          </cell>
        </row>
        <row r="217">
          <cell r="AA217" t="str">
            <v>4T4R</v>
          </cell>
        </row>
        <row r="218">
          <cell r="E218" t="str">
            <v>GMKUR4</v>
          </cell>
        </row>
        <row r="218">
          <cell r="G218" t="str">
            <v>GMKUR4H</v>
          </cell>
        </row>
        <row r="218">
          <cell r="I218">
            <v>79.862674</v>
          </cell>
          <cell r="J218">
            <v>7.179093</v>
          </cell>
        </row>
        <row r="218">
          <cell r="AA218" t="str">
            <v>4T4R</v>
          </cell>
        </row>
        <row r="219">
          <cell r="E219" t="str">
            <v>GMKUR4</v>
          </cell>
        </row>
        <row r="219">
          <cell r="G219" t="str">
            <v>GMKUR4G</v>
          </cell>
        </row>
        <row r="219">
          <cell r="I219">
            <v>79.862674</v>
          </cell>
          <cell r="J219">
            <v>7.179093</v>
          </cell>
        </row>
        <row r="219">
          <cell r="AA219" t="str">
            <v>4T4R</v>
          </cell>
        </row>
        <row r="220">
          <cell r="E220" t="str">
            <v>GMKUR4</v>
          </cell>
        </row>
        <row r="220">
          <cell r="G220" t="str">
            <v>GMKUR4-M-L21-C2</v>
          </cell>
        </row>
        <row r="220">
          <cell r="I220">
            <v>79.862674</v>
          </cell>
          <cell r="J220">
            <v>7.179093</v>
          </cell>
        </row>
        <row r="220">
          <cell r="AA220" t="str">
            <v>2T2R</v>
          </cell>
        </row>
        <row r="221">
          <cell r="E221" t="str">
            <v>GMKUR4</v>
          </cell>
        </row>
        <row r="221">
          <cell r="G221" t="str">
            <v>GMKUR4-M-L21-B2</v>
          </cell>
        </row>
        <row r="221">
          <cell r="I221">
            <v>79.862674</v>
          </cell>
          <cell r="J221">
            <v>7.179093</v>
          </cell>
        </row>
        <row r="221">
          <cell r="AA221" t="str">
            <v>2T2R</v>
          </cell>
        </row>
        <row r="222">
          <cell r="E222" t="str">
            <v>GMKUR4</v>
          </cell>
        </row>
        <row r="222">
          <cell r="G222" t="str">
            <v>GMKUR4-M-L21-A2</v>
          </cell>
        </row>
        <row r="222">
          <cell r="I222">
            <v>79.862674</v>
          </cell>
          <cell r="J222">
            <v>7.179093</v>
          </cell>
        </row>
        <row r="222">
          <cell r="AA222" t="str">
            <v>2T2R</v>
          </cell>
        </row>
        <row r="223">
          <cell r="E223" t="str">
            <v>GMNUG1</v>
          </cell>
        </row>
        <row r="223">
          <cell r="G223" t="str">
            <v>GMNUG1I</v>
          </cell>
        </row>
        <row r="223">
          <cell r="I223">
            <v>79.863</v>
          </cell>
          <cell r="J223">
            <v>7.22341</v>
          </cell>
        </row>
        <row r="223">
          <cell r="AA223" t="str">
            <v>2T2R</v>
          </cell>
        </row>
        <row r="224">
          <cell r="E224" t="str">
            <v>GMNUG1</v>
          </cell>
        </row>
        <row r="224">
          <cell r="G224" t="str">
            <v>GMNUG1H</v>
          </cell>
        </row>
        <row r="224">
          <cell r="I224">
            <v>79.863</v>
          </cell>
          <cell r="J224">
            <v>7.22341</v>
          </cell>
        </row>
        <row r="224">
          <cell r="AA224" t="str">
            <v>2T2R</v>
          </cell>
        </row>
        <row r="225">
          <cell r="E225" t="str">
            <v>GMNUG1</v>
          </cell>
        </row>
        <row r="225">
          <cell r="G225" t="str">
            <v>GMNUG1G</v>
          </cell>
        </row>
        <row r="225">
          <cell r="I225">
            <v>79.863</v>
          </cell>
          <cell r="J225">
            <v>7.22341</v>
          </cell>
        </row>
        <row r="225">
          <cell r="AA225" t="str">
            <v>2T2R</v>
          </cell>
        </row>
        <row r="226">
          <cell r="E226" t="str">
            <v>GMNUG1</v>
          </cell>
        </row>
        <row r="226">
          <cell r="G226" t="str">
            <v>GMNUG1-M-L85-C1</v>
          </cell>
        </row>
        <row r="226">
          <cell r="I226">
            <v>79.863</v>
          </cell>
          <cell r="J226">
            <v>7.22341</v>
          </cell>
        </row>
        <row r="226">
          <cell r="AA226" t="str">
            <v>2T2R</v>
          </cell>
        </row>
        <row r="227">
          <cell r="E227" t="str">
            <v>GMNUG1</v>
          </cell>
        </row>
        <row r="227">
          <cell r="G227" t="str">
            <v>GMNUG1-M-L85-B1</v>
          </cell>
        </row>
        <row r="227">
          <cell r="I227">
            <v>79.863</v>
          </cell>
          <cell r="J227">
            <v>7.22341</v>
          </cell>
        </row>
        <row r="227">
          <cell r="AA227" t="str">
            <v>2T2R</v>
          </cell>
        </row>
        <row r="228">
          <cell r="E228" t="str">
            <v>GMNUG1</v>
          </cell>
        </row>
        <row r="228">
          <cell r="G228" t="str">
            <v>GMNUG1-M-L85-A1</v>
          </cell>
        </row>
        <row r="228">
          <cell r="I228">
            <v>79.863</v>
          </cell>
          <cell r="J228">
            <v>7.22341</v>
          </cell>
        </row>
        <row r="228">
          <cell r="AA228" t="str">
            <v>2T2R</v>
          </cell>
        </row>
        <row r="229">
          <cell r="E229" t="str">
            <v>GMNEG7</v>
          </cell>
        </row>
        <row r="229">
          <cell r="G229" t="str">
            <v>GMNEG7-M-L18-A1</v>
          </cell>
        </row>
        <row r="229">
          <cell r="I229">
            <v>79.8655</v>
          </cell>
          <cell r="J229">
            <v>7.20475</v>
          </cell>
        </row>
        <row r="229">
          <cell r="AA229" t="str">
            <v>2T2R</v>
          </cell>
        </row>
        <row r="230">
          <cell r="E230" t="str">
            <v>GMNEG7</v>
          </cell>
        </row>
        <row r="230">
          <cell r="G230" t="str">
            <v>GMNEG7-M-L21-A2</v>
          </cell>
        </row>
        <row r="230">
          <cell r="I230">
            <v>79.8655</v>
          </cell>
          <cell r="J230">
            <v>7.20475</v>
          </cell>
        </row>
        <row r="230">
          <cell r="AA230" t="str">
            <v>2T2R</v>
          </cell>
        </row>
        <row r="231">
          <cell r="E231" t="str">
            <v>GMNEG7</v>
          </cell>
        </row>
        <row r="231">
          <cell r="G231" t="str">
            <v>GMNEG7-M-L21-D2</v>
          </cell>
        </row>
        <row r="231">
          <cell r="I231">
            <v>79.8655</v>
          </cell>
          <cell r="J231">
            <v>7.20475</v>
          </cell>
        </row>
        <row r="231">
          <cell r="AA231" t="str">
            <v>2T2R</v>
          </cell>
        </row>
        <row r="232">
          <cell r="E232" t="str">
            <v>GMNEG7</v>
          </cell>
        </row>
        <row r="232">
          <cell r="G232" t="str">
            <v>GMNEG7-M-L18-H1</v>
          </cell>
        </row>
        <row r="232">
          <cell r="I232">
            <v>79.8655</v>
          </cell>
          <cell r="J232">
            <v>7.20475</v>
          </cell>
        </row>
        <row r="232">
          <cell r="AA232" t="str">
            <v>2T2R</v>
          </cell>
        </row>
        <row r="233">
          <cell r="E233" t="str">
            <v>GMNEG7</v>
          </cell>
        </row>
        <row r="233">
          <cell r="G233" t="str">
            <v>GMNEG7-M-L21-B2</v>
          </cell>
        </row>
        <row r="233">
          <cell r="I233">
            <v>79.8655</v>
          </cell>
          <cell r="J233">
            <v>7.20475</v>
          </cell>
        </row>
        <row r="233">
          <cell r="AA233" t="str">
            <v>2T2R</v>
          </cell>
        </row>
        <row r="234">
          <cell r="E234" t="str">
            <v>GMNEG7</v>
          </cell>
        </row>
        <row r="234">
          <cell r="G234" t="str">
            <v>GMNEG7I</v>
          </cell>
        </row>
        <row r="234">
          <cell r="I234">
            <v>79.8655</v>
          </cell>
          <cell r="J234">
            <v>7.20475</v>
          </cell>
        </row>
        <row r="234">
          <cell r="AA234" t="str">
            <v>4T4R</v>
          </cell>
        </row>
        <row r="235">
          <cell r="E235" t="str">
            <v>GMNEG7</v>
          </cell>
        </row>
        <row r="235">
          <cell r="G235" t="str">
            <v>GMNEG7H</v>
          </cell>
        </row>
        <row r="235">
          <cell r="I235">
            <v>79.8655</v>
          </cell>
          <cell r="J235">
            <v>7.20475</v>
          </cell>
        </row>
        <row r="235">
          <cell r="AA235" t="str">
            <v>2T2R</v>
          </cell>
        </row>
        <row r="236">
          <cell r="E236" t="str">
            <v>GMNEG7</v>
          </cell>
        </row>
        <row r="236">
          <cell r="G236" t="str">
            <v>GMNEG7G</v>
          </cell>
        </row>
        <row r="236">
          <cell r="I236">
            <v>79.8655</v>
          </cell>
          <cell r="J236">
            <v>7.20475</v>
          </cell>
        </row>
        <row r="236">
          <cell r="AA236" t="str">
            <v>2T2R</v>
          </cell>
        </row>
        <row r="237">
          <cell r="E237" t="str">
            <v>GMNEG7</v>
          </cell>
        </row>
        <row r="237">
          <cell r="G237" t="str">
            <v>GMNEG7-M-L85-C1</v>
          </cell>
        </row>
        <row r="237">
          <cell r="I237">
            <v>79.8655</v>
          </cell>
          <cell r="J237">
            <v>7.20475</v>
          </cell>
        </row>
        <row r="237">
          <cell r="AA237" t="str">
            <v>2T2R</v>
          </cell>
        </row>
        <row r="238">
          <cell r="E238" t="str">
            <v>GMNEG7</v>
          </cell>
        </row>
        <row r="238">
          <cell r="G238" t="str">
            <v>GMNEG7-M-L85-B1</v>
          </cell>
        </row>
        <row r="238">
          <cell r="I238">
            <v>79.8655</v>
          </cell>
          <cell r="J238">
            <v>7.20475</v>
          </cell>
        </row>
        <row r="238">
          <cell r="AA238" t="str">
            <v>2T2R</v>
          </cell>
        </row>
        <row r="239">
          <cell r="E239" t="str">
            <v>GMNEG7</v>
          </cell>
        </row>
        <row r="239">
          <cell r="G239" t="str">
            <v>GMNEG7-M-L85-A1</v>
          </cell>
        </row>
        <row r="239">
          <cell r="I239">
            <v>79.8655</v>
          </cell>
          <cell r="J239">
            <v>7.20475</v>
          </cell>
        </row>
        <row r="239">
          <cell r="AA239" t="str">
            <v>2T2R</v>
          </cell>
        </row>
        <row r="240">
          <cell r="E240" t="str">
            <v>GMKTW4</v>
          </cell>
        </row>
        <row r="240">
          <cell r="G240" t="str">
            <v>GMKTW4I</v>
          </cell>
        </row>
        <row r="240">
          <cell r="I240">
            <v>79.866886</v>
          </cell>
          <cell r="J240">
            <v>7.239688</v>
          </cell>
        </row>
        <row r="240">
          <cell r="AA240" t="str">
            <v>2T2R</v>
          </cell>
        </row>
        <row r="241">
          <cell r="E241" t="str">
            <v>GMKTW4</v>
          </cell>
        </row>
        <row r="241">
          <cell r="G241" t="str">
            <v>GMKTW4H</v>
          </cell>
        </row>
        <row r="241">
          <cell r="I241">
            <v>79.866886</v>
          </cell>
          <cell r="J241">
            <v>7.239688</v>
          </cell>
        </row>
        <row r="241">
          <cell r="AA241" t="str">
            <v>4T4R</v>
          </cell>
        </row>
        <row r="242">
          <cell r="E242" t="str">
            <v>GMKTW4</v>
          </cell>
        </row>
        <row r="242">
          <cell r="G242" t="str">
            <v>GMKTW4G</v>
          </cell>
        </row>
        <row r="242">
          <cell r="I242">
            <v>79.866886</v>
          </cell>
          <cell r="J242">
            <v>7.239688</v>
          </cell>
        </row>
        <row r="242">
          <cell r="AA242" t="str">
            <v>2T2R</v>
          </cell>
        </row>
        <row r="243">
          <cell r="E243" t="str">
            <v>GMKTW4</v>
          </cell>
        </row>
        <row r="243">
          <cell r="G243" t="str">
            <v>GMKTW4-M-L85-C1</v>
          </cell>
        </row>
        <row r="243">
          <cell r="I243">
            <v>79.866886</v>
          </cell>
          <cell r="J243">
            <v>7.239688</v>
          </cell>
        </row>
        <row r="243">
          <cell r="AA243" t="str">
            <v>2T2R</v>
          </cell>
        </row>
        <row r="244">
          <cell r="E244" t="str">
            <v>GMKTW4</v>
          </cell>
        </row>
        <row r="244">
          <cell r="G244" t="str">
            <v>GMKTW4-M-L85-B1</v>
          </cell>
        </row>
        <row r="244">
          <cell r="I244">
            <v>79.866886</v>
          </cell>
          <cell r="J244">
            <v>7.239688</v>
          </cell>
        </row>
        <row r="244">
          <cell r="AA244" t="str">
            <v>2T2R</v>
          </cell>
        </row>
        <row r="245">
          <cell r="E245" t="str">
            <v>GMKTW4</v>
          </cell>
        </row>
        <row r="245">
          <cell r="G245" t="str">
            <v>GMKTW4-M-L85-A1</v>
          </cell>
        </row>
        <row r="245">
          <cell r="I245">
            <v>79.866886</v>
          </cell>
          <cell r="J245">
            <v>7.239688</v>
          </cell>
        </row>
        <row r="245">
          <cell r="AA245" t="str">
            <v>2T2R</v>
          </cell>
        </row>
        <row r="246">
          <cell r="E246" t="str">
            <v>GMKTW4</v>
          </cell>
        </row>
        <row r="246">
          <cell r="G246" t="str">
            <v>GMKTW4-M-L18-H1</v>
          </cell>
        </row>
        <row r="246">
          <cell r="I246">
            <v>79.866886</v>
          </cell>
          <cell r="J246">
            <v>7.239688</v>
          </cell>
        </row>
        <row r="246">
          <cell r="AA246" t="str">
            <v>4T4R</v>
          </cell>
        </row>
        <row r="247">
          <cell r="E247" t="str">
            <v>GMKTW4</v>
          </cell>
        </row>
        <row r="247">
          <cell r="G247" t="str">
            <v>GMKTW4-M-L21-B1</v>
          </cell>
        </row>
        <row r="247">
          <cell r="I247">
            <v>79.866886</v>
          </cell>
          <cell r="J247">
            <v>7.239688</v>
          </cell>
        </row>
        <row r="247">
          <cell r="AA247" t="str">
            <v>4T4R</v>
          </cell>
        </row>
        <row r="248">
          <cell r="E248" t="str">
            <v>GMKTW4</v>
          </cell>
        </row>
        <row r="248">
          <cell r="G248" t="str">
            <v>GMKTW4-M-L21-B2</v>
          </cell>
        </row>
        <row r="248">
          <cell r="I248">
            <v>79.866886</v>
          </cell>
          <cell r="J248">
            <v>7.239688</v>
          </cell>
        </row>
        <row r="248">
          <cell r="AA248" t="str">
            <v>4T4R</v>
          </cell>
        </row>
        <row r="249">
          <cell r="E249" t="str">
            <v>GMKOC2</v>
          </cell>
        </row>
        <row r="249">
          <cell r="G249" t="str">
            <v>GMKOC2-M-L21-C2</v>
          </cell>
        </row>
        <row r="249">
          <cell r="I249">
            <v>79.8669</v>
          </cell>
          <cell r="J249">
            <v>7.2694</v>
          </cell>
        </row>
        <row r="249">
          <cell r="AA249" t="str">
            <v>2T2R</v>
          </cell>
        </row>
        <row r="250">
          <cell r="E250" t="str">
            <v>GMKOC2</v>
          </cell>
        </row>
        <row r="250">
          <cell r="G250" t="str">
            <v>GMKOC2-M-L21-B2</v>
          </cell>
        </row>
        <row r="250">
          <cell r="I250">
            <v>79.8669</v>
          </cell>
          <cell r="J250">
            <v>7.2694</v>
          </cell>
        </row>
        <row r="250">
          <cell r="AA250" t="str">
            <v>2T2R</v>
          </cell>
        </row>
        <row r="251">
          <cell r="E251" t="str">
            <v>GMKOC2</v>
          </cell>
        </row>
        <row r="251">
          <cell r="G251" t="str">
            <v>GMKOC2-M-L21-A2</v>
          </cell>
        </row>
        <row r="251">
          <cell r="I251">
            <v>79.8669</v>
          </cell>
          <cell r="J251">
            <v>7.2694</v>
          </cell>
        </row>
        <row r="251">
          <cell r="AA251" t="str">
            <v>2T2R</v>
          </cell>
        </row>
        <row r="252">
          <cell r="E252" t="str">
            <v>ZWAT24</v>
          </cell>
        </row>
        <row r="252">
          <cell r="G252" t="str">
            <v>ZWAT24I</v>
          </cell>
        </row>
        <row r="252">
          <cell r="I252">
            <v>79.8678</v>
          </cell>
          <cell r="J252">
            <v>7.00926</v>
          </cell>
        </row>
        <row r="252">
          <cell r="AA252" t="str">
            <v>4T4R</v>
          </cell>
        </row>
        <row r="253">
          <cell r="E253" t="str">
            <v>ZWAT24</v>
          </cell>
        </row>
        <row r="253">
          <cell r="G253" t="str">
            <v>ZWAT24H</v>
          </cell>
        </row>
        <row r="253">
          <cell r="I253">
            <v>79.8678</v>
          </cell>
          <cell r="J253">
            <v>7.00926</v>
          </cell>
        </row>
        <row r="253">
          <cell r="AA253" t="str">
            <v>4T4R</v>
          </cell>
        </row>
        <row r="254">
          <cell r="E254" t="str">
            <v>ZWAT24</v>
          </cell>
        </row>
        <row r="254">
          <cell r="G254" t="str">
            <v>ZWAT24G</v>
          </cell>
        </row>
        <row r="254">
          <cell r="I254">
            <v>79.8678</v>
          </cell>
          <cell r="J254">
            <v>7.00926</v>
          </cell>
        </row>
        <row r="254">
          <cell r="AA254" t="str">
            <v>8T8R</v>
          </cell>
        </row>
        <row r="255">
          <cell r="E255" t="str">
            <v>ZWAT24</v>
          </cell>
        </row>
        <row r="255">
          <cell r="G255" t="str">
            <v>ZWAT24-M-L18-A1</v>
          </cell>
        </row>
        <row r="255">
          <cell r="I255">
            <v>79.8678</v>
          </cell>
          <cell r="J255">
            <v>7.00926</v>
          </cell>
        </row>
        <row r="255">
          <cell r="AA255" t="str">
            <v>8T8R</v>
          </cell>
        </row>
        <row r="256">
          <cell r="E256" t="str">
            <v>ZWAT24</v>
          </cell>
        </row>
        <row r="256">
          <cell r="G256" t="str">
            <v>ZWAT24-M-L21-C2</v>
          </cell>
        </row>
        <row r="256">
          <cell r="I256">
            <v>79.8678</v>
          </cell>
          <cell r="J256">
            <v>7.00926</v>
          </cell>
        </row>
        <row r="256">
          <cell r="AA256" t="str">
            <v>2T2R</v>
          </cell>
        </row>
        <row r="257">
          <cell r="E257" t="str">
            <v>ZWAT24</v>
          </cell>
        </row>
        <row r="257">
          <cell r="G257" t="str">
            <v>ZWAT24-M-L21-B2</v>
          </cell>
        </row>
        <row r="257">
          <cell r="I257">
            <v>79.8678</v>
          </cell>
          <cell r="J257">
            <v>7.00926</v>
          </cell>
        </row>
        <row r="257">
          <cell r="AA257" t="str">
            <v>2T2R</v>
          </cell>
        </row>
        <row r="258">
          <cell r="E258" t="str">
            <v>ZWAT24</v>
          </cell>
        </row>
        <row r="258">
          <cell r="G258" t="str">
            <v>ZWAT24-M-L21-A2</v>
          </cell>
        </row>
        <row r="258">
          <cell r="I258">
            <v>79.8678</v>
          </cell>
          <cell r="J258">
            <v>7.00926</v>
          </cell>
        </row>
        <row r="258">
          <cell r="AA258" t="str">
            <v>8T8R</v>
          </cell>
        </row>
        <row r="259">
          <cell r="E259" t="str">
            <v>GMKUR2</v>
          </cell>
        </row>
        <row r="259">
          <cell r="G259" t="str">
            <v>GMKUR2I</v>
          </cell>
        </row>
        <row r="259">
          <cell r="I259">
            <v>79.8682</v>
          </cell>
          <cell r="J259">
            <v>7.16489</v>
          </cell>
        </row>
        <row r="259">
          <cell r="AA259" t="str">
            <v>2T2R</v>
          </cell>
        </row>
        <row r="260">
          <cell r="E260" t="str">
            <v>GMKUR2</v>
          </cell>
        </row>
        <row r="260">
          <cell r="G260" t="str">
            <v>GMKUR2H</v>
          </cell>
        </row>
        <row r="260">
          <cell r="I260">
            <v>79.8682</v>
          </cell>
          <cell r="J260">
            <v>7.16489</v>
          </cell>
        </row>
        <row r="260">
          <cell r="AA260" t="str">
            <v>2T2R</v>
          </cell>
        </row>
        <row r="261">
          <cell r="E261" t="str">
            <v>GMKUR2</v>
          </cell>
        </row>
        <row r="261">
          <cell r="G261" t="str">
            <v>GMKUR2G</v>
          </cell>
        </row>
        <row r="261">
          <cell r="I261">
            <v>79.8682</v>
          </cell>
          <cell r="J261">
            <v>7.16489</v>
          </cell>
        </row>
        <row r="261">
          <cell r="AA261" t="str">
            <v>4T4R</v>
          </cell>
        </row>
        <row r="262">
          <cell r="E262" t="str">
            <v>GMKUR2</v>
          </cell>
        </row>
        <row r="262">
          <cell r="G262" t="str">
            <v>GMKUR2-M-L21-A2</v>
          </cell>
        </row>
        <row r="262">
          <cell r="I262">
            <v>79.8682</v>
          </cell>
          <cell r="J262">
            <v>7.16489</v>
          </cell>
        </row>
        <row r="262">
          <cell r="AA262" t="str">
            <v>2T2R</v>
          </cell>
        </row>
        <row r="263">
          <cell r="E263" t="str">
            <v>IBAGH1</v>
          </cell>
        </row>
        <row r="263">
          <cell r="G263" t="str">
            <v>IBAGH1H</v>
          </cell>
        </row>
        <row r="263">
          <cell r="I263">
            <v>79.8686</v>
          </cell>
          <cell r="J263">
            <v>7.14306</v>
          </cell>
        </row>
        <row r="263">
          <cell r="AA263" t="str">
            <v>1T1R</v>
          </cell>
        </row>
        <row r="264">
          <cell r="E264" t="str">
            <v>IBAGH1</v>
          </cell>
        </row>
        <row r="264">
          <cell r="G264" t="str">
            <v>IBAGH1G</v>
          </cell>
        </row>
        <row r="264">
          <cell r="I264">
            <v>79.8686</v>
          </cell>
          <cell r="J264">
            <v>7.14306</v>
          </cell>
        </row>
        <row r="264">
          <cell r="AA264" t="str">
            <v>1T1R</v>
          </cell>
        </row>
        <row r="265">
          <cell r="E265" t="str">
            <v>IBPEG1</v>
          </cell>
        </row>
        <row r="265">
          <cell r="G265" t="str">
            <v>IBPEG1H</v>
          </cell>
        </row>
        <row r="265">
          <cell r="I265">
            <v>79.8691</v>
          </cell>
          <cell r="J265">
            <v>6.9997</v>
          </cell>
        </row>
        <row r="265">
          <cell r="AA265" t="str">
            <v>1T1R</v>
          </cell>
        </row>
        <row r="266">
          <cell r="E266" t="str">
            <v>IBPEG1</v>
          </cell>
        </row>
        <row r="266">
          <cell r="G266" t="str">
            <v>IBPEG1G</v>
          </cell>
        </row>
        <row r="266">
          <cell r="I266">
            <v>79.8691</v>
          </cell>
          <cell r="J266">
            <v>6.9997</v>
          </cell>
        </row>
        <row r="266">
          <cell r="AA266" t="str">
            <v>1T1R</v>
          </cell>
        </row>
        <row r="267">
          <cell r="E267" t="str">
            <v>ZWAT27</v>
          </cell>
        </row>
        <row r="267">
          <cell r="G267" t="str">
            <v>ZWAT27I</v>
          </cell>
        </row>
        <row r="267">
          <cell r="I267">
            <v>79.8727</v>
          </cell>
          <cell r="J267">
            <v>6.98863</v>
          </cell>
        </row>
        <row r="267">
          <cell r="AA267" t="str">
            <v>2T2R</v>
          </cell>
        </row>
        <row r="268">
          <cell r="E268" t="str">
            <v>ZWAT27</v>
          </cell>
        </row>
        <row r="268">
          <cell r="G268" t="str">
            <v>ZWAT27H</v>
          </cell>
        </row>
        <row r="268">
          <cell r="I268">
            <v>79.8727</v>
          </cell>
          <cell r="J268">
            <v>6.98863</v>
          </cell>
        </row>
        <row r="268">
          <cell r="AA268" t="str">
            <v>2T2R</v>
          </cell>
        </row>
        <row r="269">
          <cell r="E269" t="str">
            <v>ZWAT27</v>
          </cell>
        </row>
        <row r="269">
          <cell r="G269" t="str">
            <v>ZWAT27G</v>
          </cell>
        </row>
        <row r="269">
          <cell r="I269">
            <v>79.8727</v>
          </cell>
          <cell r="J269">
            <v>6.98863</v>
          </cell>
        </row>
        <row r="269">
          <cell r="AA269" t="str">
            <v>2T2R</v>
          </cell>
        </row>
        <row r="270">
          <cell r="E270" t="str">
            <v>GMAIR2</v>
          </cell>
        </row>
        <row r="270">
          <cell r="G270" t="str">
            <v>GMAIR2-M-L21-C2</v>
          </cell>
        </row>
        <row r="270">
          <cell r="I270">
            <v>79.8746</v>
          </cell>
          <cell r="J270">
            <v>7.15608</v>
          </cell>
        </row>
        <row r="270">
          <cell r="AA270" t="str">
            <v>4T4R</v>
          </cell>
        </row>
        <row r="271">
          <cell r="E271" t="str">
            <v>GMAIR2</v>
          </cell>
        </row>
        <row r="271">
          <cell r="G271" t="str">
            <v>GMAIR2-M-L21-B2</v>
          </cell>
        </row>
        <row r="271">
          <cell r="I271">
            <v>79.8746</v>
          </cell>
          <cell r="J271">
            <v>7.15608</v>
          </cell>
        </row>
        <row r="271">
          <cell r="AA271" t="str">
            <v>2T2R</v>
          </cell>
        </row>
        <row r="272">
          <cell r="E272" t="str">
            <v>GMAIR2</v>
          </cell>
        </row>
        <row r="272">
          <cell r="G272" t="str">
            <v>GMAIR2-M-L21-A2</v>
          </cell>
        </row>
        <row r="272">
          <cell r="I272">
            <v>79.8746</v>
          </cell>
          <cell r="J272">
            <v>7.15608</v>
          </cell>
        </row>
        <row r="272">
          <cell r="AA272" t="str">
            <v>2T2R</v>
          </cell>
        </row>
        <row r="273">
          <cell r="E273" t="str">
            <v>GMAIR2</v>
          </cell>
        </row>
        <row r="273">
          <cell r="G273" t="str">
            <v>GMAIR2-M-L21-C1</v>
          </cell>
        </row>
        <row r="273">
          <cell r="I273">
            <v>79.8746</v>
          </cell>
          <cell r="J273">
            <v>7.15608</v>
          </cell>
        </row>
        <row r="273">
          <cell r="AA273" t="str">
            <v>4T4R</v>
          </cell>
        </row>
        <row r="274">
          <cell r="E274" t="str">
            <v>GMAIR2</v>
          </cell>
        </row>
        <row r="274">
          <cell r="G274" t="str">
            <v>GMAIR2-M-L18-I1</v>
          </cell>
        </row>
        <row r="274">
          <cell r="I274">
            <v>79.8746</v>
          </cell>
          <cell r="J274">
            <v>7.15608</v>
          </cell>
        </row>
        <row r="274">
          <cell r="AA274" t="str">
            <v>4T4R</v>
          </cell>
        </row>
        <row r="275">
          <cell r="E275" t="str">
            <v>GMAIR2</v>
          </cell>
        </row>
        <row r="275">
          <cell r="G275" t="str">
            <v>GMAIR2G</v>
          </cell>
        </row>
        <row r="275">
          <cell r="I275">
            <v>79.8746</v>
          </cell>
          <cell r="J275">
            <v>7.15608</v>
          </cell>
        </row>
        <row r="275">
          <cell r="AA275" t="str">
            <v>4T4R</v>
          </cell>
        </row>
        <row r="276">
          <cell r="E276" t="str">
            <v>GMAIR2</v>
          </cell>
        </row>
        <row r="276">
          <cell r="G276" t="str">
            <v>GMAIR2H</v>
          </cell>
        </row>
        <row r="276">
          <cell r="I276">
            <v>79.8746</v>
          </cell>
          <cell r="J276">
            <v>7.15608</v>
          </cell>
        </row>
        <row r="276">
          <cell r="AA276" t="str">
            <v>2T2R</v>
          </cell>
        </row>
        <row r="277">
          <cell r="E277" t="str">
            <v>GMAIR2</v>
          </cell>
        </row>
        <row r="277">
          <cell r="G277" t="str">
            <v>GMAIR2I</v>
          </cell>
        </row>
        <row r="277">
          <cell r="I277">
            <v>79.8746</v>
          </cell>
          <cell r="J277">
            <v>7.15608</v>
          </cell>
        </row>
        <row r="277">
          <cell r="AA277" t="str">
            <v>4T4R</v>
          </cell>
        </row>
        <row r="278">
          <cell r="E278" t="str">
            <v>ZWAT15</v>
          </cell>
        </row>
        <row r="278">
          <cell r="G278" t="str">
            <v>ZWAT15G</v>
          </cell>
        </row>
        <row r="278">
          <cell r="I278">
            <v>79.8746</v>
          </cell>
          <cell r="J278">
            <v>6.99593</v>
          </cell>
        </row>
        <row r="278">
          <cell r="AA278" t="str">
            <v>4T4R</v>
          </cell>
        </row>
        <row r="279">
          <cell r="E279" t="str">
            <v>ZWAT15</v>
          </cell>
        </row>
        <row r="279">
          <cell r="G279" t="str">
            <v>ZWAT15H</v>
          </cell>
        </row>
        <row r="279">
          <cell r="I279">
            <v>79.8746</v>
          </cell>
          <cell r="J279">
            <v>6.99593</v>
          </cell>
        </row>
        <row r="279">
          <cell r="AA279" t="str">
            <v>2T2R</v>
          </cell>
        </row>
        <row r="280">
          <cell r="E280" t="str">
            <v>ZWAT15</v>
          </cell>
        </row>
        <row r="280">
          <cell r="G280" t="str">
            <v>ZWAT15I</v>
          </cell>
        </row>
        <row r="280">
          <cell r="I280">
            <v>79.8746</v>
          </cell>
          <cell r="J280">
            <v>6.99593</v>
          </cell>
        </row>
        <row r="280">
          <cell r="AA280" t="str">
            <v>2T2R</v>
          </cell>
        </row>
        <row r="281">
          <cell r="E281" t="str">
            <v>ZWAT15</v>
          </cell>
        </row>
        <row r="281">
          <cell r="G281" t="str">
            <v>ZWAT15-M-L85-C1</v>
          </cell>
        </row>
        <row r="281">
          <cell r="I281">
            <v>79.8746</v>
          </cell>
          <cell r="J281">
            <v>6.99593</v>
          </cell>
        </row>
        <row r="281">
          <cell r="AA281" t="str">
            <v>2T2R</v>
          </cell>
        </row>
        <row r="282">
          <cell r="E282" t="str">
            <v>ZWAT15</v>
          </cell>
        </row>
        <row r="282">
          <cell r="G282" t="str">
            <v>ZWAT15-M-L85-B1</v>
          </cell>
        </row>
        <row r="282">
          <cell r="I282">
            <v>79.8746</v>
          </cell>
          <cell r="J282">
            <v>6.99593</v>
          </cell>
        </row>
        <row r="282">
          <cell r="AA282" t="str">
            <v>2T2R</v>
          </cell>
        </row>
        <row r="283">
          <cell r="E283" t="str">
            <v>ZWAT15</v>
          </cell>
        </row>
        <row r="283">
          <cell r="G283" t="str">
            <v>ZWAT15-M-L85-A1</v>
          </cell>
        </row>
        <row r="283">
          <cell r="I283">
            <v>79.8746</v>
          </cell>
          <cell r="J283">
            <v>6.99593</v>
          </cell>
        </row>
        <row r="283">
          <cell r="AA283" t="str">
            <v>2T2R</v>
          </cell>
        </row>
        <row r="284">
          <cell r="E284" t="str">
            <v>ZWAT15</v>
          </cell>
        </row>
        <row r="284">
          <cell r="G284" t="str">
            <v>ZWAT15-M-L21-C2</v>
          </cell>
        </row>
        <row r="284">
          <cell r="I284">
            <v>79.8746</v>
          </cell>
          <cell r="J284">
            <v>6.99593</v>
          </cell>
        </row>
        <row r="284">
          <cell r="AA284" t="str">
            <v>2T2R</v>
          </cell>
        </row>
        <row r="285">
          <cell r="E285" t="str">
            <v>ZWAT15</v>
          </cell>
        </row>
        <row r="285">
          <cell r="G285" t="str">
            <v>ZWAT15-M-L21-B2</v>
          </cell>
        </row>
        <row r="285">
          <cell r="I285">
            <v>79.8746</v>
          </cell>
          <cell r="J285">
            <v>6.99593</v>
          </cell>
        </row>
        <row r="285">
          <cell r="AA285" t="str">
            <v>2T2R</v>
          </cell>
        </row>
        <row r="286">
          <cell r="E286" t="str">
            <v>ZWAT15</v>
          </cell>
        </row>
        <row r="286">
          <cell r="G286" t="str">
            <v>ZWAT15-M-L21-A2</v>
          </cell>
        </row>
        <row r="286">
          <cell r="I286">
            <v>79.8746</v>
          </cell>
          <cell r="J286">
            <v>6.99593</v>
          </cell>
        </row>
        <row r="286">
          <cell r="AA286" t="str">
            <v>2T2R</v>
          </cell>
        </row>
        <row r="287">
          <cell r="E287" t="str">
            <v>GMLIY2</v>
          </cell>
        </row>
        <row r="287">
          <cell r="G287" t="str">
            <v>GMLIY2-M-L21-C2</v>
          </cell>
        </row>
        <row r="287">
          <cell r="I287">
            <v>79.8747</v>
          </cell>
          <cell r="J287">
            <v>7.14915</v>
          </cell>
        </row>
        <row r="287">
          <cell r="AA287" t="str">
            <v>2T2R</v>
          </cell>
        </row>
        <row r="288">
          <cell r="E288" t="str">
            <v>GMLIY2</v>
          </cell>
        </row>
        <row r="288">
          <cell r="G288" t="str">
            <v>GMLIY2-M-L21-B2</v>
          </cell>
        </row>
        <row r="288">
          <cell r="I288">
            <v>79.8747</v>
          </cell>
          <cell r="J288">
            <v>7.14915</v>
          </cell>
        </row>
        <row r="288">
          <cell r="AA288" t="str">
            <v>2T2R</v>
          </cell>
        </row>
        <row r="289">
          <cell r="E289" t="str">
            <v>GMLIY2</v>
          </cell>
        </row>
        <row r="289">
          <cell r="G289" t="str">
            <v>GMLIY2-M-L21-A2</v>
          </cell>
        </row>
        <row r="289">
          <cell r="I289">
            <v>79.8747</v>
          </cell>
          <cell r="J289">
            <v>7.14915</v>
          </cell>
        </row>
        <row r="289">
          <cell r="AA289" t="str">
            <v>2T2R</v>
          </cell>
        </row>
        <row r="290">
          <cell r="E290" t="str">
            <v>GMLIY2</v>
          </cell>
        </row>
        <row r="290">
          <cell r="G290" t="str">
            <v>GMLIY2-M-L85-C1</v>
          </cell>
        </row>
        <row r="290">
          <cell r="I290">
            <v>79.8747</v>
          </cell>
          <cell r="J290">
            <v>7.14915</v>
          </cell>
        </row>
        <row r="290">
          <cell r="AA290" t="str">
            <v>2T2R</v>
          </cell>
        </row>
        <row r="291">
          <cell r="E291" t="str">
            <v>GMLIY2</v>
          </cell>
        </row>
        <row r="291">
          <cell r="G291" t="str">
            <v>GMLIY2-M-L85-B1</v>
          </cell>
        </row>
        <row r="291">
          <cell r="I291">
            <v>79.8747</v>
          </cell>
          <cell r="J291">
            <v>7.14915</v>
          </cell>
        </row>
        <row r="291">
          <cell r="AA291" t="str">
            <v>2T2R</v>
          </cell>
        </row>
        <row r="292">
          <cell r="E292" t="str">
            <v>GMLIY2</v>
          </cell>
        </row>
        <row r="292">
          <cell r="G292" t="str">
            <v>GMLIY2-M-L85-A1</v>
          </cell>
        </row>
        <row r="292">
          <cell r="I292">
            <v>79.8747</v>
          </cell>
          <cell r="J292">
            <v>7.14915</v>
          </cell>
        </row>
        <row r="292">
          <cell r="AA292" t="str">
            <v>2T2R</v>
          </cell>
        </row>
        <row r="293">
          <cell r="E293" t="str">
            <v>GMLIY2</v>
          </cell>
        </row>
        <row r="293">
          <cell r="G293" t="str">
            <v>GMLIY2G</v>
          </cell>
        </row>
        <row r="293">
          <cell r="I293">
            <v>79.8747</v>
          </cell>
          <cell r="J293">
            <v>7.14915</v>
          </cell>
        </row>
        <row r="293">
          <cell r="AA293" t="str">
            <v>4T4R</v>
          </cell>
        </row>
        <row r="294">
          <cell r="E294" t="str">
            <v>GMLIY2</v>
          </cell>
        </row>
        <row r="294">
          <cell r="G294" t="str">
            <v>GMLIY2H</v>
          </cell>
        </row>
        <row r="294">
          <cell r="I294">
            <v>79.8747</v>
          </cell>
          <cell r="J294">
            <v>7.14915</v>
          </cell>
        </row>
        <row r="294">
          <cell r="AA294" t="str">
            <v>4T4R</v>
          </cell>
        </row>
        <row r="295">
          <cell r="E295" t="str">
            <v>GMLIY2</v>
          </cell>
        </row>
        <row r="295">
          <cell r="G295" t="str">
            <v>GMLIY2I</v>
          </cell>
        </row>
        <row r="295">
          <cell r="I295">
            <v>79.8747</v>
          </cell>
          <cell r="J295">
            <v>7.14915</v>
          </cell>
        </row>
        <row r="295">
          <cell r="AA295" t="str">
            <v>4T4R</v>
          </cell>
        </row>
        <row r="296">
          <cell r="E296" t="str">
            <v>GMLIY1</v>
          </cell>
        </row>
        <row r="296">
          <cell r="G296" t="str">
            <v>GMLIY1I</v>
          </cell>
        </row>
        <row r="296">
          <cell r="I296">
            <v>79.8751</v>
          </cell>
          <cell r="J296">
            <v>7.14236</v>
          </cell>
        </row>
        <row r="296">
          <cell r="AA296" t="str">
            <v>2T2R</v>
          </cell>
        </row>
        <row r="297">
          <cell r="E297" t="str">
            <v>GMLIY1</v>
          </cell>
        </row>
        <row r="297">
          <cell r="G297" t="str">
            <v>GMLIY1H</v>
          </cell>
        </row>
        <row r="297">
          <cell r="I297">
            <v>79.8751</v>
          </cell>
          <cell r="J297">
            <v>7.14236</v>
          </cell>
        </row>
        <row r="297">
          <cell r="AA297" t="str">
            <v>2T2R</v>
          </cell>
        </row>
        <row r="298">
          <cell r="E298" t="str">
            <v>GMLIY1</v>
          </cell>
        </row>
        <row r="298">
          <cell r="G298" t="str">
            <v>GMLIY1G</v>
          </cell>
        </row>
        <row r="298">
          <cell r="I298">
            <v>79.8751</v>
          </cell>
          <cell r="J298">
            <v>7.14236</v>
          </cell>
        </row>
        <row r="298">
          <cell r="AA298" t="str">
            <v>4T4R</v>
          </cell>
        </row>
        <row r="299">
          <cell r="E299" t="str">
            <v>GMLIY1</v>
          </cell>
        </row>
        <row r="299">
          <cell r="G299" t="str">
            <v>GMLIY1-M-L85-C1</v>
          </cell>
        </row>
        <row r="299">
          <cell r="I299">
            <v>79.8751</v>
          </cell>
          <cell r="J299">
            <v>7.14236</v>
          </cell>
        </row>
        <row r="299">
          <cell r="AA299" t="str">
            <v>2T2R</v>
          </cell>
        </row>
        <row r="300">
          <cell r="E300" t="str">
            <v>GMLIY1</v>
          </cell>
        </row>
        <row r="300">
          <cell r="G300" t="str">
            <v>GMLIY1-M-L85-B1</v>
          </cell>
        </row>
        <row r="300">
          <cell r="I300">
            <v>79.8751</v>
          </cell>
          <cell r="J300">
            <v>7.14236</v>
          </cell>
        </row>
        <row r="300">
          <cell r="AA300" t="str">
            <v>2T2R</v>
          </cell>
        </row>
        <row r="301">
          <cell r="E301" t="str">
            <v>GMLIY1</v>
          </cell>
        </row>
        <row r="301">
          <cell r="G301" t="str">
            <v>GMLIY1-M-L85-A1</v>
          </cell>
        </row>
        <row r="301">
          <cell r="I301">
            <v>79.8751</v>
          </cell>
          <cell r="J301">
            <v>7.14236</v>
          </cell>
        </row>
        <row r="301">
          <cell r="AA301" t="str">
            <v>2T2R</v>
          </cell>
        </row>
        <row r="302">
          <cell r="E302" t="str">
            <v>GMAIR3</v>
          </cell>
        </row>
        <row r="302">
          <cell r="G302" t="str">
            <v>GMAIR3-M-L85-C1</v>
          </cell>
        </row>
        <row r="302">
          <cell r="I302">
            <v>79.8754</v>
          </cell>
          <cell r="J302">
            <v>7.18148</v>
          </cell>
        </row>
        <row r="302">
          <cell r="AA302" t="str">
            <v>2T2R</v>
          </cell>
        </row>
        <row r="303">
          <cell r="E303" t="str">
            <v>GMAIR3</v>
          </cell>
        </row>
        <row r="303">
          <cell r="G303" t="str">
            <v>GMAIR3-M-L85-B1</v>
          </cell>
        </row>
        <row r="303">
          <cell r="I303">
            <v>79.8754</v>
          </cell>
          <cell r="J303">
            <v>7.18148</v>
          </cell>
        </row>
        <row r="303">
          <cell r="AA303" t="str">
            <v>2T2R</v>
          </cell>
        </row>
        <row r="304">
          <cell r="E304" t="str">
            <v>GMAIR3</v>
          </cell>
        </row>
        <row r="304">
          <cell r="G304" t="str">
            <v>GMAIR3-M-L85-A1</v>
          </cell>
        </row>
        <row r="304">
          <cell r="I304">
            <v>79.8754</v>
          </cell>
          <cell r="J304">
            <v>7.18148</v>
          </cell>
        </row>
        <row r="304">
          <cell r="AA304" t="str">
            <v>2T2R</v>
          </cell>
        </row>
        <row r="305">
          <cell r="E305" t="str">
            <v>GMAIR3</v>
          </cell>
        </row>
        <row r="305">
          <cell r="G305" t="str">
            <v>GMAIR3-M-L21-C2</v>
          </cell>
        </row>
        <row r="305">
          <cell r="I305">
            <v>79.8754</v>
          </cell>
          <cell r="J305">
            <v>7.18148</v>
          </cell>
        </row>
        <row r="305">
          <cell r="AA305" t="str">
            <v>2T2R</v>
          </cell>
        </row>
        <row r="306">
          <cell r="E306" t="str">
            <v>GMAIR3</v>
          </cell>
        </row>
        <row r="306">
          <cell r="G306" t="str">
            <v>GMAIR3-M-L21-B2</v>
          </cell>
        </row>
        <row r="306">
          <cell r="I306">
            <v>79.8754</v>
          </cell>
          <cell r="J306">
            <v>7.18148</v>
          </cell>
        </row>
        <row r="306">
          <cell r="AA306" t="str">
            <v>2T2R</v>
          </cell>
        </row>
        <row r="307">
          <cell r="E307" t="str">
            <v>GMAIR3</v>
          </cell>
        </row>
        <row r="307">
          <cell r="G307" t="str">
            <v>GMAIR3-M-L21-A2</v>
          </cell>
        </row>
        <row r="307">
          <cell r="I307">
            <v>79.8754</v>
          </cell>
          <cell r="J307">
            <v>7.18148</v>
          </cell>
        </row>
        <row r="307">
          <cell r="AA307" t="str">
            <v>2T2R</v>
          </cell>
        </row>
        <row r="308">
          <cell r="E308" t="str">
            <v>GMAIR3</v>
          </cell>
        </row>
        <row r="308">
          <cell r="G308" t="str">
            <v>GMAIR3-M-L18-I1</v>
          </cell>
        </row>
        <row r="308">
          <cell r="I308">
            <v>79.8754</v>
          </cell>
          <cell r="J308">
            <v>7.18148</v>
          </cell>
        </row>
        <row r="308">
          <cell r="AA308" t="str">
            <v>2T2R</v>
          </cell>
        </row>
        <row r="309">
          <cell r="E309" t="str">
            <v>GMAIR3</v>
          </cell>
        </row>
        <row r="309">
          <cell r="G309" t="str">
            <v>GMAIR3G</v>
          </cell>
        </row>
        <row r="309">
          <cell r="I309">
            <v>79.8754</v>
          </cell>
          <cell r="J309">
            <v>7.18148</v>
          </cell>
        </row>
        <row r="309">
          <cell r="AA309" t="str">
            <v>4T4R</v>
          </cell>
        </row>
        <row r="310">
          <cell r="E310" t="str">
            <v>GMAIR3</v>
          </cell>
        </row>
        <row r="310">
          <cell r="G310" t="str">
            <v>GMAIR3H</v>
          </cell>
        </row>
        <row r="310">
          <cell r="I310">
            <v>79.8754</v>
          </cell>
          <cell r="J310">
            <v>7.18148</v>
          </cell>
        </row>
        <row r="310">
          <cell r="AA310" t="str">
            <v>4T4R</v>
          </cell>
        </row>
        <row r="311">
          <cell r="E311" t="str">
            <v>GMAIR3</v>
          </cell>
        </row>
        <row r="311">
          <cell r="G311" t="str">
            <v>GMAIR3I</v>
          </cell>
        </row>
        <row r="311">
          <cell r="I311">
            <v>79.8754</v>
          </cell>
          <cell r="J311">
            <v>7.18148</v>
          </cell>
        </row>
        <row r="311">
          <cell r="AA311" t="str">
            <v>2T2R</v>
          </cell>
        </row>
        <row r="312">
          <cell r="E312" t="str">
            <v>LGM053</v>
          </cell>
        </row>
        <row r="312">
          <cell r="G312" t="str">
            <v>LGM053I</v>
          </cell>
        </row>
        <row r="312">
          <cell r="I312">
            <v>79.875493</v>
          </cell>
          <cell r="J312">
            <v>7.160526</v>
          </cell>
        </row>
        <row r="312">
          <cell r="AA312" t="str">
            <v>2T2R</v>
          </cell>
        </row>
        <row r="313">
          <cell r="E313" t="str">
            <v>LGM053</v>
          </cell>
        </row>
        <row r="313">
          <cell r="G313" t="str">
            <v>LGM053H</v>
          </cell>
        </row>
        <row r="313">
          <cell r="I313">
            <v>79.875493</v>
          </cell>
          <cell r="J313">
            <v>7.160526</v>
          </cell>
        </row>
        <row r="313">
          <cell r="AA313" t="str">
            <v>2T2R</v>
          </cell>
        </row>
        <row r="314">
          <cell r="E314" t="str">
            <v>LGM053</v>
          </cell>
        </row>
        <row r="314">
          <cell r="G314" t="str">
            <v>LGM053G</v>
          </cell>
        </row>
        <row r="314">
          <cell r="I314">
            <v>79.875493</v>
          </cell>
          <cell r="J314">
            <v>7.160526</v>
          </cell>
        </row>
        <row r="314">
          <cell r="AA314" t="str">
            <v>2T2R</v>
          </cell>
        </row>
        <row r="315">
          <cell r="E315" t="str">
            <v>ZWAT39</v>
          </cell>
        </row>
        <row r="315">
          <cell r="G315" t="str">
            <v>ZWAT39F</v>
          </cell>
        </row>
        <row r="315">
          <cell r="I315">
            <v>79.8756</v>
          </cell>
          <cell r="J315">
            <v>6.98428</v>
          </cell>
        </row>
        <row r="315">
          <cell r="AA315" t="str">
            <v>2T2R</v>
          </cell>
        </row>
        <row r="316">
          <cell r="E316" t="str">
            <v>ZWAT39</v>
          </cell>
        </row>
        <row r="316">
          <cell r="G316" t="str">
            <v>ZWAT39G</v>
          </cell>
        </row>
        <row r="316">
          <cell r="I316">
            <v>79.8756</v>
          </cell>
          <cell r="J316">
            <v>6.98428</v>
          </cell>
        </row>
        <row r="316">
          <cell r="AA316" t="str">
            <v>4T4R</v>
          </cell>
        </row>
        <row r="317">
          <cell r="E317" t="str">
            <v>ZWAT39</v>
          </cell>
        </row>
        <row r="317">
          <cell r="G317" t="str">
            <v>ZWAT39H</v>
          </cell>
        </row>
        <row r="317">
          <cell r="I317">
            <v>79.8756</v>
          </cell>
          <cell r="J317">
            <v>6.98428</v>
          </cell>
        </row>
        <row r="317">
          <cell r="AA317" t="str">
            <v>4T4R</v>
          </cell>
        </row>
        <row r="318">
          <cell r="E318" t="str">
            <v>ZWAT39</v>
          </cell>
        </row>
        <row r="318">
          <cell r="G318" t="str">
            <v>ZWAT39I</v>
          </cell>
        </row>
        <row r="318">
          <cell r="I318">
            <v>79.8756</v>
          </cell>
          <cell r="J318">
            <v>6.98428</v>
          </cell>
        </row>
        <row r="318">
          <cell r="AA318" t="str">
            <v>4T4R</v>
          </cell>
        </row>
        <row r="319">
          <cell r="E319" t="str">
            <v>ZWAT39</v>
          </cell>
        </row>
        <row r="319">
          <cell r="G319" t="str">
            <v>ZWAT39-M-L21-D2</v>
          </cell>
        </row>
        <row r="319">
          <cell r="I319">
            <v>79.8756</v>
          </cell>
          <cell r="J319">
            <v>6.98428</v>
          </cell>
        </row>
        <row r="319">
          <cell r="AA319" t="str">
            <v>2T2R</v>
          </cell>
        </row>
        <row r="320">
          <cell r="E320" t="str">
            <v>ZWAT39</v>
          </cell>
        </row>
        <row r="320">
          <cell r="G320" t="str">
            <v>ZWAT39-M-L21-C2</v>
          </cell>
        </row>
        <row r="320">
          <cell r="I320">
            <v>79.8756</v>
          </cell>
          <cell r="J320">
            <v>6.98428</v>
          </cell>
        </row>
        <row r="320">
          <cell r="AA320" t="str">
            <v>2T2R</v>
          </cell>
        </row>
        <row r="321">
          <cell r="E321" t="str">
            <v>ZWAT39</v>
          </cell>
        </row>
        <row r="321">
          <cell r="G321" t="str">
            <v>ZWAT39-M-L21-B2</v>
          </cell>
        </row>
        <row r="321">
          <cell r="I321">
            <v>79.8756</v>
          </cell>
          <cell r="J321">
            <v>6.98428</v>
          </cell>
        </row>
        <row r="321">
          <cell r="AA321" t="str">
            <v>2T2R</v>
          </cell>
        </row>
        <row r="322">
          <cell r="E322" t="str">
            <v>ZWAT39</v>
          </cell>
        </row>
        <row r="322">
          <cell r="G322" t="str">
            <v>ZWAT39-M-L21-A2</v>
          </cell>
        </row>
        <row r="322">
          <cell r="I322">
            <v>79.8756</v>
          </cell>
          <cell r="J322">
            <v>6.98428</v>
          </cell>
        </row>
        <row r="322">
          <cell r="AA322" t="str">
            <v>2T2R</v>
          </cell>
        </row>
        <row r="323">
          <cell r="E323" t="str">
            <v>GMSEE1</v>
          </cell>
        </row>
        <row r="323">
          <cell r="G323" t="str">
            <v>GMSEE1I</v>
          </cell>
        </row>
        <row r="323">
          <cell r="I323">
            <v>79.8757</v>
          </cell>
          <cell r="J323">
            <v>7.13244</v>
          </cell>
        </row>
        <row r="323">
          <cell r="AA323" t="str">
            <v>4T4R</v>
          </cell>
        </row>
        <row r="324">
          <cell r="E324" t="str">
            <v>GMSEE1</v>
          </cell>
        </row>
        <row r="324">
          <cell r="G324" t="str">
            <v>GMSEE1H</v>
          </cell>
        </row>
        <row r="324">
          <cell r="I324">
            <v>79.8757</v>
          </cell>
          <cell r="J324">
            <v>7.13244</v>
          </cell>
        </row>
        <row r="324">
          <cell r="AA324" t="str">
            <v>2T2R</v>
          </cell>
        </row>
        <row r="325">
          <cell r="E325" t="str">
            <v>GMSEE1</v>
          </cell>
        </row>
        <row r="325">
          <cell r="G325" t="str">
            <v>GMSEE1G</v>
          </cell>
        </row>
        <row r="325">
          <cell r="I325">
            <v>79.8757</v>
          </cell>
          <cell r="J325">
            <v>7.13244</v>
          </cell>
        </row>
        <row r="325">
          <cell r="AA325" t="str">
            <v>4T4R</v>
          </cell>
        </row>
        <row r="326">
          <cell r="E326" t="str">
            <v>GMSEE1</v>
          </cell>
        </row>
        <row r="326">
          <cell r="G326" t="str">
            <v>GMSEE1-M-L85-A1</v>
          </cell>
        </row>
        <row r="326">
          <cell r="I326">
            <v>79.8757</v>
          </cell>
          <cell r="J326">
            <v>7.13244</v>
          </cell>
        </row>
        <row r="326">
          <cell r="AA326" t="str">
            <v>2T2R</v>
          </cell>
        </row>
        <row r="327">
          <cell r="E327" t="str">
            <v>GMSEE1</v>
          </cell>
        </row>
        <row r="327">
          <cell r="G327" t="str">
            <v>GMSEE1-M-L85-B1</v>
          </cell>
        </row>
        <row r="327">
          <cell r="I327">
            <v>79.8757</v>
          </cell>
          <cell r="J327">
            <v>7.13244</v>
          </cell>
        </row>
        <row r="327">
          <cell r="AA327" t="str">
            <v>2T2R</v>
          </cell>
        </row>
        <row r="328">
          <cell r="E328" t="str">
            <v>GMSEE1</v>
          </cell>
        </row>
        <row r="328">
          <cell r="G328" t="str">
            <v>GMSEE1-M-L85-C1</v>
          </cell>
        </row>
        <row r="328">
          <cell r="I328">
            <v>79.8757</v>
          </cell>
          <cell r="J328">
            <v>7.13244</v>
          </cell>
        </row>
        <row r="328">
          <cell r="AA328" t="str">
            <v>2T2R</v>
          </cell>
        </row>
        <row r="329">
          <cell r="E329" t="str">
            <v>GMSEE1</v>
          </cell>
        </row>
        <row r="329">
          <cell r="G329" t="str">
            <v>GMSEE1-M-L21-C2</v>
          </cell>
        </row>
        <row r="329">
          <cell r="I329">
            <v>79.8757</v>
          </cell>
          <cell r="J329">
            <v>7.13244</v>
          </cell>
        </row>
        <row r="329">
          <cell r="AA329" t="str">
            <v>2T2R</v>
          </cell>
        </row>
        <row r="330">
          <cell r="E330" t="str">
            <v>GMSEE1</v>
          </cell>
        </row>
        <row r="330">
          <cell r="G330" t="str">
            <v>GMSEE1-M-L21-B2</v>
          </cell>
        </row>
        <row r="330">
          <cell r="I330">
            <v>79.8757</v>
          </cell>
          <cell r="J330">
            <v>7.13244</v>
          </cell>
        </row>
        <row r="330">
          <cell r="AA330" t="str">
            <v>2T2R</v>
          </cell>
        </row>
        <row r="331">
          <cell r="E331" t="str">
            <v>GMSEE1</v>
          </cell>
        </row>
        <row r="331">
          <cell r="G331" t="str">
            <v>GMSEE1-M-L21-A2</v>
          </cell>
        </row>
        <row r="331">
          <cell r="I331">
            <v>79.8757</v>
          </cell>
          <cell r="J331">
            <v>7.13244</v>
          </cell>
        </row>
        <row r="331">
          <cell r="AA331" t="str">
            <v>2T2R</v>
          </cell>
        </row>
        <row r="332">
          <cell r="E332" t="str">
            <v>GMSEE1</v>
          </cell>
        </row>
        <row r="332">
          <cell r="G332" t="str">
            <v>GMSEE1-M-L18-H1</v>
          </cell>
        </row>
        <row r="332">
          <cell r="I332">
            <v>79.8757</v>
          </cell>
          <cell r="J332">
            <v>7.13244</v>
          </cell>
        </row>
        <row r="332">
          <cell r="AA332" t="str">
            <v>2T2R</v>
          </cell>
        </row>
        <row r="333">
          <cell r="E333" t="str">
            <v>GMBAM2</v>
          </cell>
        </row>
        <row r="333">
          <cell r="G333" t="str">
            <v>GMBAM2I</v>
          </cell>
        </row>
        <row r="333">
          <cell r="I333">
            <v>79.8765</v>
          </cell>
          <cell r="J333">
            <v>7.2532</v>
          </cell>
        </row>
        <row r="333">
          <cell r="AA333" t="str">
            <v>2T2R</v>
          </cell>
        </row>
        <row r="334">
          <cell r="E334" t="str">
            <v>GMBAM2</v>
          </cell>
        </row>
        <row r="334">
          <cell r="G334" t="str">
            <v>GMBAM2H</v>
          </cell>
        </row>
        <row r="334">
          <cell r="I334">
            <v>79.8765</v>
          </cell>
          <cell r="J334">
            <v>7.2532</v>
          </cell>
        </row>
        <row r="334">
          <cell r="AA334" t="str">
            <v>2T2R</v>
          </cell>
        </row>
        <row r="335">
          <cell r="E335" t="str">
            <v>GMBAM2</v>
          </cell>
        </row>
        <row r="335">
          <cell r="G335" t="str">
            <v>GMBAM2G</v>
          </cell>
        </row>
        <row r="335">
          <cell r="I335">
            <v>79.8765</v>
          </cell>
          <cell r="J335">
            <v>7.2532</v>
          </cell>
        </row>
        <row r="335">
          <cell r="AA335" t="str">
            <v>2T2R</v>
          </cell>
        </row>
        <row r="336">
          <cell r="E336" t="str">
            <v>GMBAM2</v>
          </cell>
        </row>
        <row r="336">
          <cell r="G336" t="str">
            <v>GMBAM2-M-L85-A1</v>
          </cell>
        </row>
        <row r="336">
          <cell r="I336">
            <v>79.8765</v>
          </cell>
          <cell r="J336">
            <v>7.2532</v>
          </cell>
        </row>
        <row r="336">
          <cell r="AA336" t="str">
            <v>2T2R</v>
          </cell>
        </row>
        <row r="337">
          <cell r="E337" t="str">
            <v>GMBAM2</v>
          </cell>
        </row>
        <row r="337">
          <cell r="G337" t="str">
            <v>GMBAM2-M-L85-B1</v>
          </cell>
        </row>
        <row r="337">
          <cell r="I337">
            <v>79.8765</v>
          </cell>
          <cell r="J337">
            <v>7.2532</v>
          </cell>
        </row>
        <row r="337">
          <cell r="AA337" t="str">
            <v>2T2R</v>
          </cell>
        </row>
        <row r="338">
          <cell r="E338" t="str">
            <v>GMBAM2</v>
          </cell>
        </row>
        <row r="338">
          <cell r="G338" t="str">
            <v>GMBAM2-M-L85-C1</v>
          </cell>
        </row>
        <row r="338">
          <cell r="I338">
            <v>79.8765</v>
          </cell>
          <cell r="J338">
            <v>7.2532</v>
          </cell>
        </row>
        <row r="338">
          <cell r="AA338" t="str">
            <v>2T2R</v>
          </cell>
        </row>
        <row r="339">
          <cell r="E339" t="str">
            <v>ZWAT52</v>
          </cell>
        </row>
        <row r="339">
          <cell r="G339" t="str">
            <v>ZWAT52-M-L21-C2</v>
          </cell>
        </row>
        <row r="339">
          <cell r="I339">
            <v>79.8767</v>
          </cell>
          <cell r="J339">
            <v>7.0017</v>
          </cell>
        </row>
        <row r="339">
          <cell r="AA339" t="str">
            <v>2T2R</v>
          </cell>
        </row>
        <row r="340">
          <cell r="E340" t="str">
            <v>ZWAT52</v>
          </cell>
        </row>
        <row r="340">
          <cell r="G340" t="str">
            <v>ZWAT52-M-L21-B2</v>
          </cell>
        </row>
        <row r="340">
          <cell r="I340">
            <v>79.8767</v>
          </cell>
          <cell r="J340">
            <v>7.0017</v>
          </cell>
        </row>
        <row r="340">
          <cell r="AA340" t="str">
            <v>2T2R</v>
          </cell>
        </row>
        <row r="341">
          <cell r="E341" t="str">
            <v>ZWAT52</v>
          </cell>
        </row>
        <row r="341">
          <cell r="G341" t="str">
            <v>ZWAT52-M-L21-A2</v>
          </cell>
        </row>
        <row r="341">
          <cell r="I341">
            <v>79.8767</v>
          </cell>
          <cell r="J341">
            <v>7.0017</v>
          </cell>
        </row>
        <row r="341">
          <cell r="AA341" t="str">
            <v>2T2R</v>
          </cell>
        </row>
        <row r="342">
          <cell r="E342" t="str">
            <v>GMKTA2</v>
          </cell>
        </row>
        <row r="342">
          <cell r="G342" t="str">
            <v>GMKTA2-M-L21-C2</v>
          </cell>
        </row>
        <row r="342">
          <cell r="I342">
            <v>79.8777</v>
          </cell>
          <cell r="J342">
            <v>7.23533</v>
          </cell>
        </row>
        <row r="342">
          <cell r="AA342" t="str">
            <v>2T2R</v>
          </cell>
        </row>
        <row r="343">
          <cell r="E343" t="str">
            <v>GMKTA2</v>
          </cell>
        </row>
        <row r="343">
          <cell r="G343" t="str">
            <v>GMKTA2-M-L21-B2</v>
          </cell>
        </row>
        <row r="343">
          <cell r="I343">
            <v>79.8777</v>
          </cell>
          <cell r="J343">
            <v>7.23533</v>
          </cell>
        </row>
        <row r="343">
          <cell r="AA343" t="str">
            <v>2T2R</v>
          </cell>
        </row>
        <row r="344">
          <cell r="E344" t="str">
            <v>GMKTA2</v>
          </cell>
        </row>
        <row r="344">
          <cell r="G344" t="str">
            <v>GMKTA2-M-L21-A2</v>
          </cell>
        </row>
        <row r="344">
          <cell r="I344">
            <v>79.8777</v>
          </cell>
          <cell r="J344">
            <v>7.23533</v>
          </cell>
        </row>
        <row r="344">
          <cell r="AA344" t="str">
            <v>2T2R</v>
          </cell>
        </row>
        <row r="345">
          <cell r="E345" t="str">
            <v>GMKTA2</v>
          </cell>
        </row>
        <row r="345">
          <cell r="G345" t="str">
            <v>GMKTA2I</v>
          </cell>
        </row>
        <row r="345">
          <cell r="I345">
            <v>79.8777</v>
          </cell>
          <cell r="J345">
            <v>7.23533</v>
          </cell>
        </row>
        <row r="345">
          <cell r="AA345" t="str">
            <v>2T2R</v>
          </cell>
        </row>
        <row r="346">
          <cell r="E346" t="str">
            <v>GMKTA2</v>
          </cell>
        </row>
        <row r="346">
          <cell r="G346" t="str">
            <v>GMKTA2H</v>
          </cell>
        </row>
        <row r="346">
          <cell r="I346">
            <v>79.8777</v>
          </cell>
          <cell r="J346">
            <v>7.23533</v>
          </cell>
        </row>
        <row r="346">
          <cell r="AA346" t="str">
            <v>4T4R</v>
          </cell>
        </row>
        <row r="347">
          <cell r="E347" t="str">
            <v>GMKTA2</v>
          </cell>
        </row>
        <row r="347">
          <cell r="G347" t="str">
            <v>GMKTA2G</v>
          </cell>
        </row>
        <row r="347">
          <cell r="I347">
            <v>79.8777</v>
          </cell>
          <cell r="J347">
            <v>7.23533</v>
          </cell>
        </row>
        <row r="347">
          <cell r="AA347" t="str">
            <v>2T2R</v>
          </cell>
        </row>
        <row r="348">
          <cell r="E348" t="str">
            <v>GMKTA2</v>
          </cell>
        </row>
        <row r="348">
          <cell r="G348" t="str">
            <v>GMKTA2-M-L85-C1</v>
          </cell>
        </row>
        <row r="348">
          <cell r="I348">
            <v>79.8777</v>
          </cell>
          <cell r="J348">
            <v>7.23533</v>
          </cell>
        </row>
        <row r="348">
          <cell r="AA348" t="str">
            <v>2T2R</v>
          </cell>
        </row>
        <row r="349">
          <cell r="E349" t="str">
            <v>GMKTA2</v>
          </cell>
        </row>
        <row r="349">
          <cell r="G349" t="str">
            <v>GMKTA2-M-L85-B1</v>
          </cell>
        </row>
        <row r="349">
          <cell r="I349">
            <v>79.8777</v>
          </cell>
          <cell r="J349">
            <v>7.23533</v>
          </cell>
        </row>
        <row r="349">
          <cell r="AA349" t="str">
            <v>2T2R</v>
          </cell>
        </row>
        <row r="350">
          <cell r="E350" t="str">
            <v>GMKTA2</v>
          </cell>
        </row>
        <row r="350">
          <cell r="G350" t="str">
            <v>GMKTA2-M-L85-A1</v>
          </cell>
        </row>
        <row r="350">
          <cell r="I350">
            <v>79.8777</v>
          </cell>
          <cell r="J350">
            <v>7.23533</v>
          </cell>
        </row>
        <row r="350">
          <cell r="AA350" t="str">
            <v>2T2R</v>
          </cell>
        </row>
        <row r="351">
          <cell r="E351" t="str">
            <v>GMALA3</v>
          </cell>
        </row>
        <row r="351">
          <cell r="G351" t="str">
            <v>GMALA3I</v>
          </cell>
        </row>
        <row r="351">
          <cell r="I351">
            <v>79.8783</v>
          </cell>
          <cell r="J351">
            <v>7.1062</v>
          </cell>
        </row>
        <row r="351">
          <cell r="AA351" t="str">
            <v>2T2R</v>
          </cell>
        </row>
        <row r="352">
          <cell r="E352" t="str">
            <v>GMALA3</v>
          </cell>
        </row>
        <row r="352">
          <cell r="G352" t="str">
            <v>GMALA3H</v>
          </cell>
        </row>
        <row r="352">
          <cell r="I352">
            <v>79.8783</v>
          </cell>
          <cell r="J352">
            <v>7.1062</v>
          </cell>
        </row>
        <row r="352">
          <cell r="AA352" t="str">
            <v>2T2R</v>
          </cell>
        </row>
        <row r="353">
          <cell r="E353" t="str">
            <v>GMALA3</v>
          </cell>
        </row>
        <row r="353">
          <cell r="G353" t="str">
            <v>GMALA3G</v>
          </cell>
        </row>
        <row r="353">
          <cell r="I353">
            <v>79.8783</v>
          </cell>
          <cell r="J353">
            <v>7.1062</v>
          </cell>
        </row>
        <row r="353">
          <cell r="AA353" t="str">
            <v>2T2R</v>
          </cell>
        </row>
        <row r="354">
          <cell r="E354" t="str">
            <v>ZJAL20</v>
          </cell>
        </row>
        <row r="354">
          <cell r="G354" t="str">
            <v>ZJAL20I</v>
          </cell>
        </row>
        <row r="354">
          <cell r="I354">
            <v>79.878333</v>
          </cell>
          <cell r="J354">
            <v>7.085555</v>
          </cell>
        </row>
        <row r="354">
          <cell r="AA354" t="str">
            <v>2T2R</v>
          </cell>
        </row>
        <row r="355">
          <cell r="E355" t="str">
            <v>ZJAL20</v>
          </cell>
        </row>
        <row r="355">
          <cell r="G355" t="str">
            <v>ZJAL20H</v>
          </cell>
        </row>
        <row r="355">
          <cell r="I355">
            <v>79.878333</v>
          </cell>
          <cell r="J355">
            <v>7.085555</v>
          </cell>
        </row>
        <row r="355">
          <cell r="AA355" t="str">
            <v>2T2R</v>
          </cell>
        </row>
        <row r="356">
          <cell r="E356" t="str">
            <v>ZJAL20</v>
          </cell>
        </row>
        <row r="356">
          <cell r="G356" t="str">
            <v>ZJAL20G</v>
          </cell>
        </row>
        <row r="356">
          <cell r="I356">
            <v>79.878333</v>
          </cell>
          <cell r="J356">
            <v>7.085555</v>
          </cell>
        </row>
        <row r="356">
          <cell r="AA356" t="str">
            <v>2T2R</v>
          </cell>
        </row>
        <row r="357">
          <cell r="E357" t="str">
            <v>ZJAL20</v>
          </cell>
        </row>
        <row r="357">
          <cell r="G357" t="str">
            <v>ZJAL20F</v>
          </cell>
        </row>
        <row r="357">
          <cell r="I357">
            <v>79.878333</v>
          </cell>
          <cell r="J357">
            <v>7.085555</v>
          </cell>
        </row>
        <row r="357">
          <cell r="AA357" t="str">
            <v>2T2R</v>
          </cell>
        </row>
        <row r="358">
          <cell r="E358" t="str">
            <v>ZJAL20</v>
          </cell>
        </row>
        <row r="358">
          <cell r="G358" t="str">
            <v>ZJAL20-M-L21-C2</v>
          </cell>
        </row>
        <row r="358">
          <cell r="I358">
            <v>79.878333</v>
          </cell>
          <cell r="J358">
            <v>7.085555</v>
          </cell>
        </row>
        <row r="358">
          <cell r="AA358" t="str">
            <v>2T2R</v>
          </cell>
        </row>
        <row r="359">
          <cell r="E359" t="str">
            <v>ZJAL20</v>
          </cell>
        </row>
        <row r="359">
          <cell r="G359" t="str">
            <v>ZJAL20-M-L21-B2</v>
          </cell>
        </row>
        <row r="359">
          <cell r="I359">
            <v>79.878333</v>
          </cell>
          <cell r="J359">
            <v>7.085555</v>
          </cell>
        </row>
        <row r="359">
          <cell r="AA359" t="str">
            <v>2T2R</v>
          </cell>
        </row>
        <row r="360">
          <cell r="E360" t="str">
            <v>ZJAL20</v>
          </cell>
        </row>
        <row r="360">
          <cell r="G360" t="str">
            <v>ZJAL20-M-L21-A2</v>
          </cell>
        </row>
        <row r="360">
          <cell r="I360">
            <v>79.878333</v>
          </cell>
          <cell r="J360">
            <v>7.085555</v>
          </cell>
        </row>
        <row r="360">
          <cell r="AA360" t="str">
            <v>2T2R</v>
          </cell>
        </row>
        <row r="361">
          <cell r="E361" t="str">
            <v>GMALA2</v>
          </cell>
        </row>
        <row r="361">
          <cell r="G361" t="str">
            <v>GMALA2I</v>
          </cell>
        </row>
        <row r="361">
          <cell r="I361">
            <v>79.8792</v>
          </cell>
          <cell r="J361">
            <v>7.1196</v>
          </cell>
        </row>
        <row r="361">
          <cell r="AA361" t="str">
            <v>2T2R</v>
          </cell>
        </row>
        <row r="362">
          <cell r="E362" t="str">
            <v>GMALA2</v>
          </cell>
        </row>
        <row r="362">
          <cell r="G362" t="str">
            <v>GMALA2H</v>
          </cell>
        </row>
        <row r="362">
          <cell r="I362">
            <v>79.8792</v>
          </cell>
          <cell r="J362">
            <v>7.1196</v>
          </cell>
        </row>
        <row r="362">
          <cell r="AA362" t="str">
            <v>2T2R</v>
          </cell>
        </row>
        <row r="363">
          <cell r="E363" t="str">
            <v>GMALA2</v>
          </cell>
        </row>
        <row r="363">
          <cell r="G363" t="str">
            <v>GMALA2G</v>
          </cell>
        </row>
        <row r="363">
          <cell r="I363">
            <v>79.8792</v>
          </cell>
          <cell r="J363">
            <v>7.1196</v>
          </cell>
        </row>
        <row r="363">
          <cell r="AA363" t="str">
            <v>2T2R</v>
          </cell>
        </row>
        <row r="364">
          <cell r="E364" t="str">
            <v>IBSPL1</v>
          </cell>
        </row>
        <row r="364">
          <cell r="G364" t="str">
            <v>IBSPL1G</v>
          </cell>
        </row>
        <row r="364">
          <cell r="I364">
            <v>79.8795</v>
          </cell>
          <cell r="J364">
            <v>7.0176</v>
          </cell>
        </row>
        <row r="364">
          <cell r="AA364" t="str">
            <v>1T1R</v>
          </cell>
        </row>
        <row r="365">
          <cell r="E365" t="str">
            <v>IBSPL1</v>
          </cell>
        </row>
        <row r="365">
          <cell r="G365" t="str">
            <v>IBSPL1H</v>
          </cell>
        </row>
        <row r="365">
          <cell r="I365">
            <v>79.8795</v>
          </cell>
          <cell r="J365">
            <v>7.0176</v>
          </cell>
        </row>
        <row r="365">
          <cell r="AA365" t="str">
            <v>1T1R</v>
          </cell>
        </row>
        <row r="366">
          <cell r="E366" t="str">
            <v>GMFTZ3</v>
          </cell>
        </row>
        <row r="366">
          <cell r="G366" t="str">
            <v>GMFTZ3I</v>
          </cell>
        </row>
        <row r="366">
          <cell r="I366">
            <v>79.8802</v>
          </cell>
          <cell r="J366">
            <v>7.16447</v>
          </cell>
        </row>
        <row r="366">
          <cell r="AA366" t="str">
            <v>2T2R</v>
          </cell>
        </row>
        <row r="367">
          <cell r="E367" t="str">
            <v>GMFTZ3</v>
          </cell>
        </row>
        <row r="367">
          <cell r="G367" t="str">
            <v>GMFTZ3H</v>
          </cell>
        </row>
        <row r="367">
          <cell r="I367">
            <v>79.8802</v>
          </cell>
          <cell r="J367">
            <v>7.16447</v>
          </cell>
        </row>
        <row r="367">
          <cell r="AA367" t="str">
            <v>2T2R</v>
          </cell>
        </row>
        <row r="368">
          <cell r="E368" t="str">
            <v>GMFTZ3</v>
          </cell>
        </row>
        <row r="368">
          <cell r="G368" t="str">
            <v>GMFTZ3G</v>
          </cell>
        </row>
        <row r="368">
          <cell r="I368">
            <v>79.8802</v>
          </cell>
          <cell r="J368">
            <v>7.16447</v>
          </cell>
        </row>
        <row r="368">
          <cell r="AA368" t="str">
            <v>2T2R</v>
          </cell>
        </row>
        <row r="369">
          <cell r="E369" t="str">
            <v>GMAKK1</v>
          </cell>
        </row>
        <row r="369">
          <cell r="G369" t="str">
            <v>GMAKK1-M-L21-C2</v>
          </cell>
        </row>
        <row r="369">
          <cell r="I369">
            <v>79.8806</v>
          </cell>
          <cell r="J369">
            <v>7.2049</v>
          </cell>
        </row>
        <row r="369">
          <cell r="AA369" t="str">
            <v>2T2R</v>
          </cell>
        </row>
        <row r="370">
          <cell r="E370" t="str">
            <v>GMAKK1</v>
          </cell>
        </row>
        <row r="370">
          <cell r="G370" t="str">
            <v>GMAKK1-M-L21-B2</v>
          </cell>
        </row>
        <row r="370">
          <cell r="I370">
            <v>79.8806</v>
          </cell>
          <cell r="J370">
            <v>7.2049</v>
          </cell>
        </row>
        <row r="370">
          <cell r="AA370" t="str">
            <v>2T2R</v>
          </cell>
        </row>
        <row r="371">
          <cell r="E371" t="str">
            <v>GMAKK1</v>
          </cell>
        </row>
        <row r="371">
          <cell r="G371" t="str">
            <v>GMAKK1-M-L21-A2</v>
          </cell>
        </row>
        <row r="371">
          <cell r="I371">
            <v>79.8806</v>
          </cell>
          <cell r="J371">
            <v>7.2049</v>
          </cell>
        </row>
        <row r="371">
          <cell r="AA371" t="str">
            <v>2T2R</v>
          </cell>
        </row>
        <row r="372">
          <cell r="E372" t="str">
            <v>GMAKK1</v>
          </cell>
        </row>
        <row r="372">
          <cell r="G372" t="str">
            <v>GMAKK1I</v>
          </cell>
        </row>
        <row r="372">
          <cell r="I372">
            <v>79.8806</v>
          </cell>
          <cell r="J372">
            <v>7.2049</v>
          </cell>
        </row>
        <row r="372">
          <cell r="AA372" t="str">
            <v>2T2R</v>
          </cell>
        </row>
        <row r="373">
          <cell r="E373" t="str">
            <v>GMAKK1</v>
          </cell>
        </row>
        <row r="373">
          <cell r="G373" t="str">
            <v>GMAKK1H</v>
          </cell>
        </row>
        <row r="373">
          <cell r="I373">
            <v>79.8806</v>
          </cell>
          <cell r="J373">
            <v>7.2049</v>
          </cell>
        </row>
        <row r="373">
          <cell r="AA373" t="str">
            <v>2T2R</v>
          </cell>
        </row>
        <row r="374">
          <cell r="E374" t="str">
            <v>GMAKK1</v>
          </cell>
        </row>
        <row r="374">
          <cell r="G374" t="str">
            <v>GMAKK1G</v>
          </cell>
        </row>
        <row r="374">
          <cell r="I374">
            <v>79.8806</v>
          </cell>
          <cell r="J374">
            <v>7.2049</v>
          </cell>
        </row>
        <row r="374">
          <cell r="AA374" t="str">
            <v>2T2R</v>
          </cell>
        </row>
        <row r="375">
          <cell r="E375" t="str">
            <v>ZWAT02</v>
          </cell>
        </row>
        <row r="375">
          <cell r="G375" t="str">
            <v>ZWAT02-M-L85-C1</v>
          </cell>
        </row>
        <row r="375">
          <cell r="I375">
            <v>79.8807</v>
          </cell>
          <cell r="J375">
            <v>6.9914</v>
          </cell>
        </row>
        <row r="375">
          <cell r="AA375" t="str">
            <v>2T2R</v>
          </cell>
        </row>
        <row r="376">
          <cell r="E376" t="str">
            <v>ZWAT02</v>
          </cell>
        </row>
        <row r="376">
          <cell r="G376" t="str">
            <v>ZWAT02-M-L85-B1</v>
          </cell>
        </row>
        <row r="376">
          <cell r="I376">
            <v>79.8807</v>
          </cell>
          <cell r="J376">
            <v>6.9914</v>
          </cell>
        </row>
        <row r="376">
          <cell r="AA376" t="str">
            <v>2T2R</v>
          </cell>
        </row>
        <row r="377">
          <cell r="E377" t="str">
            <v>ZWAT02</v>
          </cell>
        </row>
        <row r="377">
          <cell r="G377" t="str">
            <v>ZWAT02-M-L85-A1</v>
          </cell>
        </row>
        <row r="377">
          <cell r="I377">
            <v>79.8807</v>
          </cell>
          <cell r="J377">
            <v>6.9914</v>
          </cell>
        </row>
        <row r="377">
          <cell r="AA377" t="str">
            <v>2T2R</v>
          </cell>
        </row>
        <row r="378">
          <cell r="E378" t="str">
            <v>ZWAT02</v>
          </cell>
        </row>
        <row r="378">
          <cell r="G378" t="str">
            <v>ZWAT02-M-L18-G1</v>
          </cell>
        </row>
        <row r="378">
          <cell r="I378">
            <v>79.8807</v>
          </cell>
          <cell r="J378">
            <v>6.9914</v>
          </cell>
        </row>
        <row r="378">
          <cell r="AA378" t="str">
            <v>4T4R</v>
          </cell>
        </row>
        <row r="379">
          <cell r="E379" t="str">
            <v>ZWAT02</v>
          </cell>
        </row>
        <row r="379">
          <cell r="G379" t="str">
            <v>ZWAT02G</v>
          </cell>
        </row>
        <row r="379">
          <cell r="I379">
            <v>79.8807</v>
          </cell>
          <cell r="J379">
            <v>6.9914</v>
          </cell>
        </row>
        <row r="379">
          <cell r="AA379" t="str">
            <v>4T4R</v>
          </cell>
        </row>
        <row r="380">
          <cell r="E380" t="str">
            <v>ZWAT02</v>
          </cell>
        </row>
        <row r="380">
          <cell r="G380" t="str">
            <v>ZWAT02H</v>
          </cell>
        </row>
        <row r="380">
          <cell r="I380">
            <v>79.8807</v>
          </cell>
          <cell r="J380">
            <v>6.9914</v>
          </cell>
        </row>
        <row r="380">
          <cell r="AA380" t="str">
            <v>4T4R</v>
          </cell>
        </row>
        <row r="381">
          <cell r="E381" t="str">
            <v>ZWAT02</v>
          </cell>
        </row>
        <row r="381">
          <cell r="G381" t="str">
            <v>ZWAT02I</v>
          </cell>
        </row>
        <row r="381">
          <cell r="I381">
            <v>79.8807</v>
          </cell>
          <cell r="J381">
            <v>6.9914</v>
          </cell>
        </row>
        <row r="381">
          <cell r="AA381" t="str">
            <v>4T4R</v>
          </cell>
        </row>
        <row r="382">
          <cell r="E382" t="str">
            <v>GMKDR1</v>
          </cell>
        </row>
        <row r="382">
          <cell r="G382" t="str">
            <v>GMKDR1-M-L21-C2</v>
          </cell>
        </row>
        <row r="382">
          <cell r="I382">
            <v>79.881</v>
          </cell>
          <cell r="J382">
            <v>7.19758</v>
          </cell>
        </row>
        <row r="382">
          <cell r="AA382" t="str">
            <v>4T4R</v>
          </cell>
        </row>
        <row r="383">
          <cell r="E383" t="str">
            <v>GMKDR1</v>
          </cell>
        </row>
        <row r="383">
          <cell r="G383" t="str">
            <v>GMKDR1-M-L21-B2</v>
          </cell>
        </row>
        <row r="383">
          <cell r="I383">
            <v>79.881</v>
          </cell>
          <cell r="J383">
            <v>7.19758</v>
          </cell>
        </row>
        <row r="383">
          <cell r="AA383" t="str">
            <v>4T4R</v>
          </cell>
        </row>
        <row r="384">
          <cell r="E384" t="str">
            <v>GMKDR1</v>
          </cell>
        </row>
        <row r="384">
          <cell r="G384" t="str">
            <v>GMKDR1-M-L21-A2</v>
          </cell>
        </row>
        <row r="384">
          <cell r="I384">
            <v>79.881</v>
          </cell>
          <cell r="J384">
            <v>7.19758</v>
          </cell>
        </row>
        <row r="384">
          <cell r="AA384" t="str">
            <v>2T2R</v>
          </cell>
        </row>
        <row r="385">
          <cell r="E385" t="str">
            <v>GMKDR1</v>
          </cell>
        </row>
        <row r="385">
          <cell r="G385" t="str">
            <v>GMKDR1-M-L21-C1</v>
          </cell>
        </row>
        <row r="385">
          <cell r="I385">
            <v>79.881</v>
          </cell>
          <cell r="J385">
            <v>7.19758</v>
          </cell>
        </row>
        <row r="385">
          <cell r="AA385" t="str">
            <v>4T4R</v>
          </cell>
        </row>
        <row r="386">
          <cell r="E386" t="str">
            <v>GMKDR1</v>
          </cell>
        </row>
        <row r="386">
          <cell r="G386" t="str">
            <v>GMKDR1-M-L21-B1</v>
          </cell>
        </row>
        <row r="386">
          <cell r="I386">
            <v>79.881</v>
          </cell>
          <cell r="J386">
            <v>7.19758</v>
          </cell>
        </row>
        <row r="386">
          <cell r="AA386" t="str">
            <v>4T4R</v>
          </cell>
        </row>
        <row r="387">
          <cell r="E387" t="str">
            <v>GMKDR1</v>
          </cell>
        </row>
        <row r="387">
          <cell r="G387" t="str">
            <v>GMKDR1-M-L18-I1</v>
          </cell>
        </row>
        <row r="387">
          <cell r="I387">
            <v>79.881</v>
          </cell>
          <cell r="J387">
            <v>7.19758</v>
          </cell>
        </row>
        <row r="387">
          <cell r="AA387" t="str">
            <v>4T4R</v>
          </cell>
        </row>
        <row r="388">
          <cell r="E388" t="str">
            <v>GMKDR1</v>
          </cell>
        </row>
        <row r="388">
          <cell r="G388" t="str">
            <v>GMKDR1-M-L18-H1</v>
          </cell>
        </row>
        <row r="388">
          <cell r="I388">
            <v>79.881</v>
          </cell>
          <cell r="J388">
            <v>7.19758</v>
          </cell>
        </row>
        <row r="388">
          <cell r="AA388" t="str">
            <v>4T4R</v>
          </cell>
        </row>
        <row r="389">
          <cell r="E389" t="str">
            <v>GMKDR1</v>
          </cell>
        </row>
        <row r="389">
          <cell r="G389" t="str">
            <v>GMKDR1I</v>
          </cell>
        </row>
        <row r="389">
          <cell r="I389">
            <v>79.881</v>
          </cell>
          <cell r="J389">
            <v>7.19758</v>
          </cell>
        </row>
        <row r="389">
          <cell r="AA389" t="str">
            <v>4T4R</v>
          </cell>
        </row>
        <row r="390">
          <cell r="E390" t="str">
            <v>GMKDR1</v>
          </cell>
        </row>
        <row r="390">
          <cell r="G390" t="str">
            <v>GMKDR1H</v>
          </cell>
        </row>
        <row r="390">
          <cell r="I390">
            <v>79.881</v>
          </cell>
          <cell r="J390">
            <v>7.19758</v>
          </cell>
        </row>
        <row r="390">
          <cell r="AA390" t="str">
            <v>4T4R</v>
          </cell>
        </row>
        <row r="391">
          <cell r="E391" t="str">
            <v>GMKDR1</v>
          </cell>
        </row>
        <row r="391">
          <cell r="G391" t="str">
            <v>GMKDR1G</v>
          </cell>
        </row>
        <row r="391">
          <cell r="I391">
            <v>79.881</v>
          </cell>
          <cell r="J391">
            <v>7.19758</v>
          </cell>
        </row>
        <row r="391">
          <cell r="AA391" t="str">
            <v>2T2R</v>
          </cell>
        </row>
        <row r="392">
          <cell r="E392" t="str">
            <v>GMKDR1</v>
          </cell>
        </row>
        <row r="392">
          <cell r="G392" t="str">
            <v>GMKDR1-M-L85-C1</v>
          </cell>
        </row>
        <row r="392">
          <cell r="I392">
            <v>79.881</v>
          </cell>
          <cell r="J392">
            <v>7.19758</v>
          </cell>
        </row>
        <row r="392">
          <cell r="AA392" t="str">
            <v>2T2R</v>
          </cell>
        </row>
        <row r="393">
          <cell r="E393" t="str">
            <v>GMKDR1</v>
          </cell>
        </row>
        <row r="393">
          <cell r="G393" t="str">
            <v>GMKDR1-M-L85-B1</v>
          </cell>
        </row>
        <row r="393">
          <cell r="I393">
            <v>79.881</v>
          </cell>
          <cell r="J393">
            <v>7.19758</v>
          </cell>
        </row>
        <row r="393">
          <cell r="AA393" t="str">
            <v>2T2R</v>
          </cell>
        </row>
        <row r="394">
          <cell r="E394" t="str">
            <v>GMKDR1</v>
          </cell>
        </row>
        <row r="394">
          <cell r="G394" t="str">
            <v>GMKDR1-M-L85-A1</v>
          </cell>
        </row>
        <row r="394">
          <cell r="I394">
            <v>79.881</v>
          </cell>
          <cell r="J394">
            <v>7.19758</v>
          </cell>
        </row>
        <row r="394">
          <cell r="AA394" t="str">
            <v>2T2R</v>
          </cell>
        </row>
        <row r="395">
          <cell r="E395" t="str">
            <v>ZJAL21</v>
          </cell>
        </row>
        <row r="395">
          <cell r="G395" t="str">
            <v>ZJAL21I</v>
          </cell>
        </row>
        <row r="395">
          <cell r="I395">
            <v>79.8811</v>
          </cell>
          <cell r="J395">
            <v>7.05889</v>
          </cell>
        </row>
        <row r="395">
          <cell r="AA395" t="str">
            <v>4T4R</v>
          </cell>
        </row>
        <row r="396">
          <cell r="E396" t="str">
            <v>ZJAL21</v>
          </cell>
        </row>
        <row r="396">
          <cell r="G396" t="str">
            <v>ZJAL21H</v>
          </cell>
        </row>
        <row r="396">
          <cell r="I396">
            <v>79.8811</v>
          </cell>
          <cell r="J396">
            <v>7.05889</v>
          </cell>
        </row>
        <row r="396">
          <cell r="AA396" t="str">
            <v>4T4R</v>
          </cell>
        </row>
        <row r="397">
          <cell r="E397" t="str">
            <v>ZJAL21</v>
          </cell>
        </row>
        <row r="397">
          <cell r="G397" t="str">
            <v>ZJAL21G</v>
          </cell>
        </row>
        <row r="397">
          <cell r="I397">
            <v>79.8811</v>
          </cell>
          <cell r="J397">
            <v>7.05889</v>
          </cell>
        </row>
        <row r="397">
          <cell r="AA397" t="str">
            <v>4T4R</v>
          </cell>
        </row>
        <row r="398">
          <cell r="E398" t="str">
            <v>ZJAL21</v>
          </cell>
        </row>
        <row r="398">
          <cell r="G398" t="str">
            <v>ZJAL21-M-L21-C2</v>
          </cell>
        </row>
        <row r="398">
          <cell r="I398">
            <v>79.8811</v>
          </cell>
          <cell r="J398">
            <v>7.05889</v>
          </cell>
        </row>
        <row r="398">
          <cell r="AA398" t="str">
            <v>2T2R</v>
          </cell>
        </row>
        <row r="399">
          <cell r="E399" t="str">
            <v>ZJAL21</v>
          </cell>
        </row>
        <row r="399">
          <cell r="G399" t="str">
            <v>ZJAL21-M-L21-B2</v>
          </cell>
        </row>
        <row r="399">
          <cell r="I399">
            <v>79.8811</v>
          </cell>
          <cell r="J399">
            <v>7.05889</v>
          </cell>
        </row>
        <row r="399">
          <cell r="AA399" t="str">
            <v>2T2R</v>
          </cell>
        </row>
        <row r="400">
          <cell r="E400" t="str">
            <v>ZJAL21</v>
          </cell>
        </row>
        <row r="400">
          <cell r="G400" t="str">
            <v>ZJAL21-M-L21-A2</v>
          </cell>
        </row>
        <row r="400">
          <cell r="I400">
            <v>79.8811</v>
          </cell>
          <cell r="J400">
            <v>7.05889</v>
          </cell>
        </row>
        <row r="400">
          <cell r="AA400" t="str">
            <v>2T2R</v>
          </cell>
        </row>
        <row r="401">
          <cell r="E401" t="str">
            <v>GMBAM1</v>
          </cell>
        </row>
        <row r="401">
          <cell r="G401" t="str">
            <v>GMBAM1I</v>
          </cell>
        </row>
        <row r="401">
          <cell r="I401">
            <v>79.881388</v>
          </cell>
          <cell r="J401">
            <v>7.265</v>
          </cell>
        </row>
        <row r="401">
          <cell r="AA401" t="str">
            <v>2T2R</v>
          </cell>
        </row>
        <row r="402">
          <cell r="E402" t="str">
            <v>GMBAM1</v>
          </cell>
        </row>
        <row r="402">
          <cell r="G402" t="str">
            <v>GMBAM1-M-L21-C2</v>
          </cell>
        </row>
        <row r="402">
          <cell r="I402">
            <v>79.881388</v>
          </cell>
          <cell r="J402">
            <v>7.265</v>
          </cell>
        </row>
        <row r="402">
          <cell r="AA402" t="str">
            <v>2T2R</v>
          </cell>
        </row>
        <row r="403">
          <cell r="E403" t="str">
            <v>GMBAM1</v>
          </cell>
        </row>
        <row r="403">
          <cell r="G403" t="str">
            <v>GMBAM1-M-L21-B2</v>
          </cell>
        </row>
        <row r="403">
          <cell r="I403">
            <v>79.881388</v>
          </cell>
          <cell r="J403">
            <v>7.265</v>
          </cell>
        </row>
        <row r="403">
          <cell r="AA403" t="str">
            <v>2T2R</v>
          </cell>
        </row>
        <row r="404">
          <cell r="E404" t="str">
            <v>GMBAM1</v>
          </cell>
        </row>
        <row r="404">
          <cell r="G404" t="str">
            <v>GMBAM1-M-L21-A2</v>
          </cell>
        </row>
        <row r="404">
          <cell r="I404">
            <v>79.881388</v>
          </cell>
          <cell r="J404">
            <v>7.265</v>
          </cell>
        </row>
        <row r="404">
          <cell r="AA404" t="str">
            <v>2T2R</v>
          </cell>
        </row>
        <row r="405">
          <cell r="E405" t="str">
            <v>GMBAM1</v>
          </cell>
        </row>
        <row r="405">
          <cell r="G405" t="str">
            <v>GMBAM1-M-L85-C1</v>
          </cell>
        </row>
        <row r="405">
          <cell r="I405">
            <v>79.881388</v>
          </cell>
          <cell r="J405">
            <v>7.265</v>
          </cell>
        </row>
        <row r="405">
          <cell r="AA405" t="str">
            <v>2T2R</v>
          </cell>
        </row>
        <row r="406">
          <cell r="E406" t="str">
            <v>GMBAM1</v>
          </cell>
        </row>
        <row r="406">
          <cell r="G406" t="str">
            <v>GMBAM1-M-L85-B1</v>
          </cell>
        </row>
        <row r="406">
          <cell r="I406">
            <v>79.881388</v>
          </cell>
          <cell r="J406">
            <v>7.265</v>
          </cell>
        </row>
        <row r="406">
          <cell r="AA406" t="str">
            <v>2T2R</v>
          </cell>
        </row>
        <row r="407">
          <cell r="E407" t="str">
            <v>GMBAM1</v>
          </cell>
        </row>
        <row r="407">
          <cell r="G407" t="str">
            <v>GMBAM1-M-L85-A1</v>
          </cell>
        </row>
        <row r="407">
          <cell r="I407">
            <v>79.881388</v>
          </cell>
          <cell r="J407">
            <v>7.265</v>
          </cell>
        </row>
        <row r="407">
          <cell r="AA407" t="str">
            <v>2T2R</v>
          </cell>
        </row>
        <row r="408">
          <cell r="E408" t="str">
            <v>GMFTZ2</v>
          </cell>
        </row>
        <row r="408">
          <cell r="G408" t="str">
            <v>GMFTZ2I</v>
          </cell>
        </row>
        <row r="408">
          <cell r="I408">
            <v>79.8822</v>
          </cell>
          <cell r="J408">
            <v>7.15717</v>
          </cell>
        </row>
        <row r="408">
          <cell r="AA408" t="str">
            <v>4T4R</v>
          </cell>
        </row>
        <row r="409">
          <cell r="E409" t="str">
            <v>GMFTZ2</v>
          </cell>
        </row>
        <row r="409">
          <cell r="G409" t="str">
            <v>GMFTZ2H</v>
          </cell>
        </row>
        <row r="409">
          <cell r="I409">
            <v>79.8822</v>
          </cell>
          <cell r="J409">
            <v>7.15717</v>
          </cell>
        </row>
        <row r="409">
          <cell r="AA409" t="str">
            <v>4T4R</v>
          </cell>
        </row>
        <row r="410">
          <cell r="E410" t="str">
            <v>GMFTZ2</v>
          </cell>
        </row>
        <row r="410">
          <cell r="G410" t="str">
            <v>GMFTZ2G</v>
          </cell>
        </row>
        <row r="410">
          <cell r="I410">
            <v>79.8822</v>
          </cell>
          <cell r="J410">
            <v>7.15717</v>
          </cell>
        </row>
        <row r="410">
          <cell r="AA410" t="str">
            <v>2T2R</v>
          </cell>
        </row>
        <row r="411">
          <cell r="E411" t="str">
            <v>GMFTZ2</v>
          </cell>
        </row>
        <row r="411">
          <cell r="G411" t="str">
            <v>GMFTZ2-M-L21-B2</v>
          </cell>
        </row>
        <row r="411">
          <cell r="I411">
            <v>79.8822</v>
          </cell>
          <cell r="J411">
            <v>7.15717</v>
          </cell>
        </row>
        <row r="411">
          <cell r="AA411" t="str">
            <v>4T4R</v>
          </cell>
        </row>
        <row r="412">
          <cell r="E412" t="str">
            <v>ZWAT04</v>
          </cell>
        </row>
        <row r="412">
          <cell r="G412" t="str">
            <v>ZWAT04-M-L21-C2</v>
          </cell>
        </row>
        <row r="412">
          <cell r="I412">
            <v>79.8824</v>
          </cell>
          <cell r="J412">
            <v>7.00339</v>
          </cell>
        </row>
        <row r="412">
          <cell r="AA412" t="str">
            <v>2T2R</v>
          </cell>
        </row>
        <row r="413">
          <cell r="E413" t="str">
            <v>ZWAT04</v>
          </cell>
        </row>
        <row r="413">
          <cell r="G413" t="str">
            <v>ZWAT04-M-L21-B2</v>
          </cell>
        </row>
        <row r="413">
          <cell r="I413">
            <v>79.8824</v>
          </cell>
          <cell r="J413">
            <v>7.00339</v>
          </cell>
        </row>
        <row r="413">
          <cell r="AA413" t="str">
            <v>2T2R</v>
          </cell>
        </row>
        <row r="414">
          <cell r="E414" t="str">
            <v>ZWAT04</v>
          </cell>
        </row>
        <row r="414">
          <cell r="G414" t="str">
            <v>ZWAT04-M-L21-A2</v>
          </cell>
        </row>
        <row r="414">
          <cell r="I414">
            <v>79.8824</v>
          </cell>
          <cell r="J414">
            <v>7.00339</v>
          </cell>
        </row>
        <row r="414">
          <cell r="AA414" t="str">
            <v>2T2R</v>
          </cell>
        </row>
        <row r="415">
          <cell r="E415" t="str">
            <v>ZWAT04</v>
          </cell>
        </row>
        <row r="415">
          <cell r="G415" t="str">
            <v>ZWAT04G</v>
          </cell>
        </row>
        <row r="415">
          <cell r="I415">
            <v>79.8824</v>
          </cell>
          <cell r="J415">
            <v>7.00339</v>
          </cell>
        </row>
        <row r="415">
          <cell r="AA415" t="str">
            <v>4T4R</v>
          </cell>
        </row>
        <row r="416">
          <cell r="E416" t="str">
            <v>ZWAT04</v>
          </cell>
        </row>
        <row r="416">
          <cell r="G416" t="str">
            <v>ZWAT04H</v>
          </cell>
        </row>
        <row r="416">
          <cell r="I416">
            <v>79.8824</v>
          </cell>
          <cell r="J416">
            <v>7.00339</v>
          </cell>
        </row>
        <row r="416">
          <cell r="AA416" t="str">
            <v>4T4R</v>
          </cell>
        </row>
        <row r="417">
          <cell r="E417" t="str">
            <v>ZWAT04</v>
          </cell>
        </row>
        <row r="417">
          <cell r="G417" t="str">
            <v>ZWAT04I</v>
          </cell>
        </row>
        <row r="417">
          <cell r="I417">
            <v>79.8824</v>
          </cell>
          <cell r="J417">
            <v>7.00339</v>
          </cell>
        </row>
        <row r="417">
          <cell r="AA417" t="str">
            <v>4T4R</v>
          </cell>
        </row>
        <row r="418">
          <cell r="E418" t="str">
            <v>ZWAT04</v>
          </cell>
        </row>
        <row r="418">
          <cell r="G418" t="str">
            <v>ZWAT04-M-L85-C1</v>
          </cell>
        </row>
        <row r="418">
          <cell r="I418">
            <v>79.8824</v>
          </cell>
          <cell r="J418">
            <v>7.00339</v>
          </cell>
        </row>
        <row r="418">
          <cell r="AA418" t="str">
            <v>2T2R</v>
          </cell>
        </row>
        <row r="419">
          <cell r="E419" t="str">
            <v>ZWAT04</v>
          </cell>
        </row>
        <row r="419">
          <cell r="G419" t="str">
            <v>ZWAT04-M-L85-B1</v>
          </cell>
        </row>
        <row r="419">
          <cell r="I419">
            <v>79.8824</v>
          </cell>
          <cell r="J419">
            <v>7.00339</v>
          </cell>
        </row>
        <row r="419">
          <cell r="AA419" t="str">
            <v>2T2R</v>
          </cell>
        </row>
        <row r="420">
          <cell r="E420" t="str">
            <v>ZWAT04</v>
          </cell>
        </row>
        <row r="420">
          <cell r="G420" t="str">
            <v>ZWAT04-M-L85-A1</v>
          </cell>
        </row>
        <row r="420">
          <cell r="I420">
            <v>79.8824</v>
          </cell>
          <cell r="J420">
            <v>7.00339</v>
          </cell>
        </row>
        <row r="420">
          <cell r="AA420" t="str">
            <v>2T2R</v>
          </cell>
        </row>
        <row r="421">
          <cell r="E421" t="str">
            <v>ZWAT04</v>
          </cell>
        </row>
        <row r="421">
          <cell r="G421" t="str">
            <v>ZWAT04-M-L18-C1</v>
          </cell>
        </row>
        <row r="421">
          <cell r="I421">
            <v>79.8824</v>
          </cell>
          <cell r="J421">
            <v>7.00339</v>
          </cell>
        </row>
        <row r="421">
          <cell r="AA421" t="str">
            <v>2T2R</v>
          </cell>
        </row>
        <row r="422">
          <cell r="E422" t="str">
            <v>GMNEG2</v>
          </cell>
        </row>
        <row r="422">
          <cell r="G422" t="str">
            <v>GMNEG2I</v>
          </cell>
        </row>
        <row r="422">
          <cell r="I422">
            <v>79.8824</v>
          </cell>
          <cell r="J422">
            <v>7.21841</v>
          </cell>
        </row>
        <row r="422">
          <cell r="AA422" t="str">
            <v>4T4R</v>
          </cell>
        </row>
        <row r="423">
          <cell r="E423" t="str">
            <v>GMNEG2</v>
          </cell>
        </row>
        <row r="423">
          <cell r="G423" t="str">
            <v>GMNEG2H</v>
          </cell>
        </row>
        <row r="423">
          <cell r="I423">
            <v>79.8824</v>
          </cell>
          <cell r="J423">
            <v>7.21841</v>
          </cell>
        </row>
        <row r="423">
          <cell r="AA423" t="str">
            <v>2T2R</v>
          </cell>
        </row>
        <row r="424">
          <cell r="E424" t="str">
            <v>GMNEG2</v>
          </cell>
        </row>
        <row r="424">
          <cell r="G424" t="str">
            <v>GMNEG2G</v>
          </cell>
        </row>
        <row r="424">
          <cell r="I424">
            <v>79.8824</v>
          </cell>
          <cell r="J424">
            <v>7.21841</v>
          </cell>
        </row>
        <row r="424">
          <cell r="AA424" t="str">
            <v>2T2R</v>
          </cell>
        </row>
        <row r="425">
          <cell r="E425" t="str">
            <v>GMNEG2</v>
          </cell>
        </row>
        <row r="425">
          <cell r="G425" t="str">
            <v>GMNEG2-M-L85-C1</v>
          </cell>
        </row>
        <row r="425">
          <cell r="I425">
            <v>79.8824</v>
          </cell>
          <cell r="J425">
            <v>7.21841</v>
          </cell>
        </row>
        <row r="425">
          <cell r="AA425" t="str">
            <v>2T2R</v>
          </cell>
        </row>
        <row r="426">
          <cell r="E426" t="str">
            <v>GMNEG2</v>
          </cell>
        </row>
        <row r="426">
          <cell r="G426" t="str">
            <v>GMNEG2-M-L85-B1</v>
          </cell>
        </row>
        <row r="426">
          <cell r="I426">
            <v>79.8824</v>
          </cell>
          <cell r="J426">
            <v>7.21841</v>
          </cell>
        </row>
        <row r="426">
          <cell r="AA426" t="str">
            <v>2T2R</v>
          </cell>
        </row>
        <row r="427">
          <cell r="E427" t="str">
            <v>GMNEG2</v>
          </cell>
        </row>
        <row r="427">
          <cell r="G427" t="str">
            <v>GMNEG2-M-L85-A1</v>
          </cell>
        </row>
        <row r="427">
          <cell r="I427">
            <v>79.8824</v>
          </cell>
          <cell r="J427">
            <v>7.21841</v>
          </cell>
        </row>
        <row r="427">
          <cell r="AA427" t="str">
            <v>2T2R</v>
          </cell>
        </row>
        <row r="428">
          <cell r="E428" t="str">
            <v>ZKEL29</v>
          </cell>
        </row>
        <row r="428">
          <cell r="G428" t="str">
            <v>ZKEL29G</v>
          </cell>
        </row>
        <row r="428">
          <cell r="I428">
            <v>79.8829</v>
          </cell>
          <cell r="J428">
            <v>6.96328</v>
          </cell>
        </row>
        <row r="428">
          <cell r="AA428" t="str">
            <v>4T4R</v>
          </cell>
        </row>
        <row r="429">
          <cell r="E429" t="str">
            <v>ZKEL29</v>
          </cell>
        </row>
        <row r="429">
          <cell r="G429" t="str">
            <v>ZKEL29H</v>
          </cell>
        </row>
        <row r="429">
          <cell r="I429">
            <v>79.8829</v>
          </cell>
          <cell r="J429">
            <v>6.96328</v>
          </cell>
        </row>
        <row r="429">
          <cell r="AA429" t="str">
            <v>4T4R</v>
          </cell>
        </row>
        <row r="430">
          <cell r="E430" t="str">
            <v>ZKEL29</v>
          </cell>
        </row>
        <row r="430">
          <cell r="G430" t="str">
            <v>ZKEL29I</v>
          </cell>
        </row>
        <row r="430">
          <cell r="I430">
            <v>79.8829</v>
          </cell>
          <cell r="J430">
            <v>6.96328</v>
          </cell>
        </row>
        <row r="430">
          <cell r="AA430" t="str">
            <v>4T4R</v>
          </cell>
        </row>
        <row r="431">
          <cell r="E431" t="str">
            <v>ZKEL29</v>
          </cell>
        </row>
        <row r="431">
          <cell r="G431" t="str">
            <v>ZKEL29-M-L21-C2</v>
          </cell>
        </row>
        <row r="431">
          <cell r="I431">
            <v>79.8829</v>
          </cell>
          <cell r="J431">
            <v>6.96328</v>
          </cell>
        </row>
        <row r="431">
          <cell r="AA431" t="str">
            <v>2T2R</v>
          </cell>
        </row>
        <row r="432">
          <cell r="E432" t="str">
            <v>ZKEL29</v>
          </cell>
        </row>
        <row r="432">
          <cell r="G432" t="str">
            <v>ZKEL29-M-L21-B2</v>
          </cell>
        </row>
        <row r="432">
          <cell r="I432">
            <v>79.8829</v>
          </cell>
          <cell r="J432">
            <v>6.96328</v>
          </cell>
        </row>
        <row r="432">
          <cell r="AA432" t="str">
            <v>2T2R</v>
          </cell>
        </row>
        <row r="433">
          <cell r="E433" t="str">
            <v>ZKEL29</v>
          </cell>
        </row>
        <row r="433">
          <cell r="G433" t="str">
            <v>ZKEL29-M-L21-A2</v>
          </cell>
        </row>
        <row r="433">
          <cell r="I433">
            <v>79.8829</v>
          </cell>
          <cell r="J433">
            <v>6.96328</v>
          </cell>
        </row>
        <row r="433">
          <cell r="AA433" t="str">
            <v>2T2R</v>
          </cell>
        </row>
        <row r="434">
          <cell r="E434" t="str">
            <v>GMAVA1</v>
          </cell>
        </row>
        <row r="434">
          <cell r="G434" t="str">
            <v>GMAVA1I</v>
          </cell>
        </row>
        <row r="434">
          <cell r="I434">
            <v>79.8831</v>
          </cell>
          <cell r="J434">
            <v>7.165</v>
          </cell>
        </row>
        <row r="434">
          <cell r="AA434" t="str">
            <v>4T4R</v>
          </cell>
        </row>
        <row r="435">
          <cell r="E435" t="str">
            <v>GMAVA1</v>
          </cell>
        </row>
        <row r="435">
          <cell r="G435" t="str">
            <v>GMAVA1H</v>
          </cell>
        </row>
        <row r="435">
          <cell r="I435">
            <v>79.8831</v>
          </cell>
          <cell r="J435">
            <v>7.165</v>
          </cell>
        </row>
        <row r="435">
          <cell r="AA435" t="str">
            <v>4T4R</v>
          </cell>
        </row>
        <row r="436">
          <cell r="E436" t="str">
            <v>GMAVA1</v>
          </cell>
        </row>
        <row r="436">
          <cell r="G436" t="str">
            <v>GMAVA1G</v>
          </cell>
        </row>
        <row r="436">
          <cell r="I436">
            <v>79.8831</v>
          </cell>
          <cell r="J436">
            <v>7.165</v>
          </cell>
        </row>
        <row r="436">
          <cell r="AA436" t="str">
            <v>4T4R</v>
          </cell>
        </row>
        <row r="437">
          <cell r="E437" t="str">
            <v>ZKEL17</v>
          </cell>
        </row>
        <row r="437">
          <cell r="G437" t="str">
            <v>ZKEL17I</v>
          </cell>
        </row>
        <row r="437">
          <cell r="I437">
            <v>79.8835</v>
          </cell>
          <cell r="J437">
            <v>6.96789</v>
          </cell>
        </row>
        <row r="437">
          <cell r="AA437" t="str">
            <v>2T2R</v>
          </cell>
        </row>
        <row r="438">
          <cell r="E438" t="str">
            <v>ZKEL17</v>
          </cell>
        </row>
        <row r="438">
          <cell r="G438" t="str">
            <v>ZKEL17H</v>
          </cell>
        </row>
        <row r="438">
          <cell r="I438">
            <v>79.8835</v>
          </cell>
          <cell r="J438">
            <v>6.96789</v>
          </cell>
        </row>
        <row r="438">
          <cell r="AA438" t="str">
            <v>2T2R</v>
          </cell>
        </row>
        <row r="439">
          <cell r="E439" t="str">
            <v>ZKEL17</v>
          </cell>
        </row>
        <row r="439">
          <cell r="G439" t="str">
            <v>ZKEL17G</v>
          </cell>
        </row>
        <row r="439">
          <cell r="I439">
            <v>79.8835</v>
          </cell>
          <cell r="J439">
            <v>6.96789</v>
          </cell>
        </row>
        <row r="439">
          <cell r="AA439" t="str">
            <v>2T2R</v>
          </cell>
        </row>
        <row r="440">
          <cell r="E440" t="str">
            <v>ZKEL17</v>
          </cell>
        </row>
        <row r="440">
          <cell r="G440" t="str">
            <v>ZKEL17-M-L21-C2</v>
          </cell>
        </row>
        <row r="440">
          <cell r="I440">
            <v>79.8835</v>
          </cell>
          <cell r="J440">
            <v>6.96789</v>
          </cell>
        </row>
        <row r="440">
          <cell r="AA440" t="str">
            <v>2T2R</v>
          </cell>
        </row>
        <row r="441">
          <cell r="E441" t="str">
            <v>ZKEL17</v>
          </cell>
        </row>
        <row r="441">
          <cell r="G441" t="str">
            <v>ZKEL17-M-L21-B2</v>
          </cell>
        </row>
        <row r="441">
          <cell r="I441">
            <v>79.8835</v>
          </cell>
          <cell r="J441">
            <v>6.96789</v>
          </cell>
        </row>
        <row r="441">
          <cell r="AA441" t="str">
            <v>2T2R</v>
          </cell>
        </row>
        <row r="442">
          <cell r="E442" t="str">
            <v>ZKEL17</v>
          </cell>
        </row>
        <row r="442">
          <cell r="G442" t="str">
            <v>ZKEL17-M-L21-A2</v>
          </cell>
        </row>
        <row r="442">
          <cell r="I442">
            <v>79.8835</v>
          </cell>
          <cell r="J442">
            <v>6.96789</v>
          </cell>
        </row>
        <row r="442">
          <cell r="AA442" t="str">
            <v>2T2R</v>
          </cell>
        </row>
        <row r="443">
          <cell r="E443" t="str">
            <v>IBCAR1</v>
          </cell>
        </row>
        <row r="443">
          <cell r="G443" t="str">
            <v>IBCAR1H</v>
          </cell>
        </row>
        <row r="443">
          <cell r="I443">
            <v>79.8839</v>
          </cell>
          <cell r="J443">
            <v>7.17106</v>
          </cell>
        </row>
        <row r="443">
          <cell r="AA443" t="str">
            <v>1T1R</v>
          </cell>
        </row>
        <row r="444">
          <cell r="E444" t="str">
            <v>IBCAR1</v>
          </cell>
        </row>
        <row r="444">
          <cell r="G444" t="str">
            <v>IBCAR1G</v>
          </cell>
        </row>
        <row r="444">
          <cell r="I444">
            <v>79.8839</v>
          </cell>
          <cell r="J444">
            <v>7.17106</v>
          </cell>
        </row>
        <row r="444">
          <cell r="AA444" t="str">
            <v>1T1R</v>
          </cell>
        </row>
        <row r="445">
          <cell r="E445" t="str">
            <v>ZJAL15</v>
          </cell>
        </row>
        <row r="445">
          <cell r="G445" t="str">
            <v>ZJAL15I</v>
          </cell>
        </row>
        <row r="445">
          <cell r="I445">
            <v>79.884444</v>
          </cell>
          <cell r="J445">
            <v>7.101111</v>
          </cell>
        </row>
        <row r="445">
          <cell r="AA445" t="str">
            <v>4T4R</v>
          </cell>
        </row>
        <row r="446">
          <cell r="E446" t="str">
            <v>ZJAL15</v>
          </cell>
        </row>
        <row r="446">
          <cell r="G446" t="str">
            <v>ZJAL15H</v>
          </cell>
        </row>
        <row r="446">
          <cell r="I446">
            <v>79.884444</v>
          </cell>
          <cell r="J446">
            <v>7.101111</v>
          </cell>
        </row>
        <row r="446">
          <cell r="AA446" t="str">
            <v>4T4R</v>
          </cell>
        </row>
        <row r="447">
          <cell r="E447" t="str">
            <v>ZJAL15</v>
          </cell>
        </row>
        <row r="447">
          <cell r="G447" t="str">
            <v>ZJAL15G</v>
          </cell>
        </row>
        <row r="447">
          <cell r="I447">
            <v>79.884444</v>
          </cell>
          <cell r="J447">
            <v>7.101111</v>
          </cell>
        </row>
        <row r="447">
          <cell r="AA447" t="str">
            <v>4T4R</v>
          </cell>
        </row>
        <row r="448">
          <cell r="E448" t="str">
            <v>ZJAL15</v>
          </cell>
        </row>
        <row r="448">
          <cell r="G448" t="str">
            <v>ZJAL15-M-L21-C2</v>
          </cell>
        </row>
        <row r="448">
          <cell r="I448">
            <v>79.884444</v>
          </cell>
          <cell r="J448">
            <v>7.101111</v>
          </cell>
        </row>
        <row r="448">
          <cell r="AA448" t="str">
            <v>4T4R</v>
          </cell>
        </row>
        <row r="449">
          <cell r="E449" t="str">
            <v>ZJAL15</v>
          </cell>
        </row>
        <row r="449">
          <cell r="G449" t="str">
            <v>ZJAL15-M-L21-B2</v>
          </cell>
        </row>
        <row r="449">
          <cell r="I449">
            <v>79.884444</v>
          </cell>
          <cell r="J449">
            <v>7.101111</v>
          </cell>
        </row>
        <row r="449">
          <cell r="AA449" t="str">
            <v>4T4R</v>
          </cell>
        </row>
        <row r="450">
          <cell r="E450" t="str">
            <v>ZJAL15</v>
          </cell>
        </row>
        <row r="450">
          <cell r="G450" t="str">
            <v>ZJAL15-M-L21-A2</v>
          </cell>
        </row>
        <row r="450">
          <cell r="I450">
            <v>79.884444</v>
          </cell>
          <cell r="J450">
            <v>7.101111</v>
          </cell>
        </row>
        <row r="450">
          <cell r="AA450" t="str">
            <v>4T4R</v>
          </cell>
        </row>
        <row r="451">
          <cell r="E451" t="str">
            <v>IBAIR1</v>
          </cell>
        </row>
        <row r="451">
          <cell r="G451" t="str">
            <v>IBAIR1F</v>
          </cell>
        </row>
        <row r="451">
          <cell r="I451">
            <v>79.8847</v>
          </cell>
          <cell r="J451">
            <v>7.1754</v>
          </cell>
        </row>
        <row r="451">
          <cell r="AA451" t="str">
            <v>1T1R</v>
          </cell>
        </row>
        <row r="452">
          <cell r="E452" t="str">
            <v>IBAIR1</v>
          </cell>
        </row>
        <row r="452">
          <cell r="G452" t="str">
            <v>IBAIR1I</v>
          </cell>
        </row>
        <row r="452">
          <cell r="I452">
            <v>79.8847</v>
          </cell>
          <cell r="J452">
            <v>7.1754</v>
          </cell>
        </row>
        <row r="452">
          <cell r="AA452" t="str">
            <v>1T1R</v>
          </cell>
        </row>
        <row r="453">
          <cell r="E453" t="str">
            <v>IBAIR1</v>
          </cell>
        </row>
        <row r="453">
          <cell r="G453" t="str">
            <v>IBAIR1G</v>
          </cell>
        </row>
        <row r="453">
          <cell r="I453">
            <v>79.8847</v>
          </cell>
          <cell r="J453">
            <v>7.1754</v>
          </cell>
        </row>
        <row r="453">
          <cell r="AA453" t="str">
            <v>1T1R</v>
          </cell>
        </row>
        <row r="454">
          <cell r="E454" t="str">
            <v>IBAIR1</v>
          </cell>
        </row>
        <row r="454">
          <cell r="G454" t="str">
            <v>IBAIR1H</v>
          </cell>
        </row>
        <row r="454">
          <cell r="I454">
            <v>79.8847</v>
          </cell>
          <cell r="J454">
            <v>7.1754</v>
          </cell>
        </row>
        <row r="454">
          <cell r="AA454" t="str">
            <v>1T1R</v>
          </cell>
        </row>
        <row r="455">
          <cell r="E455" t="str">
            <v>IBAIR1</v>
          </cell>
        </row>
        <row r="455">
          <cell r="G455" t="str">
            <v>IBAIR1-I-L18-D1</v>
          </cell>
        </row>
        <row r="455">
          <cell r="I455">
            <v>79.8847</v>
          </cell>
          <cell r="J455">
            <v>7.1754</v>
          </cell>
        </row>
        <row r="455">
          <cell r="AA455" t="str">
            <v>1T1R</v>
          </cell>
        </row>
        <row r="456">
          <cell r="E456" t="str">
            <v>IBAIR1</v>
          </cell>
        </row>
        <row r="456">
          <cell r="G456" t="str">
            <v>IBAIR1-I-L18-C1</v>
          </cell>
        </row>
        <row r="456">
          <cell r="I456">
            <v>79.8847</v>
          </cell>
          <cell r="J456">
            <v>7.1754</v>
          </cell>
        </row>
        <row r="456">
          <cell r="AA456" t="str">
            <v>1T1R</v>
          </cell>
        </row>
        <row r="457">
          <cell r="E457" t="str">
            <v>IBAIR1</v>
          </cell>
        </row>
        <row r="457">
          <cell r="G457" t="str">
            <v>IBAIR1-I-L18-B1</v>
          </cell>
        </row>
        <row r="457">
          <cell r="I457">
            <v>79.8847</v>
          </cell>
          <cell r="J457">
            <v>7.1754</v>
          </cell>
        </row>
        <row r="457">
          <cell r="AA457" t="str">
            <v>1T1R</v>
          </cell>
        </row>
        <row r="458">
          <cell r="E458" t="str">
            <v>IBAIR1</v>
          </cell>
        </row>
        <row r="458">
          <cell r="G458" t="str">
            <v>IBAIR1-I-L18-A1</v>
          </cell>
        </row>
        <row r="458">
          <cell r="I458">
            <v>79.8847</v>
          </cell>
          <cell r="J458">
            <v>7.1754</v>
          </cell>
        </row>
        <row r="458">
          <cell r="AA458" t="str">
            <v>1T1R</v>
          </cell>
        </row>
        <row r="459">
          <cell r="E459" t="str">
            <v>IBAIR1</v>
          </cell>
        </row>
        <row r="459">
          <cell r="G459" t="str">
            <v>IBAIR1-M-L21-D2</v>
          </cell>
        </row>
        <row r="459">
          <cell r="I459">
            <v>79.8847</v>
          </cell>
          <cell r="J459">
            <v>7.1754</v>
          </cell>
        </row>
        <row r="459">
          <cell r="AA459" t="str">
            <v>1T1R</v>
          </cell>
        </row>
        <row r="460">
          <cell r="E460" t="str">
            <v>IBAIR1</v>
          </cell>
        </row>
        <row r="460">
          <cell r="G460" t="str">
            <v>IBAIR1-M-L21-C2</v>
          </cell>
        </row>
        <row r="460">
          <cell r="I460">
            <v>79.8847</v>
          </cell>
          <cell r="J460">
            <v>7.1754</v>
          </cell>
        </row>
        <row r="460">
          <cell r="AA460" t="str">
            <v>1T1R</v>
          </cell>
        </row>
        <row r="461">
          <cell r="E461" t="str">
            <v>IBAIR1</v>
          </cell>
        </row>
        <row r="461">
          <cell r="G461" t="str">
            <v>IBAIR1-M-L21-B2</v>
          </cell>
        </row>
        <row r="461">
          <cell r="I461">
            <v>79.8847</v>
          </cell>
          <cell r="J461">
            <v>7.1754</v>
          </cell>
        </row>
        <row r="461">
          <cell r="AA461" t="str">
            <v>1T1R</v>
          </cell>
        </row>
        <row r="462">
          <cell r="E462" t="str">
            <v>IBAIR1</v>
          </cell>
        </row>
        <row r="462">
          <cell r="G462" t="str">
            <v>IBAIR1-M-L21-A2</v>
          </cell>
        </row>
        <row r="462">
          <cell r="I462">
            <v>79.8847</v>
          </cell>
          <cell r="J462">
            <v>7.1754</v>
          </cell>
        </row>
        <row r="462">
          <cell r="AA462" t="str">
            <v>1T1R</v>
          </cell>
        </row>
        <row r="463">
          <cell r="E463" t="str">
            <v>IBAIR1</v>
          </cell>
        </row>
        <row r="463">
          <cell r="G463" t="str">
            <v>IBAIR1-M-L21-D1</v>
          </cell>
        </row>
        <row r="463">
          <cell r="I463">
            <v>79.8847</v>
          </cell>
          <cell r="J463">
            <v>7.1754</v>
          </cell>
        </row>
        <row r="463">
          <cell r="AA463" t="str">
            <v>1T1R</v>
          </cell>
        </row>
        <row r="464">
          <cell r="E464" t="str">
            <v>IBAIR1</v>
          </cell>
        </row>
        <row r="464">
          <cell r="G464" t="str">
            <v>IBAIR1-M-L21-C1</v>
          </cell>
        </row>
        <row r="464">
          <cell r="I464">
            <v>79.8847</v>
          </cell>
          <cell r="J464">
            <v>7.1754</v>
          </cell>
        </row>
        <row r="464">
          <cell r="AA464" t="str">
            <v>1T1R</v>
          </cell>
        </row>
        <row r="465">
          <cell r="E465" t="str">
            <v>IBAIR1</v>
          </cell>
        </row>
        <row r="465">
          <cell r="G465" t="str">
            <v>IBAIR1-M-L21-B1</v>
          </cell>
        </row>
        <row r="465">
          <cell r="I465">
            <v>79.8847</v>
          </cell>
          <cell r="J465">
            <v>7.1754</v>
          </cell>
        </row>
        <row r="465">
          <cell r="AA465" t="str">
            <v>1T1R</v>
          </cell>
        </row>
        <row r="466">
          <cell r="E466" t="str">
            <v>IBAIR1</v>
          </cell>
        </row>
        <row r="466">
          <cell r="G466" t="str">
            <v>IBAIR1-M-L21-A1</v>
          </cell>
        </row>
        <row r="466">
          <cell r="I466">
            <v>79.8847</v>
          </cell>
          <cell r="J466">
            <v>7.1754</v>
          </cell>
        </row>
        <row r="466">
          <cell r="AA466" t="str">
            <v>1T1R</v>
          </cell>
        </row>
        <row r="467">
          <cell r="E467" t="str">
            <v>ZKEL30</v>
          </cell>
        </row>
        <row r="467">
          <cell r="G467" t="str">
            <v>ZKEL30G</v>
          </cell>
        </row>
        <row r="467">
          <cell r="I467">
            <v>79.8848</v>
          </cell>
          <cell r="J467">
            <v>6.95578</v>
          </cell>
        </row>
        <row r="467">
          <cell r="AA467" t="str">
            <v>4T4R</v>
          </cell>
        </row>
        <row r="468">
          <cell r="E468" t="str">
            <v>ZKEL30</v>
          </cell>
        </row>
        <row r="468">
          <cell r="G468" t="str">
            <v>ZKEL30H</v>
          </cell>
        </row>
        <row r="468">
          <cell r="I468">
            <v>79.8848</v>
          </cell>
          <cell r="J468">
            <v>6.95578</v>
          </cell>
        </row>
        <row r="468">
          <cell r="AA468" t="str">
            <v>4T4R</v>
          </cell>
        </row>
        <row r="469">
          <cell r="E469" t="str">
            <v>ZKEL30</v>
          </cell>
        </row>
        <row r="469">
          <cell r="G469" t="str">
            <v>ZKEL30I</v>
          </cell>
        </row>
        <row r="469">
          <cell r="I469">
            <v>79.8848</v>
          </cell>
          <cell r="J469">
            <v>6.95578</v>
          </cell>
        </row>
        <row r="469">
          <cell r="AA469" t="str">
            <v>2T2R</v>
          </cell>
        </row>
        <row r="470">
          <cell r="E470" t="str">
            <v>ZKEL30</v>
          </cell>
        </row>
        <row r="470">
          <cell r="G470" t="str">
            <v>ZKEL30-M-L21-C2</v>
          </cell>
        </row>
        <row r="470">
          <cell r="I470">
            <v>79.8848</v>
          </cell>
          <cell r="J470">
            <v>6.95578</v>
          </cell>
        </row>
        <row r="470">
          <cell r="AA470" t="str">
            <v>2T2R</v>
          </cell>
        </row>
        <row r="471">
          <cell r="E471" t="str">
            <v>GMSEE3</v>
          </cell>
        </row>
        <row r="471">
          <cell r="G471" t="str">
            <v>GMSEE3G</v>
          </cell>
        </row>
        <row r="471">
          <cell r="I471">
            <v>79.885</v>
          </cell>
          <cell r="J471">
            <v>7.153</v>
          </cell>
        </row>
        <row r="471">
          <cell r="AA471" t="str">
            <v>4T4R</v>
          </cell>
        </row>
        <row r="472">
          <cell r="E472" t="str">
            <v>GMSEE3</v>
          </cell>
        </row>
        <row r="472">
          <cell r="G472" t="str">
            <v>GMSEE3H</v>
          </cell>
        </row>
        <row r="472">
          <cell r="I472">
            <v>79.885</v>
          </cell>
          <cell r="J472">
            <v>7.153</v>
          </cell>
        </row>
        <row r="472">
          <cell r="AA472" t="str">
            <v>4T4R</v>
          </cell>
        </row>
        <row r="473">
          <cell r="E473" t="str">
            <v>GMSEE3</v>
          </cell>
        </row>
        <row r="473">
          <cell r="G473" t="str">
            <v>GMSEE3I</v>
          </cell>
        </row>
        <row r="473">
          <cell r="I473">
            <v>79.885</v>
          </cell>
          <cell r="J473">
            <v>7.153</v>
          </cell>
        </row>
        <row r="473">
          <cell r="AA473" t="str">
            <v>2T2R</v>
          </cell>
        </row>
        <row r="474">
          <cell r="E474" t="str">
            <v>GMSEE3</v>
          </cell>
        </row>
        <row r="474">
          <cell r="G474" t="str">
            <v>GMSEE3-M-L85-C1</v>
          </cell>
        </row>
        <row r="474">
          <cell r="I474">
            <v>79.885</v>
          </cell>
          <cell r="J474">
            <v>7.153</v>
          </cell>
        </row>
        <row r="474">
          <cell r="AA474" t="str">
            <v>2T2R</v>
          </cell>
        </row>
        <row r="475">
          <cell r="E475" t="str">
            <v>GMSEE3</v>
          </cell>
        </row>
        <row r="475">
          <cell r="G475" t="str">
            <v>GMSEE3-M-L85-B1</v>
          </cell>
        </row>
        <row r="475">
          <cell r="I475">
            <v>79.885</v>
          </cell>
          <cell r="J475">
            <v>7.153</v>
          </cell>
        </row>
        <row r="475">
          <cell r="AA475" t="str">
            <v>2T2R</v>
          </cell>
        </row>
        <row r="476">
          <cell r="E476" t="str">
            <v>GMSEE3</v>
          </cell>
        </row>
        <row r="476">
          <cell r="G476" t="str">
            <v>GMSEE3-M-L85-A1</v>
          </cell>
        </row>
        <row r="476">
          <cell r="I476">
            <v>79.885</v>
          </cell>
          <cell r="J476">
            <v>7.153</v>
          </cell>
        </row>
        <row r="476">
          <cell r="AA476" t="str">
            <v>2T2R</v>
          </cell>
        </row>
        <row r="477">
          <cell r="E477" t="str">
            <v>GMSEE3</v>
          </cell>
        </row>
        <row r="477">
          <cell r="G477" t="str">
            <v>GMSEE3-M-L18-C1</v>
          </cell>
        </row>
        <row r="477">
          <cell r="I477">
            <v>79.885</v>
          </cell>
          <cell r="J477">
            <v>7.153</v>
          </cell>
        </row>
        <row r="477">
          <cell r="AA477" t="str">
            <v>2T2R</v>
          </cell>
        </row>
        <row r="478">
          <cell r="E478" t="str">
            <v>GMSEE3</v>
          </cell>
        </row>
        <row r="478">
          <cell r="G478" t="str">
            <v>GMSEE3-M-L21-C2</v>
          </cell>
        </row>
        <row r="478">
          <cell r="I478">
            <v>79.885</v>
          </cell>
          <cell r="J478">
            <v>7.153</v>
          </cell>
        </row>
        <row r="478">
          <cell r="AA478" t="str">
            <v>4T4R</v>
          </cell>
        </row>
        <row r="479">
          <cell r="E479" t="str">
            <v>GMSEE3</v>
          </cell>
        </row>
        <row r="479">
          <cell r="G479" t="str">
            <v>GMSEE3-M-L21-B2</v>
          </cell>
        </row>
        <row r="479">
          <cell r="I479">
            <v>79.885</v>
          </cell>
          <cell r="J479">
            <v>7.153</v>
          </cell>
        </row>
        <row r="479">
          <cell r="AA479" t="str">
            <v>2T2R</v>
          </cell>
        </row>
        <row r="480">
          <cell r="E480" t="str">
            <v>GMSEE3</v>
          </cell>
        </row>
        <row r="480">
          <cell r="G480" t="str">
            <v>GMSEE3-M-L21-A2</v>
          </cell>
        </row>
        <row r="480">
          <cell r="I480">
            <v>79.885</v>
          </cell>
          <cell r="J480">
            <v>7.153</v>
          </cell>
        </row>
        <row r="480">
          <cell r="AA480" t="str">
            <v>2T2R</v>
          </cell>
        </row>
        <row r="481">
          <cell r="E481" t="str">
            <v>GMSEE2</v>
          </cell>
        </row>
        <row r="481">
          <cell r="G481" t="str">
            <v>GMSEE2-M-L21-C2</v>
          </cell>
        </row>
        <row r="481">
          <cell r="I481">
            <v>79.8856</v>
          </cell>
          <cell r="J481">
            <v>7.13265</v>
          </cell>
        </row>
        <row r="481">
          <cell r="AA481" t="str">
            <v>4T4R</v>
          </cell>
        </row>
        <row r="482">
          <cell r="E482" t="str">
            <v>GMSEE2</v>
          </cell>
        </row>
        <row r="482">
          <cell r="G482" t="str">
            <v>GMSEE2-M-L21-B2</v>
          </cell>
        </row>
        <row r="482">
          <cell r="I482">
            <v>79.8856</v>
          </cell>
          <cell r="J482">
            <v>7.13265</v>
          </cell>
        </row>
        <row r="482">
          <cell r="AA482" t="str">
            <v>4T4R</v>
          </cell>
        </row>
        <row r="483">
          <cell r="E483" t="str">
            <v>GMSEE2</v>
          </cell>
        </row>
        <row r="483">
          <cell r="G483" t="str">
            <v>GMSEE2-M-L21-A2</v>
          </cell>
        </row>
        <row r="483">
          <cell r="I483">
            <v>79.8856</v>
          </cell>
          <cell r="J483">
            <v>7.13265</v>
          </cell>
        </row>
        <row r="483">
          <cell r="AA483" t="str">
            <v>8T8R</v>
          </cell>
        </row>
        <row r="484">
          <cell r="E484" t="str">
            <v>GMSEE2</v>
          </cell>
        </row>
        <row r="484">
          <cell r="G484" t="str">
            <v>GMSEE2I</v>
          </cell>
        </row>
        <row r="484">
          <cell r="I484">
            <v>79.8856</v>
          </cell>
          <cell r="J484">
            <v>7.13265</v>
          </cell>
        </row>
        <row r="484">
          <cell r="AA484" t="str">
            <v>4T4R</v>
          </cell>
        </row>
        <row r="485">
          <cell r="E485" t="str">
            <v>GMSEE2</v>
          </cell>
        </row>
        <row r="485">
          <cell r="G485" t="str">
            <v>GMSEE2H</v>
          </cell>
        </row>
        <row r="485">
          <cell r="I485">
            <v>79.8856</v>
          </cell>
          <cell r="J485">
            <v>7.13265</v>
          </cell>
        </row>
        <row r="485">
          <cell r="AA485" t="str">
            <v>4T4R</v>
          </cell>
        </row>
        <row r="486">
          <cell r="E486" t="str">
            <v>GMSEE2</v>
          </cell>
        </row>
        <row r="486">
          <cell r="G486" t="str">
            <v>GMSEE2G</v>
          </cell>
        </row>
        <row r="486">
          <cell r="I486">
            <v>79.8856</v>
          </cell>
          <cell r="J486">
            <v>7.13265</v>
          </cell>
        </row>
        <row r="486">
          <cell r="AA486" t="str">
            <v>8T8R</v>
          </cell>
        </row>
        <row r="487">
          <cell r="E487" t="str">
            <v>GMSEE2</v>
          </cell>
        </row>
        <row r="487">
          <cell r="G487" t="str">
            <v>GMSEE2-M-L85-C1</v>
          </cell>
        </row>
        <row r="487">
          <cell r="I487">
            <v>79.8856</v>
          </cell>
          <cell r="J487">
            <v>7.13265</v>
          </cell>
        </row>
        <row r="487">
          <cell r="AA487" t="str">
            <v>2T2R</v>
          </cell>
        </row>
        <row r="488">
          <cell r="E488" t="str">
            <v>GMSEE2</v>
          </cell>
        </row>
        <row r="488">
          <cell r="G488" t="str">
            <v>GMSEE2-M-L85-B1</v>
          </cell>
        </row>
        <row r="488">
          <cell r="I488">
            <v>79.8856</v>
          </cell>
          <cell r="J488">
            <v>7.13265</v>
          </cell>
        </row>
        <row r="488">
          <cell r="AA488" t="str">
            <v>2T2R</v>
          </cell>
        </row>
        <row r="489">
          <cell r="E489" t="str">
            <v>GMSEE2</v>
          </cell>
        </row>
        <row r="489">
          <cell r="G489" t="str">
            <v>GMSEE2-M-L85-A1</v>
          </cell>
        </row>
        <row r="489">
          <cell r="I489">
            <v>79.8856</v>
          </cell>
          <cell r="J489">
            <v>7.13265</v>
          </cell>
        </row>
        <row r="489">
          <cell r="AA489" t="str">
            <v>2T2R</v>
          </cell>
        </row>
        <row r="490">
          <cell r="E490" t="str">
            <v>ZWAT23</v>
          </cell>
        </row>
        <row r="490">
          <cell r="G490" t="str">
            <v>ZWAT23I</v>
          </cell>
        </row>
        <row r="490">
          <cell r="I490">
            <v>79.8868</v>
          </cell>
          <cell r="J490">
            <v>7.01011</v>
          </cell>
        </row>
        <row r="490">
          <cell r="AA490" t="str">
            <v>2T2R</v>
          </cell>
        </row>
        <row r="491">
          <cell r="E491" t="str">
            <v>ZWAT23</v>
          </cell>
        </row>
        <row r="491">
          <cell r="G491" t="str">
            <v>ZWAT23H</v>
          </cell>
        </row>
        <row r="491">
          <cell r="I491">
            <v>79.8868</v>
          </cell>
          <cell r="J491">
            <v>7.01011</v>
          </cell>
        </row>
        <row r="491">
          <cell r="AA491" t="str">
            <v>2T2R</v>
          </cell>
        </row>
        <row r="492">
          <cell r="E492" t="str">
            <v>ZWAT23</v>
          </cell>
        </row>
        <row r="492">
          <cell r="G492" t="str">
            <v>ZWAT23G</v>
          </cell>
        </row>
        <row r="492">
          <cell r="I492">
            <v>79.8868</v>
          </cell>
          <cell r="J492">
            <v>7.01011</v>
          </cell>
        </row>
        <row r="492">
          <cell r="AA492" t="str">
            <v>2T2R</v>
          </cell>
        </row>
        <row r="493">
          <cell r="E493" t="str">
            <v>ZWAT23</v>
          </cell>
        </row>
        <row r="493">
          <cell r="G493" t="str">
            <v>ZWAT23-M-L21-A2</v>
          </cell>
        </row>
        <row r="493">
          <cell r="I493">
            <v>79.8868</v>
          </cell>
          <cell r="J493">
            <v>7.01011</v>
          </cell>
        </row>
        <row r="493">
          <cell r="AA493" t="str">
            <v>2T2R</v>
          </cell>
        </row>
        <row r="494">
          <cell r="E494" t="str">
            <v>ZWAT23</v>
          </cell>
        </row>
        <row r="494">
          <cell r="G494" t="str">
            <v>ZWAT23-M-L21-B2</v>
          </cell>
        </row>
        <row r="494">
          <cell r="I494">
            <v>79.8868</v>
          </cell>
          <cell r="J494">
            <v>7.01011</v>
          </cell>
        </row>
        <row r="494">
          <cell r="AA494" t="str">
            <v>2T2R</v>
          </cell>
        </row>
        <row r="495">
          <cell r="E495" t="str">
            <v>ZWAT19</v>
          </cell>
        </row>
        <row r="495">
          <cell r="G495" t="str">
            <v>ZWAT19G</v>
          </cell>
        </row>
        <row r="495">
          <cell r="I495">
            <v>79.8869</v>
          </cell>
          <cell r="J495">
            <v>6.99767</v>
          </cell>
        </row>
        <row r="495">
          <cell r="AA495" t="str">
            <v>4T4R</v>
          </cell>
        </row>
        <row r="496">
          <cell r="E496" t="str">
            <v>ZWAT19</v>
          </cell>
        </row>
        <row r="496">
          <cell r="G496" t="str">
            <v>ZWAT19H</v>
          </cell>
        </row>
        <row r="496">
          <cell r="I496">
            <v>79.8869</v>
          </cell>
          <cell r="J496">
            <v>6.99767</v>
          </cell>
        </row>
        <row r="496">
          <cell r="AA496" t="str">
            <v>4T4R</v>
          </cell>
        </row>
        <row r="497">
          <cell r="E497" t="str">
            <v>ZWAT19</v>
          </cell>
        </row>
        <row r="497">
          <cell r="G497" t="str">
            <v>ZWAT19I</v>
          </cell>
        </row>
        <row r="497">
          <cell r="I497">
            <v>79.8869</v>
          </cell>
          <cell r="J497">
            <v>6.99767</v>
          </cell>
        </row>
        <row r="497">
          <cell r="AA497" t="str">
            <v>2T2R</v>
          </cell>
        </row>
        <row r="498">
          <cell r="E498" t="str">
            <v>ZWAT19</v>
          </cell>
        </row>
        <row r="498">
          <cell r="G498" t="str">
            <v>ZWAT19-M-L85-C1</v>
          </cell>
        </row>
        <row r="498">
          <cell r="I498">
            <v>79.8869</v>
          </cell>
          <cell r="J498">
            <v>6.99767</v>
          </cell>
        </row>
        <row r="498">
          <cell r="AA498" t="str">
            <v>2T2R</v>
          </cell>
        </row>
        <row r="499">
          <cell r="E499" t="str">
            <v>ZWAT19</v>
          </cell>
        </row>
        <row r="499">
          <cell r="G499" t="str">
            <v>ZWAT19-M-L85-B1</v>
          </cell>
        </row>
        <row r="499">
          <cell r="I499">
            <v>79.8869</v>
          </cell>
          <cell r="J499">
            <v>6.99767</v>
          </cell>
        </row>
        <row r="499">
          <cell r="AA499" t="str">
            <v>2T2R</v>
          </cell>
        </row>
        <row r="500">
          <cell r="E500" t="str">
            <v>ZWAT19</v>
          </cell>
        </row>
        <row r="500">
          <cell r="G500" t="str">
            <v>ZWAT19-M-L85-A1</v>
          </cell>
        </row>
        <row r="500">
          <cell r="I500">
            <v>79.8869</v>
          </cell>
          <cell r="J500">
            <v>6.99767</v>
          </cell>
        </row>
        <row r="500">
          <cell r="AA500" t="str">
            <v>2T2R</v>
          </cell>
        </row>
        <row r="501">
          <cell r="E501" t="str">
            <v>GMALA1</v>
          </cell>
        </row>
        <row r="501">
          <cell r="G501" t="str">
            <v>GMALA1-M-L85-A1</v>
          </cell>
        </row>
        <row r="501">
          <cell r="I501">
            <v>79.8869</v>
          </cell>
          <cell r="J501">
            <v>7.11072</v>
          </cell>
        </row>
        <row r="501">
          <cell r="AA501" t="str">
            <v>2T2R</v>
          </cell>
        </row>
        <row r="502">
          <cell r="E502" t="str">
            <v>GMALA1</v>
          </cell>
        </row>
        <row r="502">
          <cell r="G502" t="str">
            <v>GMALA1-M-L85-B1</v>
          </cell>
        </row>
        <row r="502">
          <cell r="I502">
            <v>79.8869</v>
          </cell>
          <cell r="J502">
            <v>7.11072</v>
          </cell>
        </row>
        <row r="502">
          <cell r="AA502" t="str">
            <v>2T2R</v>
          </cell>
        </row>
        <row r="503">
          <cell r="E503" t="str">
            <v>GMALA1</v>
          </cell>
        </row>
        <row r="503">
          <cell r="G503" t="str">
            <v>GMALA1-M-L85-C1</v>
          </cell>
        </row>
        <row r="503">
          <cell r="I503">
            <v>79.8869</v>
          </cell>
          <cell r="J503">
            <v>7.11072</v>
          </cell>
        </row>
        <row r="503">
          <cell r="AA503" t="str">
            <v>2T2R</v>
          </cell>
        </row>
        <row r="504">
          <cell r="E504" t="str">
            <v>GMALA1</v>
          </cell>
        </row>
        <row r="504">
          <cell r="G504" t="str">
            <v>GMALA1-M-L21-C2</v>
          </cell>
        </row>
        <row r="504">
          <cell r="I504">
            <v>79.8869</v>
          </cell>
          <cell r="J504">
            <v>7.11072</v>
          </cell>
        </row>
        <row r="504">
          <cell r="AA504" t="str">
            <v>2T2R</v>
          </cell>
        </row>
        <row r="505">
          <cell r="E505" t="str">
            <v>GMALA1</v>
          </cell>
        </row>
        <row r="505">
          <cell r="G505" t="str">
            <v>GMALA1-M-L21-B2</v>
          </cell>
        </row>
        <row r="505">
          <cell r="I505">
            <v>79.8869</v>
          </cell>
          <cell r="J505">
            <v>7.11072</v>
          </cell>
        </row>
        <row r="505">
          <cell r="AA505" t="str">
            <v>2T2R</v>
          </cell>
        </row>
        <row r="506">
          <cell r="E506" t="str">
            <v>GMALA1</v>
          </cell>
        </row>
        <row r="506">
          <cell r="G506" t="str">
            <v>GMALA1I</v>
          </cell>
        </row>
        <row r="506">
          <cell r="I506">
            <v>79.8869</v>
          </cell>
          <cell r="J506">
            <v>7.11072</v>
          </cell>
        </row>
        <row r="506">
          <cell r="AA506" t="str">
            <v>4T4R</v>
          </cell>
        </row>
        <row r="507">
          <cell r="E507" t="str">
            <v>GMALA1</v>
          </cell>
        </row>
        <row r="507">
          <cell r="G507" t="str">
            <v>GMALA1H</v>
          </cell>
        </row>
        <row r="507">
          <cell r="I507">
            <v>79.8869</v>
          </cell>
          <cell r="J507">
            <v>7.11072</v>
          </cell>
        </row>
        <row r="507">
          <cell r="AA507" t="str">
            <v>4T4R</v>
          </cell>
        </row>
        <row r="508">
          <cell r="E508" t="str">
            <v>GMALA1</v>
          </cell>
        </row>
        <row r="508">
          <cell r="G508" t="str">
            <v>GMALA1G</v>
          </cell>
        </row>
        <row r="508">
          <cell r="I508">
            <v>79.8869</v>
          </cell>
          <cell r="J508">
            <v>7.11072</v>
          </cell>
        </row>
        <row r="508">
          <cell r="AA508" t="str">
            <v>4T4R</v>
          </cell>
        </row>
        <row r="509">
          <cell r="E509" t="str">
            <v>LGZ003</v>
          </cell>
        </row>
        <row r="509">
          <cell r="G509" t="str">
            <v>LGZ003I</v>
          </cell>
        </row>
        <row r="509">
          <cell r="I509">
            <v>79.88741</v>
          </cell>
          <cell r="J509">
            <v>7.060902</v>
          </cell>
        </row>
        <row r="509">
          <cell r="AA509" t="str">
            <v>2T2R</v>
          </cell>
        </row>
        <row r="510">
          <cell r="E510" t="str">
            <v>LGZ003</v>
          </cell>
        </row>
        <row r="510">
          <cell r="G510" t="str">
            <v>LGZ003H</v>
          </cell>
        </row>
        <row r="510">
          <cell r="I510">
            <v>79.88741</v>
          </cell>
          <cell r="J510">
            <v>7.060902</v>
          </cell>
        </row>
        <row r="510">
          <cell r="AA510" t="str">
            <v>2T2R</v>
          </cell>
        </row>
        <row r="511">
          <cell r="E511" t="str">
            <v>LGZ003</v>
          </cell>
        </row>
        <row r="511">
          <cell r="G511" t="str">
            <v>LGZ003G</v>
          </cell>
        </row>
        <row r="511">
          <cell r="I511">
            <v>79.88741</v>
          </cell>
          <cell r="J511">
            <v>7.060902</v>
          </cell>
        </row>
        <row r="511">
          <cell r="AA511" t="str">
            <v>2T2R</v>
          </cell>
        </row>
        <row r="512">
          <cell r="E512" t="str">
            <v>LGM039</v>
          </cell>
        </row>
        <row r="512">
          <cell r="G512" t="str">
            <v>LGM039H</v>
          </cell>
        </row>
        <row r="512">
          <cell r="I512">
            <v>79.888</v>
          </cell>
          <cell r="J512">
            <v>7.092</v>
          </cell>
        </row>
        <row r="512">
          <cell r="AA512" t="str">
            <v>2T2R</v>
          </cell>
        </row>
        <row r="513">
          <cell r="E513" t="str">
            <v>LGM039</v>
          </cell>
        </row>
        <row r="513">
          <cell r="G513" t="str">
            <v>LGM039G</v>
          </cell>
        </row>
        <row r="513">
          <cell r="I513">
            <v>79.888</v>
          </cell>
          <cell r="J513">
            <v>7.092</v>
          </cell>
        </row>
        <row r="513">
          <cell r="AA513" t="str">
            <v>2T2R</v>
          </cell>
        </row>
        <row r="514">
          <cell r="E514" t="str">
            <v>ZKEL24</v>
          </cell>
        </row>
        <row r="514">
          <cell r="G514" t="str">
            <v>ZKEL24I</v>
          </cell>
        </row>
        <row r="514">
          <cell r="I514">
            <v>79.888</v>
          </cell>
          <cell r="J514">
            <v>6.96868</v>
          </cell>
        </row>
        <row r="514">
          <cell r="AA514" t="str">
            <v>4T4R</v>
          </cell>
        </row>
        <row r="515">
          <cell r="E515" t="str">
            <v>ZKEL24</v>
          </cell>
        </row>
        <row r="515">
          <cell r="G515" t="str">
            <v>ZKEL24H</v>
          </cell>
        </row>
        <row r="515">
          <cell r="I515">
            <v>79.888</v>
          </cell>
          <cell r="J515">
            <v>6.96868</v>
          </cell>
        </row>
        <row r="515">
          <cell r="AA515" t="str">
            <v>4T4R</v>
          </cell>
        </row>
        <row r="516">
          <cell r="E516" t="str">
            <v>ZKEL24</v>
          </cell>
        </row>
        <row r="516">
          <cell r="G516" t="str">
            <v>ZKEL24G</v>
          </cell>
        </row>
        <row r="516">
          <cell r="I516">
            <v>79.888</v>
          </cell>
          <cell r="J516">
            <v>6.96868</v>
          </cell>
        </row>
        <row r="516">
          <cell r="AA516" t="str">
            <v>4T4R</v>
          </cell>
        </row>
        <row r="517">
          <cell r="E517" t="str">
            <v>ZKEL19</v>
          </cell>
        </row>
        <row r="517">
          <cell r="G517" t="str">
            <v>ZKEL19I</v>
          </cell>
        </row>
        <row r="517">
          <cell r="I517">
            <v>79.8881</v>
          </cell>
          <cell r="J517">
            <v>6.97593</v>
          </cell>
        </row>
        <row r="517">
          <cell r="AA517" t="str">
            <v>2T2R</v>
          </cell>
        </row>
        <row r="518">
          <cell r="E518" t="str">
            <v>ZKEL19</v>
          </cell>
        </row>
        <row r="518">
          <cell r="G518" t="str">
            <v>ZKEL19H</v>
          </cell>
        </row>
        <row r="518">
          <cell r="I518">
            <v>79.8881</v>
          </cell>
          <cell r="J518">
            <v>6.97593</v>
          </cell>
        </row>
        <row r="518">
          <cell r="AA518" t="str">
            <v>2T2R</v>
          </cell>
        </row>
        <row r="519">
          <cell r="E519" t="str">
            <v>ZKEL19</v>
          </cell>
        </row>
        <row r="519">
          <cell r="G519" t="str">
            <v>ZKEL19G</v>
          </cell>
        </row>
        <row r="519">
          <cell r="I519">
            <v>79.8881</v>
          </cell>
          <cell r="J519">
            <v>6.97593</v>
          </cell>
        </row>
        <row r="519">
          <cell r="AA519" t="str">
            <v>2T2R</v>
          </cell>
        </row>
        <row r="520">
          <cell r="E520" t="str">
            <v>ZKEL19</v>
          </cell>
        </row>
        <row r="520">
          <cell r="G520" t="str">
            <v>ZKEL19-M-L21-C2</v>
          </cell>
        </row>
        <row r="520">
          <cell r="I520">
            <v>79.8881</v>
          </cell>
          <cell r="J520">
            <v>6.97593</v>
          </cell>
        </row>
        <row r="520">
          <cell r="AA520" t="str">
            <v>2T2R</v>
          </cell>
        </row>
        <row r="521">
          <cell r="E521" t="str">
            <v>ZKEL19</v>
          </cell>
        </row>
        <row r="521">
          <cell r="G521" t="str">
            <v>ZKEL19-M-L21-B2</v>
          </cell>
        </row>
        <row r="521">
          <cell r="I521">
            <v>79.8881</v>
          </cell>
          <cell r="J521">
            <v>6.97593</v>
          </cell>
        </row>
        <row r="521">
          <cell r="AA521" t="str">
            <v>2T2R</v>
          </cell>
        </row>
        <row r="522">
          <cell r="E522" t="str">
            <v>ZKEL19</v>
          </cell>
        </row>
        <row r="522">
          <cell r="G522" t="str">
            <v>ZKEL19-M-L21-A2</v>
          </cell>
        </row>
        <row r="522">
          <cell r="I522">
            <v>79.8881</v>
          </cell>
          <cell r="J522">
            <v>6.97593</v>
          </cell>
        </row>
        <row r="522">
          <cell r="AA522" t="str">
            <v>2T2R</v>
          </cell>
        </row>
        <row r="523">
          <cell r="E523" t="str">
            <v>ZKEL08</v>
          </cell>
        </row>
        <row r="523">
          <cell r="G523" t="str">
            <v>ZKEL08G</v>
          </cell>
        </row>
        <row r="523">
          <cell r="I523">
            <v>79.8886</v>
          </cell>
          <cell r="J523">
            <v>6.95789</v>
          </cell>
        </row>
        <row r="523">
          <cell r="AA523" t="str">
            <v>4T4R</v>
          </cell>
        </row>
        <row r="524">
          <cell r="E524" t="str">
            <v>ZKEL08</v>
          </cell>
        </row>
        <row r="524">
          <cell r="G524" t="str">
            <v>ZKEL08H</v>
          </cell>
        </row>
        <row r="524">
          <cell r="I524">
            <v>79.8886</v>
          </cell>
          <cell r="J524">
            <v>6.95789</v>
          </cell>
        </row>
        <row r="524">
          <cell r="AA524" t="str">
            <v>4T4R</v>
          </cell>
        </row>
        <row r="525">
          <cell r="E525" t="str">
            <v>ZKEL08</v>
          </cell>
        </row>
        <row r="525">
          <cell r="G525" t="str">
            <v>ZKEL08I</v>
          </cell>
        </row>
        <row r="525">
          <cell r="I525">
            <v>79.8886</v>
          </cell>
          <cell r="J525">
            <v>6.95789</v>
          </cell>
        </row>
        <row r="525">
          <cell r="AA525" t="str">
            <v>4T4R</v>
          </cell>
        </row>
        <row r="526">
          <cell r="E526" t="str">
            <v>LGM032</v>
          </cell>
        </row>
        <row r="526">
          <cell r="G526" t="str">
            <v>LGM032-M-L21-C2</v>
          </cell>
        </row>
        <row r="526">
          <cell r="I526">
            <v>79.8888</v>
          </cell>
          <cell r="J526">
            <v>7.1712</v>
          </cell>
        </row>
        <row r="526">
          <cell r="AA526" t="str">
            <v>2T2R</v>
          </cell>
        </row>
        <row r="527">
          <cell r="E527" t="str">
            <v>LGM032</v>
          </cell>
        </row>
        <row r="527">
          <cell r="G527" t="str">
            <v>LGM032-M-L21-B2</v>
          </cell>
        </row>
        <row r="527">
          <cell r="I527">
            <v>79.8888</v>
          </cell>
          <cell r="J527">
            <v>7.1712</v>
          </cell>
        </row>
        <row r="527">
          <cell r="AA527" t="str">
            <v>2T2R</v>
          </cell>
        </row>
        <row r="528">
          <cell r="E528" t="str">
            <v>LGM032</v>
          </cell>
        </row>
        <row r="528">
          <cell r="G528" t="str">
            <v>LGM032-M-L21-A2</v>
          </cell>
        </row>
        <row r="528">
          <cell r="I528">
            <v>79.8888</v>
          </cell>
          <cell r="J528">
            <v>7.1712</v>
          </cell>
        </row>
        <row r="528">
          <cell r="AA528" t="str">
            <v>2T2R</v>
          </cell>
        </row>
        <row r="529">
          <cell r="E529" t="str">
            <v>GMDMN1</v>
          </cell>
        </row>
        <row r="529">
          <cell r="G529" t="str">
            <v>GMDMN1-M-L21-C2</v>
          </cell>
        </row>
        <row r="529">
          <cell r="I529">
            <v>79.8889</v>
          </cell>
          <cell r="J529">
            <v>7.2281</v>
          </cell>
        </row>
        <row r="529">
          <cell r="AA529" t="str">
            <v>2T2R</v>
          </cell>
        </row>
        <row r="530">
          <cell r="E530" t="str">
            <v>GMDMN1</v>
          </cell>
        </row>
        <row r="530">
          <cell r="G530" t="str">
            <v>GMDMN1-M-L21-B2</v>
          </cell>
        </row>
        <row r="530">
          <cell r="I530">
            <v>79.8889</v>
          </cell>
          <cell r="J530">
            <v>7.2281</v>
          </cell>
        </row>
        <row r="530">
          <cell r="AA530" t="str">
            <v>2T2R</v>
          </cell>
        </row>
        <row r="531">
          <cell r="E531" t="str">
            <v>GMDMN1</v>
          </cell>
        </row>
        <row r="531">
          <cell r="G531" t="str">
            <v>GMDMN1-M-L21-A2</v>
          </cell>
        </row>
        <row r="531">
          <cell r="I531">
            <v>79.8889</v>
          </cell>
          <cell r="J531">
            <v>7.2281</v>
          </cell>
        </row>
        <row r="531">
          <cell r="AA531" t="str">
            <v>2T2R</v>
          </cell>
        </row>
        <row r="532">
          <cell r="E532" t="str">
            <v>ZWAT01</v>
          </cell>
        </row>
        <row r="532">
          <cell r="G532" t="str">
            <v>ZWAT01-M-L21-C2</v>
          </cell>
        </row>
        <row r="532">
          <cell r="I532">
            <v>79.8892</v>
          </cell>
          <cell r="J532">
            <v>6.9815</v>
          </cell>
        </row>
        <row r="532">
          <cell r="AA532" t="str">
            <v>2T2R</v>
          </cell>
        </row>
        <row r="533">
          <cell r="E533" t="str">
            <v>ZWAT01</v>
          </cell>
        </row>
        <row r="533">
          <cell r="G533" t="str">
            <v>ZWAT01-M-L21-B2</v>
          </cell>
        </row>
        <row r="533">
          <cell r="I533">
            <v>79.8892</v>
          </cell>
          <cell r="J533">
            <v>6.9815</v>
          </cell>
        </row>
        <row r="533">
          <cell r="AA533" t="str">
            <v>2T2R</v>
          </cell>
        </row>
        <row r="534">
          <cell r="E534" t="str">
            <v>ZWAT01</v>
          </cell>
        </row>
        <row r="534">
          <cell r="G534" t="str">
            <v>ZWAT01-M-L21-A2</v>
          </cell>
        </row>
        <row r="534">
          <cell r="I534">
            <v>79.8892</v>
          </cell>
          <cell r="J534">
            <v>6.9815</v>
          </cell>
        </row>
        <row r="534">
          <cell r="AA534" t="str">
            <v>2T2R</v>
          </cell>
        </row>
        <row r="535">
          <cell r="E535" t="str">
            <v>ZWAT01</v>
          </cell>
        </row>
        <row r="535">
          <cell r="G535" t="str">
            <v>ZWAT01-M-L85-C1</v>
          </cell>
        </row>
        <row r="535">
          <cell r="I535">
            <v>79.8892</v>
          </cell>
          <cell r="J535">
            <v>6.9815</v>
          </cell>
        </row>
        <row r="535">
          <cell r="AA535" t="str">
            <v>2T2R</v>
          </cell>
        </row>
        <row r="536">
          <cell r="E536" t="str">
            <v>ZWAT01</v>
          </cell>
        </row>
        <row r="536">
          <cell r="G536" t="str">
            <v>ZWAT01-M-L85-B1</v>
          </cell>
        </row>
        <row r="536">
          <cell r="I536">
            <v>79.8892</v>
          </cell>
          <cell r="J536">
            <v>6.9815</v>
          </cell>
        </row>
        <row r="536">
          <cell r="AA536" t="str">
            <v>2T2R</v>
          </cell>
        </row>
        <row r="537">
          <cell r="E537" t="str">
            <v>ZWAT01</v>
          </cell>
        </row>
        <row r="537">
          <cell r="G537" t="str">
            <v>ZWAT01-M-L85-A1</v>
          </cell>
        </row>
        <row r="537">
          <cell r="I537">
            <v>79.8892</v>
          </cell>
          <cell r="J537">
            <v>6.9815</v>
          </cell>
        </row>
        <row r="537">
          <cell r="AA537" t="str">
            <v>2T2R</v>
          </cell>
        </row>
        <row r="538">
          <cell r="E538" t="str">
            <v>ZWAT01</v>
          </cell>
        </row>
        <row r="538">
          <cell r="G538" t="str">
            <v>ZWAT01-M-L23-C1</v>
          </cell>
        </row>
        <row r="538">
          <cell r="I538">
            <v>79.8892</v>
          </cell>
          <cell r="J538">
            <v>6.9815</v>
          </cell>
        </row>
        <row r="538">
          <cell r="AA538" t="str">
            <v>4T4R</v>
          </cell>
        </row>
        <row r="539">
          <cell r="E539" t="str">
            <v>ZWAT01</v>
          </cell>
        </row>
        <row r="539">
          <cell r="G539" t="str">
            <v>ZWAT01-M-L23-B1</v>
          </cell>
        </row>
        <row r="539">
          <cell r="I539">
            <v>79.8892</v>
          </cell>
          <cell r="J539">
            <v>6.9815</v>
          </cell>
        </row>
        <row r="539">
          <cell r="AA539" t="str">
            <v>4T4R</v>
          </cell>
        </row>
        <row r="540">
          <cell r="E540" t="str">
            <v>ZWAT01</v>
          </cell>
        </row>
        <row r="540">
          <cell r="G540" t="str">
            <v>ZWAT01-M-L23-A1</v>
          </cell>
        </row>
        <row r="540">
          <cell r="I540">
            <v>79.8892</v>
          </cell>
          <cell r="J540">
            <v>6.9815</v>
          </cell>
        </row>
        <row r="540">
          <cell r="AA540" t="str">
            <v>4T4R</v>
          </cell>
        </row>
        <row r="541">
          <cell r="E541" t="str">
            <v>ZWAT01</v>
          </cell>
        </row>
        <row r="541">
          <cell r="G541" t="str">
            <v>ZWAT01G</v>
          </cell>
        </row>
        <row r="541">
          <cell r="I541">
            <v>79.8892</v>
          </cell>
          <cell r="J541">
            <v>6.9815</v>
          </cell>
        </row>
        <row r="541">
          <cell r="AA541" t="str">
            <v>4T4R</v>
          </cell>
        </row>
        <row r="542">
          <cell r="E542" t="str">
            <v>ZWAT01</v>
          </cell>
        </row>
        <row r="542">
          <cell r="G542" t="str">
            <v>ZWAT01H</v>
          </cell>
        </row>
        <row r="542">
          <cell r="I542">
            <v>79.8892</v>
          </cell>
          <cell r="J542">
            <v>6.9815</v>
          </cell>
        </row>
        <row r="542">
          <cell r="AA542" t="str">
            <v>4T4R</v>
          </cell>
        </row>
        <row r="543">
          <cell r="E543" t="str">
            <v>ZWAT01</v>
          </cell>
        </row>
        <row r="543">
          <cell r="G543" t="str">
            <v>ZWAT01I</v>
          </cell>
        </row>
        <row r="543">
          <cell r="I543">
            <v>79.8892</v>
          </cell>
          <cell r="J543">
            <v>6.9815</v>
          </cell>
        </row>
        <row r="543">
          <cell r="AA543" t="str">
            <v>4T4R</v>
          </cell>
        </row>
        <row r="544">
          <cell r="E544" t="str">
            <v>ZJAL29</v>
          </cell>
        </row>
        <row r="544">
          <cell r="G544" t="str">
            <v>ZJAL29I</v>
          </cell>
        </row>
        <row r="544">
          <cell r="I544">
            <v>79.890015</v>
          </cell>
          <cell r="J544">
            <v>7.047259</v>
          </cell>
        </row>
        <row r="544">
          <cell r="AA544" t="str">
            <v>2T2R</v>
          </cell>
        </row>
        <row r="545">
          <cell r="E545" t="str">
            <v>ZJAL29</v>
          </cell>
        </row>
        <row r="545">
          <cell r="G545" t="str">
            <v>ZJAL29H</v>
          </cell>
        </row>
        <row r="545">
          <cell r="I545">
            <v>79.890015</v>
          </cell>
          <cell r="J545">
            <v>7.047259</v>
          </cell>
        </row>
        <row r="545">
          <cell r="AA545" t="str">
            <v>2T2R</v>
          </cell>
        </row>
        <row r="546">
          <cell r="E546" t="str">
            <v>ZJAL29</v>
          </cell>
        </row>
        <row r="546">
          <cell r="G546" t="str">
            <v>ZJAL29G</v>
          </cell>
        </row>
        <row r="546">
          <cell r="I546">
            <v>79.890015</v>
          </cell>
          <cell r="J546">
            <v>7.047259</v>
          </cell>
        </row>
        <row r="546">
          <cell r="AA546" t="str">
            <v>2T2R</v>
          </cell>
        </row>
        <row r="547">
          <cell r="E547" t="str">
            <v>ZJAL22</v>
          </cell>
        </row>
        <row r="547">
          <cell r="G547" t="str">
            <v>ZJAL22I</v>
          </cell>
        </row>
        <row r="547">
          <cell r="I547">
            <v>79.890277</v>
          </cell>
          <cell r="J547">
            <v>7.033333</v>
          </cell>
        </row>
        <row r="547">
          <cell r="AA547" t="str">
            <v>4T4R</v>
          </cell>
        </row>
        <row r="548">
          <cell r="E548" t="str">
            <v>ZJAL22</v>
          </cell>
        </row>
        <row r="548">
          <cell r="G548" t="str">
            <v>ZJAL22H</v>
          </cell>
        </row>
        <row r="548">
          <cell r="I548">
            <v>79.890277</v>
          </cell>
          <cell r="J548">
            <v>7.033333</v>
          </cell>
        </row>
        <row r="548">
          <cell r="AA548" t="str">
            <v>4T4R</v>
          </cell>
        </row>
        <row r="549">
          <cell r="E549" t="str">
            <v>ZJAL22</v>
          </cell>
        </row>
        <row r="549">
          <cell r="G549" t="str">
            <v>ZJAL22G</v>
          </cell>
        </row>
        <row r="549">
          <cell r="I549">
            <v>79.890277</v>
          </cell>
          <cell r="J549">
            <v>7.033333</v>
          </cell>
        </row>
        <row r="549">
          <cell r="AA549" t="str">
            <v>4T4R</v>
          </cell>
        </row>
        <row r="550">
          <cell r="E550" t="str">
            <v>ZJAL22</v>
          </cell>
        </row>
        <row r="550">
          <cell r="G550" t="str">
            <v>ZJAL22-M-L21-C2</v>
          </cell>
        </row>
        <row r="550">
          <cell r="I550">
            <v>79.890277</v>
          </cell>
          <cell r="J550">
            <v>7.033333</v>
          </cell>
        </row>
        <row r="550">
          <cell r="AA550" t="str">
            <v>2T2R</v>
          </cell>
        </row>
        <row r="551">
          <cell r="E551" t="str">
            <v>ZJAL22</v>
          </cell>
        </row>
        <row r="551">
          <cell r="G551" t="str">
            <v>ZJAL22-M-L21-B2</v>
          </cell>
        </row>
        <row r="551">
          <cell r="I551">
            <v>79.890277</v>
          </cell>
          <cell r="J551">
            <v>7.033333</v>
          </cell>
        </row>
        <row r="551">
          <cell r="AA551" t="str">
            <v>2T2R</v>
          </cell>
        </row>
        <row r="552">
          <cell r="E552" t="str">
            <v>ZJAL22</v>
          </cell>
        </row>
        <row r="552">
          <cell r="G552" t="str">
            <v>ZJAL22-M-L21-A2</v>
          </cell>
        </row>
        <row r="552">
          <cell r="I552">
            <v>79.890277</v>
          </cell>
          <cell r="J552">
            <v>7.033333</v>
          </cell>
        </row>
        <row r="552">
          <cell r="AA552" t="str">
            <v>2T2R</v>
          </cell>
        </row>
        <row r="553">
          <cell r="E553" t="str">
            <v>GMAIR1</v>
          </cell>
        </row>
        <row r="553">
          <cell r="G553" t="str">
            <v>GMAIR1-M-L21-C2</v>
          </cell>
        </row>
        <row r="553">
          <cell r="I553">
            <v>79.8903</v>
          </cell>
          <cell r="J553">
            <v>7.17706</v>
          </cell>
        </row>
        <row r="553">
          <cell r="AA553" t="str">
            <v>2T2R</v>
          </cell>
        </row>
        <row r="554">
          <cell r="E554" t="str">
            <v>GMAIR1</v>
          </cell>
        </row>
        <row r="554">
          <cell r="G554" t="str">
            <v>GMAIR1-M-L21-A2</v>
          </cell>
        </row>
        <row r="554">
          <cell r="I554">
            <v>79.8903</v>
          </cell>
          <cell r="J554">
            <v>7.17706</v>
          </cell>
        </row>
        <row r="554">
          <cell r="AA554" t="str">
            <v>2T2R</v>
          </cell>
        </row>
        <row r="555">
          <cell r="E555" t="str">
            <v>GMAIR1</v>
          </cell>
        </row>
        <row r="555">
          <cell r="G555" t="str">
            <v>GMAIR1F</v>
          </cell>
        </row>
        <row r="555">
          <cell r="I555">
            <v>79.8903</v>
          </cell>
          <cell r="J555">
            <v>7.17706</v>
          </cell>
        </row>
        <row r="555">
          <cell r="AA555" t="str">
            <v>4T4R</v>
          </cell>
        </row>
        <row r="556">
          <cell r="E556" t="str">
            <v>GMAIR1</v>
          </cell>
        </row>
        <row r="556">
          <cell r="G556" t="str">
            <v>GMAIR1G</v>
          </cell>
        </row>
        <row r="556">
          <cell r="I556">
            <v>79.8903</v>
          </cell>
          <cell r="J556">
            <v>7.17706</v>
          </cell>
        </row>
        <row r="556">
          <cell r="AA556" t="str">
            <v>4T4R</v>
          </cell>
        </row>
        <row r="557">
          <cell r="E557" t="str">
            <v>GMAIR1</v>
          </cell>
        </row>
        <row r="557">
          <cell r="G557" t="str">
            <v>GMAIR1H</v>
          </cell>
        </row>
        <row r="557">
          <cell r="I557">
            <v>79.8903</v>
          </cell>
          <cell r="J557">
            <v>7.17706</v>
          </cell>
        </row>
        <row r="557">
          <cell r="AA557" t="str">
            <v>4T4R</v>
          </cell>
        </row>
        <row r="558">
          <cell r="E558" t="str">
            <v>GMAIR1</v>
          </cell>
        </row>
        <row r="558">
          <cell r="G558" t="str">
            <v>GMAIR1I</v>
          </cell>
        </row>
        <row r="558">
          <cell r="I558">
            <v>79.8903</v>
          </cell>
          <cell r="J558">
            <v>7.17706</v>
          </cell>
        </row>
        <row r="558">
          <cell r="AA558" t="str">
            <v>4T4R</v>
          </cell>
        </row>
        <row r="559">
          <cell r="E559" t="str">
            <v>LGM033</v>
          </cell>
        </row>
        <row r="559">
          <cell r="G559" t="str">
            <v>LGM033-M-L21-C2</v>
          </cell>
        </row>
        <row r="559">
          <cell r="I559">
            <v>79.8905</v>
          </cell>
          <cell r="J559">
            <v>7.1692</v>
          </cell>
        </row>
        <row r="559">
          <cell r="AA559" t="str">
            <v>2T2R</v>
          </cell>
        </row>
        <row r="560">
          <cell r="E560" t="str">
            <v>LGM033</v>
          </cell>
        </row>
        <row r="560">
          <cell r="G560" t="str">
            <v>LGM033-M-L21-B2</v>
          </cell>
        </row>
        <row r="560">
          <cell r="I560">
            <v>79.8905</v>
          </cell>
          <cell r="J560">
            <v>7.1692</v>
          </cell>
        </row>
        <row r="560">
          <cell r="AA560" t="str">
            <v>2T2R</v>
          </cell>
        </row>
        <row r="561">
          <cell r="E561" t="str">
            <v>LGM033</v>
          </cell>
        </row>
        <row r="561">
          <cell r="G561" t="str">
            <v>LGM033-M-L21-A2</v>
          </cell>
        </row>
        <row r="561">
          <cell r="I561">
            <v>79.8905</v>
          </cell>
          <cell r="J561">
            <v>7.1692</v>
          </cell>
        </row>
        <row r="561">
          <cell r="AA561" t="str">
            <v>2T2R</v>
          </cell>
        </row>
        <row r="562">
          <cell r="E562" t="str">
            <v>LGZ014</v>
          </cell>
        </row>
        <row r="562">
          <cell r="G562" t="str">
            <v>LGZ014I</v>
          </cell>
        </row>
        <row r="562">
          <cell r="I562">
            <v>79.890541</v>
          </cell>
          <cell r="J562">
            <v>6.965234</v>
          </cell>
        </row>
        <row r="562">
          <cell r="AA562" t="str">
            <v>2T2R</v>
          </cell>
        </row>
        <row r="563">
          <cell r="E563" t="str">
            <v>LGZ014</v>
          </cell>
        </row>
        <row r="563">
          <cell r="G563" t="str">
            <v>LGZ014H</v>
          </cell>
        </row>
        <row r="563">
          <cell r="I563">
            <v>79.890541</v>
          </cell>
          <cell r="J563">
            <v>6.965234</v>
          </cell>
        </row>
        <row r="563">
          <cell r="AA563" t="str">
            <v>2T2R</v>
          </cell>
        </row>
        <row r="564">
          <cell r="E564" t="str">
            <v>LGZ014</v>
          </cell>
        </row>
        <row r="564">
          <cell r="G564" t="str">
            <v>LGZ014G</v>
          </cell>
        </row>
        <row r="564">
          <cell r="I564">
            <v>79.890541</v>
          </cell>
          <cell r="J564">
            <v>6.965234</v>
          </cell>
        </row>
        <row r="564">
          <cell r="AA564" t="str">
            <v>2T2R</v>
          </cell>
        </row>
        <row r="565">
          <cell r="E565" t="str">
            <v>ZJAL01</v>
          </cell>
        </row>
        <row r="565">
          <cell r="G565" t="str">
            <v>ZJAL01-M-L85-C1</v>
          </cell>
        </row>
        <row r="565">
          <cell r="I565">
            <v>79.8908</v>
          </cell>
          <cell r="J565">
            <v>7.0858</v>
          </cell>
        </row>
        <row r="565">
          <cell r="AA565" t="str">
            <v>2T2R</v>
          </cell>
        </row>
        <row r="566">
          <cell r="E566" t="str">
            <v>ZJAL01</v>
          </cell>
        </row>
        <row r="566">
          <cell r="G566" t="str">
            <v>ZJAL01-M-L85-B1</v>
          </cell>
        </row>
        <row r="566">
          <cell r="I566">
            <v>79.8908</v>
          </cell>
          <cell r="J566">
            <v>7.0858</v>
          </cell>
        </row>
        <row r="566">
          <cell r="AA566" t="str">
            <v>2T2R</v>
          </cell>
        </row>
        <row r="567">
          <cell r="E567" t="str">
            <v>ZJAL01</v>
          </cell>
        </row>
        <row r="567">
          <cell r="G567" t="str">
            <v>ZJAL01-M-L85-A1</v>
          </cell>
        </row>
        <row r="567">
          <cell r="I567">
            <v>79.8908</v>
          </cell>
          <cell r="J567">
            <v>7.0858</v>
          </cell>
        </row>
        <row r="567">
          <cell r="AA567" t="str">
            <v>2T2R</v>
          </cell>
        </row>
        <row r="568">
          <cell r="E568" t="str">
            <v>ZJAL01</v>
          </cell>
        </row>
        <row r="568">
          <cell r="G568" t="str">
            <v>ZJAL01G</v>
          </cell>
        </row>
        <row r="568">
          <cell r="I568">
            <v>79.8908</v>
          </cell>
          <cell r="J568">
            <v>7.0858</v>
          </cell>
        </row>
        <row r="568">
          <cell r="AA568" t="str">
            <v>4T4R</v>
          </cell>
        </row>
        <row r="569">
          <cell r="E569" t="str">
            <v>ZJAL01</v>
          </cell>
        </row>
        <row r="569">
          <cell r="G569" t="str">
            <v>ZJAL01H</v>
          </cell>
        </row>
        <row r="569">
          <cell r="I569">
            <v>79.8908</v>
          </cell>
          <cell r="J569">
            <v>7.0858</v>
          </cell>
        </row>
        <row r="569">
          <cell r="AA569" t="str">
            <v>4T4R</v>
          </cell>
        </row>
        <row r="570">
          <cell r="E570" t="str">
            <v>ZJAL01</v>
          </cell>
        </row>
        <row r="570">
          <cell r="G570" t="str">
            <v>ZJAL01I</v>
          </cell>
        </row>
        <row r="570">
          <cell r="I570">
            <v>79.8908</v>
          </cell>
          <cell r="J570">
            <v>7.0858</v>
          </cell>
        </row>
        <row r="570">
          <cell r="AA570" t="str">
            <v>4T4R</v>
          </cell>
        </row>
        <row r="571">
          <cell r="E571" t="str">
            <v>ZJAL01</v>
          </cell>
        </row>
        <row r="571">
          <cell r="G571" t="str">
            <v>ZJAL01-M-L21-A2</v>
          </cell>
        </row>
        <row r="571">
          <cell r="I571">
            <v>79.8908</v>
          </cell>
          <cell r="J571">
            <v>7.0858</v>
          </cell>
        </row>
        <row r="571">
          <cell r="AA571" t="str">
            <v>2T2R</v>
          </cell>
        </row>
        <row r="572">
          <cell r="E572" t="str">
            <v>ZJAL01</v>
          </cell>
        </row>
        <row r="572">
          <cell r="G572" t="str">
            <v>ZJAL01-M-L18-H1</v>
          </cell>
        </row>
        <row r="572">
          <cell r="I572">
            <v>79.8908</v>
          </cell>
          <cell r="J572">
            <v>7.0858</v>
          </cell>
        </row>
        <row r="572">
          <cell r="AA572" t="str">
            <v>4T4R</v>
          </cell>
        </row>
        <row r="573">
          <cell r="E573" t="str">
            <v>ZJAL01</v>
          </cell>
        </row>
        <row r="573">
          <cell r="G573" t="str">
            <v>ZJAL01-M-L18-G1</v>
          </cell>
        </row>
        <row r="573">
          <cell r="I573">
            <v>79.8908</v>
          </cell>
          <cell r="J573">
            <v>7.0858</v>
          </cell>
        </row>
        <row r="573">
          <cell r="AA573" t="str">
            <v>4T4R</v>
          </cell>
        </row>
        <row r="574">
          <cell r="E574" t="str">
            <v>LGZ017</v>
          </cell>
        </row>
        <row r="574">
          <cell r="G574" t="str">
            <v>LGZ017-M-L21-C2</v>
          </cell>
        </row>
        <row r="574">
          <cell r="I574">
            <v>79.890936</v>
          </cell>
          <cell r="J574">
            <v>6.995971</v>
          </cell>
        </row>
        <row r="574">
          <cell r="AA574" t="str">
            <v>2T2R</v>
          </cell>
        </row>
        <row r="575">
          <cell r="E575" t="str">
            <v>LGZ017</v>
          </cell>
        </row>
        <row r="575">
          <cell r="G575" t="str">
            <v>LGZ017-M-L21-B2</v>
          </cell>
        </row>
        <row r="575">
          <cell r="I575">
            <v>79.890936</v>
          </cell>
          <cell r="J575">
            <v>6.995971</v>
          </cell>
        </row>
        <row r="575">
          <cell r="AA575" t="str">
            <v>2T2R</v>
          </cell>
        </row>
        <row r="576">
          <cell r="E576" t="str">
            <v>LGZ017</v>
          </cell>
        </row>
        <row r="576">
          <cell r="G576" t="str">
            <v>LGZ017-M-L21-A2</v>
          </cell>
        </row>
        <row r="576">
          <cell r="I576">
            <v>79.890936</v>
          </cell>
          <cell r="J576">
            <v>6.995971</v>
          </cell>
        </row>
        <row r="576">
          <cell r="AA576" t="str">
            <v>2T2R</v>
          </cell>
        </row>
        <row r="577">
          <cell r="E577" t="str">
            <v>LGZ017</v>
          </cell>
        </row>
        <row r="577">
          <cell r="G577" t="str">
            <v>LGZ017I</v>
          </cell>
        </row>
        <row r="577">
          <cell r="I577">
            <v>79.890936</v>
          </cell>
          <cell r="J577">
            <v>6.995971</v>
          </cell>
        </row>
        <row r="577">
          <cell r="AA577" t="str">
            <v>2T2R</v>
          </cell>
        </row>
        <row r="578">
          <cell r="E578" t="str">
            <v>LGZ017</v>
          </cell>
        </row>
        <row r="578">
          <cell r="G578" t="str">
            <v>LGZ017H</v>
          </cell>
        </row>
        <row r="578">
          <cell r="I578">
            <v>79.890936</v>
          </cell>
          <cell r="J578">
            <v>6.995971</v>
          </cell>
        </row>
        <row r="578">
          <cell r="AA578" t="str">
            <v>2T2R</v>
          </cell>
        </row>
        <row r="579">
          <cell r="E579" t="str">
            <v>LGZ017</v>
          </cell>
        </row>
        <row r="579">
          <cell r="G579" t="str">
            <v>LGZ017G</v>
          </cell>
        </row>
        <row r="579">
          <cell r="I579">
            <v>79.890936</v>
          </cell>
          <cell r="J579">
            <v>6.995971</v>
          </cell>
        </row>
        <row r="579">
          <cell r="AA579" t="str">
            <v>2T2R</v>
          </cell>
        </row>
        <row r="580">
          <cell r="E580" t="str">
            <v>ZWAT11</v>
          </cell>
        </row>
        <row r="580">
          <cell r="G580" t="str">
            <v>ZWAT11G</v>
          </cell>
        </row>
        <row r="580">
          <cell r="I580">
            <v>79.891</v>
          </cell>
          <cell r="J580">
            <v>6.99036</v>
          </cell>
        </row>
        <row r="580">
          <cell r="AA580" t="str">
            <v>4T4R</v>
          </cell>
        </row>
        <row r="581">
          <cell r="E581" t="str">
            <v>ZWAT11</v>
          </cell>
        </row>
        <row r="581">
          <cell r="G581" t="str">
            <v>ZWAT11H</v>
          </cell>
        </row>
        <row r="581">
          <cell r="I581">
            <v>79.891</v>
          </cell>
          <cell r="J581">
            <v>6.99036</v>
          </cell>
        </row>
        <row r="581">
          <cell r="AA581" t="str">
            <v>4T4R</v>
          </cell>
        </row>
        <row r="582">
          <cell r="E582" t="str">
            <v>ZWAT11</v>
          </cell>
        </row>
        <row r="582">
          <cell r="G582" t="str">
            <v>ZWAT11I</v>
          </cell>
        </row>
        <row r="582">
          <cell r="I582">
            <v>79.891</v>
          </cell>
          <cell r="J582">
            <v>6.99036</v>
          </cell>
        </row>
        <row r="582">
          <cell r="AA582" t="str">
            <v>4T4R</v>
          </cell>
        </row>
        <row r="583">
          <cell r="E583" t="str">
            <v>ZWAT11</v>
          </cell>
        </row>
        <row r="583">
          <cell r="G583" t="str">
            <v>ZWAT11-M-L21-C2</v>
          </cell>
        </row>
        <row r="583">
          <cell r="I583">
            <v>79.891</v>
          </cell>
          <cell r="J583">
            <v>6.99036</v>
          </cell>
        </row>
        <row r="583">
          <cell r="AA583" t="str">
            <v>2T2R</v>
          </cell>
        </row>
        <row r="584">
          <cell r="E584" t="str">
            <v>ZWAT11</v>
          </cell>
        </row>
        <row r="584">
          <cell r="G584" t="str">
            <v>ZWAT11-M-L21-B2</v>
          </cell>
        </row>
        <row r="584">
          <cell r="I584">
            <v>79.891</v>
          </cell>
          <cell r="J584">
            <v>6.99036</v>
          </cell>
        </row>
        <row r="584">
          <cell r="AA584" t="str">
            <v>2T2R</v>
          </cell>
        </row>
        <row r="585">
          <cell r="E585" t="str">
            <v>ZWAT11</v>
          </cell>
        </row>
        <row r="585">
          <cell r="G585" t="str">
            <v>ZWAT11-M-L21-A2</v>
          </cell>
        </row>
        <row r="585">
          <cell r="I585">
            <v>79.891</v>
          </cell>
          <cell r="J585">
            <v>6.99036</v>
          </cell>
        </row>
        <row r="585">
          <cell r="AA585" t="str">
            <v>2T2R</v>
          </cell>
        </row>
        <row r="586">
          <cell r="E586" t="str">
            <v>ZWAT11</v>
          </cell>
        </row>
        <row r="586">
          <cell r="G586" t="str">
            <v>ZWAT11-M-L85-C1</v>
          </cell>
        </row>
        <row r="586">
          <cell r="I586">
            <v>79.891</v>
          </cell>
          <cell r="J586">
            <v>6.99036</v>
          </cell>
        </row>
        <row r="586">
          <cell r="AA586" t="str">
            <v>2T2R</v>
          </cell>
        </row>
        <row r="587">
          <cell r="E587" t="str">
            <v>ZWAT11</v>
          </cell>
        </row>
        <row r="587">
          <cell r="G587" t="str">
            <v>ZWAT11-M-L85-B1</v>
          </cell>
        </row>
        <row r="587">
          <cell r="I587">
            <v>79.891</v>
          </cell>
          <cell r="J587">
            <v>6.99036</v>
          </cell>
        </row>
        <row r="587">
          <cell r="AA587" t="str">
            <v>2T2R</v>
          </cell>
        </row>
        <row r="588">
          <cell r="E588" t="str">
            <v>ZWAT11</v>
          </cell>
        </row>
        <row r="588">
          <cell r="G588" t="str">
            <v>ZWAT11-M-L85-A1</v>
          </cell>
        </row>
        <row r="588">
          <cell r="I588">
            <v>79.891</v>
          </cell>
          <cell r="J588">
            <v>6.99036</v>
          </cell>
        </row>
        <row r="588">
          <cell r="AA588" t="str">
            <v>2T2R</v>
          </cell>
        </row>
        <row r="589">
          <cell r="E589" t="str">
            <v>IBHEM1</v>
          </cell>
        </row>
        <row r="589">
          <cell r="G589" t="str">
            <v>IBHEM1H</v>
          </cell>
        </row>
        <row r="589">
          <cell r="I589">
            <v>79.8912</v>
          </cell>
          <cell r="J589">
            <v>6.9887</v>
          </cell>
        </row>
        <row r="589">
          <cell r="AA589" t="str">
            <v>1T1R</v>
          </cell>
        </row>
        <row r="590">
          <cell r="E590" t="str">
            <v>IBHEM1</v>
          </cell>
        </row>
        <row r="590">
          <cell r="G590" t="str">
            <v>IBHEM1G</v>
          </cell>
        </row>
        <row r="590">
          <cell r="I590">
            <v>79.8912</v>
          </cell>
          <cell r="J590">
            <v>6.9887</v>
          </cell>
        </row>
        <row r="590">
          <cell r="AA590" t="str">
            <v>1T1R</v>
          </cell>
        </row>
        <row r="591">
          <cell r="E591" t="str">
            <v>LGZ011</v>
          </cell>
        </row>
        <row r="591">
          <cell r="G591" t="str">
            <v>LGZ011I</v>
          </cell>
        </row>
        <row r="591">
          <cell r="I591">
            <v>79.89136</v>
          </cell>
          <cell r="J591">
            <v>7.002929</v>
          </cell>
        </row>
        <row r="591">
          <cell r="AA591" t="str">
            <v>2T2R</v>
          </cell>
        </row>
        <row r="592">
          <cell r="E592" t="str">
            <v>LGZ011</v>
          </cell>
        </row>
        <row r="592">
          <cell r="G592" t="str">
            <v>LGZ011H</v>
          </cell>
        </row>
        <row r="592">
          <cell r="I592">
            <v>79.89136</v>
          </cell>
          <cell r="J592">
            <v>7.002929</v>
          </cell>
        </row>
        <row r="592">
          <cell r="AA592" t="str">
            <v>2T2R</v>
          </cell>
        </row>
        <row r="593">
          <cell r="E593" t="str">
            <v>LGZ011</v>
          </cell>
        </row>
        <row r="593">
          <cell r="G593" t="str">
            <v>LGZ011G</v>
          </cell>
        </row>
        <row r="593">
          <cell r="I593">
            <v>79.89136</v>
          </cell>
          <cell r="J593">
            <v>7.002929</v>
          </cell>
        </row>
        <row r="593">
          <cell r="AA593" t="str">
            <v>2T2R</v>
          </cell>
        </row>
        <row r="594">
          <cell r="E594" t="str">
            <v>ZJAL03</v>
          </cell>
        </row>
        <row r="594">
          <cell r="G594" t="str">
            <v>ZJAL03I</v>
          </cell>
        </row>
        <row r="594">
          <cell r="I594">
            <v>79.8914</v>
          </cell>
          <cell r="J594">
            <v>7.07738</v>
          </cell>
        </row>
        <row r="594">
          <cell r="AA594" t="str">
            <v>4T4R</v>
          </cell>
        </row>
        <row r="595">
          <cell r="E595" t="str">
            <v>ZJAL03</v>
          </cell>
        </row>
        <row r="595">
          <cell r="G595" t="str">
            <v>ZJAL03H</v>
          </cell>
        </row>
        <row r="595">
          <cell r="I595">
            <v>79.8914</v>
          </cell>
          <cell r="J595">
            <v>7.07738</v>
          </cell>
        </row>
        <row r="595">
          <cell r="AA595" t="str">
            <v>2T2R</v>
          </cell>
        </row>
        <row r="596">
          <cell r="E596" t="str">
            <v>ZJAL03</v>
          </cell>
        </row>
        <row r="596">
          <cell r="G596" t="str">
            <v>ZJAL03G</v>
          </cell>
        </row>
        <row r="596">
          <cell r="I596">
            <v>79.8914</v>
          </cell>
          <cell r="J596">
            <v>7.07738</v>
          </cell>
        </row>
        <row r="596">
          <cell r="AA596" t="str">
            <v>2T2R</v>
          </cell>
        </row>
        <row r="597">
          <cell r="E597" t="str">
            <v>ZJAL03</v>
          </cell>
        </row>
        <row r="597">
          <cell r="G597" t="str">
            <v>ZJAL03-M-L21-C2</v>
          </cell>
        </row>
        <row r="597">
          <cell r="I597">
            <v>79.8914</v>
          </cell>
          <cell r="J597">
            <v>7.07738</v>
          </cell>
        </row>
        <row r="597">
          <cell r="AA597" t="str">
            <v>2T2R</v>
          </cell>
        </row>
        <row r="598">
          <cell r="E598" t="str">
            <v>ZJAL03</v>
          </cell>
        </row>
        <row r="598">
          <cell r="G598" t="str">
            <v>ZJAL03-M-L21-B2</v>
          </cell>
        </row>
        <row r="598">
          <cell r="I598">
            <v>79.8914</v>
          </cell>
          <cell r="J598">
            <v>7.07738</v>
          </cell>
        </row>
        <row r="598">
          <cell r="AA598" t="str">
            <v>2T2R</v>
          </cell>
        </row>
        <row r="599">
          <cell r="E599" t="str">
            <v>ZJAL03</v>
          </cell>
        </row>
        <row r="599">
          <cell r="G599" t="str">
            <v>ZJAL03-M-L21-A2</v>
          </cell>
        </row>
        <row r="599">
          <cell r="I599">
            <v>79.8914</v>
          </cell>
          <cell r="J599">
            <v>7.07738</v>
          </cell>
        </row>
        <row r="599">
          <cell r="AA599" t="str">
            <v>2T2R</v>
          </cell>
        </row>
        <row r="600">
          <cell r="E600" t="str">
            <v>ZJAL03</v>
          </cell>
        </row>
        <row r="600">
          <cell r="G600" t="str">
            <v>ZJAL03-M-L18-I1</v>
          </cell>
        </row>
        <row r="600">
          <cell r="I600">
            <v>79.8914</v>
          </cell>
          <cell r="J600">
            <v>7.07738</v>
          </cell>
        </row>
        <row r="600">
          <cell r="AA600" t="str">
            <v>4T4R</v>
          </cell>
        </row>
        <row r="601">
          <cell r="E601" t="str">
            <v>IBAIR2</v>
          </cell>
        </row>
        <row r="601">
          <cell r="G601" t="str">
            <v>IBAIR2G</v>
          </cell>
        </row>
        <row r="601">
          <cell r="I601">
            <v>79.8919</v>
          </cell>
          <cell r="J601">
            <v>7.1794</v>
          </cell>
        </row>
        <row r="601">
          <cell r="AA601" t="str">
            <v>1T1R</v>
          </cell>
        </row>
        <row r="602">
          <cell r="E602" t="str">
            <v>ZKEL11</v>
          </cell>
        </row>
        <row r="602">
          <cell r="G602" t="str">
            <v>ZKEL11I</v>
          </cell>
        </row>
        <row r="602">
          <cell r="I602">
            <v>79.892</v>
          </cell>
          <cell r="J602">
            <v>6.97541</v>
          </cell>
        </row>
        <row r="602">
          <cell r="AA602" t="str">
            <v>4T4R</v>
          </cell>
        </row>
        <row r="603">
          <cell r="E603" t="str">
            <v>ZKEL11</v>
          </cell>
        </row>
        <row r="603">
          <cell r="G603" t="str">
            <v>ZKEL11H</v>
          </cell>
        </row>
        <row r="603">
          <cell r="I603">
            <v>79.892</v>
          </cell>
          <cell r="J603">
            <v>6.97541</v>
          </cell>
        </row>
        <row r="603">
          <cell r="AA603" t="str">
            <v>4T4R</v>
          </cell>
        </row>
        <row r="604">
          <cell r="E604" t="str">
            <v>ZKEL11</v>
          </cell>
        </row>
        <row r="604">
          <cell r="G604" t="str">
            <v>ZKEL11G</v>
          </cell>
        </row>
        <row r="604">
          <cell r="I604">
            <v>79.892</v>
          </cell>
          <cell r="J604">
            <v>6.97541</v>
          </cell>
        </row>
        <row r="604">
          <cell r="AA604" t="str">
            <v>4T4R</v>
          </cell>
        </row>
        <row r="605">
          <cell r="E605" t="str">
            <v>ZWAT36</v>
          </cell>
        </row>
        <row r="605">
          <cell r="G605" t="str">
            <v>ZWAT36-M-L18-C1</v>
          </cell>
        </row>
        <row r="605">
          <cell r="I605">
            <v>79.892222</v>
          </cell>
          <cell r="J605">
            <v>7.018889</v>
          </cell>
        </row>
        <row r="605">
          <cell r="AA605" t="str">
            <v>4T4R</v>
          </cell>
        </row>
        <row r="606">
          <cell r="E606" t="str">
            <v>ZWAT36</v>
          </cell>
        </row>
        <row r="606">
          <cell r="G606" t="str">
            <v>ZWAT36-M-L21-C1</v>
          </cell>
        </row>
        <row r="606">
          <cell r="I606">
            <v>79.892222</v>
          </cell>
          <cell r="J606">
            <v>7.018889</v>
          </cell>
        </row>
        <row r="606">
          <cell r="AA606" t="str">
            <v>4T4R</v>
          </cell>
        </row>
        <row r="607">
          <cell r="E607" t="str">
            <v>ZWAT36</v>
          </cell>
        </row>
        <row r="607">
          <cell r="G607" t="str">
            <v>ZWAT36-M-L21-C2</v>
          </cell>
        </row>
        <row r="607">
          <cell r="I607">
            <v>79.892222</v>
          </cell>
          <cell r="J607">
            <v>7.018889</v>
          </cell>
        </row>
        <row r="607">
          <cell r="AA607" t="str">
            <v>4T4R</v>
          </cell>
        </row>
        <row r="608">
          <cell r="E608" t="str">
            <v>ZWAT36</v>
          </cell>
        </row>
        <row r="608">
          <cell r="G608" t="str">
            <v>ZWAT36I</v>
          </cell>
        </row>
        <row r="608">
          <cell r="I608">
            <v>79.892222</v>
          </cell>
          <cell r="J608">
            <v>7.018889</v>
          </cell>
        </row>
        <row r="608">
          <cell r="AA608" t="str">
            <v>4T4R</v>
          </cell>
        </row>
        <row r="609">
          <cell r="E609" t="str">
            <v>ZWAT36</v>
          </cell>
        </row>
        <row r="609">
          <cell r="G609" t="str">
            <v>ZWAT36H</v>
          </cell>
        </row>
        <row r="609">
          <cell r="I609">
            <v>79.892222</v>
          </cell>
          <cell r="J609">
            <v>7.018889</v>
          </cell>
        </row>
        <row r="609">
          <cell r="AA609" t="str">
            <v>4T4R</v>
          </cell>
        </row>
        <row r="610">
          <cell r="E610" t="str">
            <v>ZWAT36</v>
          </cell>
        </row>
        <row r="610">
          <cell r="G610" t="str">
            <v>ZWAT36G</v>
          </cell>
        </row>
        <row r="610">
          <cell r="I610">
            <v>79.892222</v>
          </cell>
          <cell r="J610">
            <v>7.018889</v>
          </cell>
        </row>
        <row r="610">
          <cell r="AA610" t="str">
            <v>4T4R</v>
          </cell>
        </row>
        <row r="611">
          <cell r="E611" t="str">
            <v>IBAIR3</v>
          </cell>
        </row>
        <row r="611">
          <cell r="G611" t="str">
            <v>IBAIR3H</v>
          </cell>
        </row>
        <row r="611">
          <cell r="I611">
            <v>79.8923</v>
          </cell>
          <cell r="J611">
            <v>7.17862</v>
          </cell>
        </row>
        <row r="611">
          <cell r="AA611" t="str">
            <v>1T1R</v>
          </cell>
        </row>
        <row r="612">
          <cell r="E612" t="str">
            <v>IBAIR3</v>
          </cell>
        </row>
        <row r="612">
          <cell r="G612" t="str">
            <v>IBAIR3G</v>
          </cell>
        </row>
        <row r="612">
          <cell r="I612">
            <v>79.8923</v>
          </cell>
          <cell r="J612">
            <v>7.17862</v>
          </cell>
        </row>
        <row r="612">
          <cell r="AA612" t="str">
            <v>1T1R</v>
          </cell>
        </row>
        <row r="613">
          <cell r="E613" t="str">
            <v>GMFTZ1</v>
          </cell>
        </row>
        <row r="613">
          <cell r="G613" t="str">
            <v>GMFTZ1-M-L21-C2</v>
          </cell>
        </row>
        <row r="613">
          <cell r="I613">
            <v>79.8936</v>
          </cell>
          <cell r="J613">
            <v>7.17041</v>
          </cell>
        </row>
        <row r="613">
          <cell r="AA613" t="str">
            <v>2T2R</v>
          </cell>
        </row>
        <row r="614">
          <cell r="E614" t="str">
            <v>GMFTZ1</v>
          </cell>
        </row>
        <row r="614">
          <cell r="G614" t="str">
            <v>GMFTZ1-M-L21-B2</v>
          </cell>
        </row>
        <row r="614">
          <cell r="I614">
            <v>79.8936</v>
          </cell>
          <cell r="J614">
            <v>7.17041</v>
          </cell>
        </row>
        <row r="614">
          <cell r="AA614" t="str">
            <v>2T2R</v>
          </cell>
        </row>
        <row r="615">
          <cell r="E615" t="str">
            <v>GMFTZ1</v>
          </cell>
        </row>
        <row r="615">
          <cell r="G615" t="str">
            <v>GMFTZ1-M-L21-A2</v>
          </cell>
        </row>
        <row r="615">
          <cell r="I615">
            <v>79.8936</v>
          </cell>
          <cell r="J615">
            <v>7.17041</v>
          </cell>
        </row>
        <row r="615">
          <cell r="AA615" t="str">
            <v>2T2R</v>
          </cell>
        </row>
        <row r="616">
          <cell r="E616" t="str">
            <v>GMFTZ1</v>
          </cell>
        </row>
        <row r="616">
          <cell r="G616" t="str">
            <v>GMFTZ1I</v>
          </cell>
        </row>
        <row r="616">
          <cell r="I616">
            <v>79.8936</v>
          </cell>
          <cell r="J616">
            <v>7.17041</v>
          </cell>
        </row>
        <row r="616">
          <cell r="AA616" t="str">
            <v>2T2R</v>
          </cell>
        </row>
        <row r="617">
          <cell r="E617" t="str">
            <v>GMFTZ1</v>
          </cell>
        </row>
        <row r="617">
          <cell r="G617" t="str">
            <v>GMFTZ1H</v>
          </cell>
        </row>
        <row r="617">
          <cell r="I617">
            <v>79.8936</v>
          </cell>
          <cell r="J617">
            <v>7.17041</v>
          </cell>
        </row>
        <row r="617">
          <cell r="AA617" t="str">
            <v>2T2R</v>
          </cell>
        </row>
        <row r="618">
          <cell r="E618" t="str">
            <v>GMFTZ1</v>
          </cell>
        </row>
        <row r="618">
          <cell r="G618" t="str">
            <v>GMFTZ1G</v>
          </cell>
        </row>
        <row r="618">
          <cell r="I618">
            <v>79.8936</v>
          </cell>
          <cell r="J618">
            <v>7.17041</v>
          </cell>
        </row>
        <row r="618">
          <cell r="AA618" t="str">
            <v>2T2R</v>
          </cell>
        </row>
        <row r="619">
          <cell r="E619" t="str">
            <v>GMFTZ1</v>
          </cell>
        </row>
        <row r="619">
          <cell r="G619" t="str">
            <v>GMFTZ1-M-L85-C1</v>
          </cell>
        </row>
        <row r="619">
          <cell r="I619">
            <v>79.8936</v>
          </cell>
          <cell r="J619">
            <v>7.17041</v>
          </cell>
        </row>
        <row r="619">
          <cell r="AA619" t="str">
            <v>2T2R</v>
          </cell>
        </row>
        <row r="620">
          <cell r="E620" t="str">
            <v>GMFTZ1</v>
          </cell>
        </row>
        <row r="620">
          <cell r="G620" t="str">
            <v>GMFTZ1-M-L85-B1</v>
          </cell>
        </row>
        <row r="620">
          <cell r="I620">
            <v>79.8936</v>
          </cell>
          <cell r="J620">
            <v>7.17041</v>
          </cell>
        </row>
        <row r="620">
          <cell r="AA620" t="str">
            <v>2T2R</v>
          </cell>
        </row>
        <row r="621">
          <cell r="E621" t="str">
            <v>GMFTZ1</v>
          </cell>
        </row>
        <row r="621">
          <cell r="G621" t="str">
            <v>GMFTZ1-M-L85-A1</v>
          </cell>
        </row>
        <row r="621">
          <cell r="I621">
            <v>79.8936</v>
          </cell>
          <cell r="J621">
            <v>7.17041</v>
          </cell>
        </row>
        <row r="621">
          <cell r="AA621" t="str">
            <v>2T2R</v>
          </cell>
        </row>
        <row r="622">
          <cell r="E622" t="str">
            <v>QGZMT2</v>
          </cell>
        </row>
        <row r="622">
          <cell r="G622" t="str">
            <v>QGZMT2G</v>
          </cell>
        </row>
        <row r="622">
          <cell r="I622">
            <v>79.894</v>
          </cell>
          <cell r="J622">
            <v>7.0046</v>
          </cell>
        </row>
        <row r="622">
          <cell r="AA622" t="str">
            <v>1T1R</v>
          </cell>
        </row>
        <row r="623">
          <cell r="E623" t="str">
            <v>GMEKA5</v>
          </cell>
        </row>
        <row r="623">
          <cell r="G623" t="str">
            <v>GMEKA5I</v>
          </cell>
        </row>
        <row r="623">
          <cell r="I623">
            <v>79.89405</v>
          </cell>
          <cell r="J623">
            <v>7.11967</v>
          </cell>
        </row>
        <row r="623">
          <cell r="AA623" t="str">
            <v>2T2R</v>
          </cell>
        </row>
        <row r="624">
          <cell r="E624" t="str">
            <v>GMEKA5</v>
          </cell>
        </row>
        <row r="624">
          <cell r="G624" t="str">
            <v>GMEKA5H</v>
          </cell>
        </row>
        <row r="624">
          <cell r="I624">
            <v>79.89405</v>
          </cell>
          <cell r="J624">
            <v>7.11967</v>
          </cell>
        </row>
        <row r="624">
          <cell r="AA624" t="str">
            <v>2T2R</v>
          </cell>
        </row>
        <row r="625">
          <cell r="E625" t="str">
            <v>GMEKA5</v>
          </cell>
        </row>
        <row r="625">
          <cell r="G625" t="str">
            <v>GMEKA5G</v>
          </cell>
        </row>
        <row r="625">
          <cell r="I625">
            <v>79.89405</v>
          </cell>
          <cell r="J625">
            <v>7.11967</v>
          </cell>
        </row>
        <row r="625">
          <cell r="AA625" t="str">
            <v>2T2R</v>
          </cell>
        </row>
        <row r="626">
          <cell r="E626" t="str">
            <v>GMEKA5</v>
          </cell>
        </row>
        <row r="626">
          <cell r="G626" t="str">
            <v>GMEKA5-M-L85-C1</v>
          </cell>
        </row>
        <row r="626">
          <cell r="I626">
            <v>79.89405</v>
          </cell>
          <cell r="J626">
            <v>7.11967</v>
          </cell>
        </row>
        <row r="626">
          <cell r="AA626" t="str">
            <v>2T2R</v>
          </cell>
        </row>
        <row r="627">
          <cell r="E627" t="str">
            <v>GMEKA5</v>
          </cell>
        </row>
        <row r="627">
          <cell r="G627" t="str">
            <v>GMEKA5-M-L85-B1</v>
          </cell>
        </row>
        <row r="627">
          <cell r="I627">
            <v>79.89405</v>
          </cell>
          <cell r="J627">
            <v>7.11967</v>
          </cell>
        </row>
        <row r="627">
          <cell r="AA627" t="str">
            <v>2T2R</v>
          </cell>
        </row>
        <row r="628">
          <cell r="E628" t="str">
            <v>GMEKA5</v>
          </cell>
        </row>
        <row r="628">
          <cell r="G628" t="str">
            <v>GMEKA5-M-L85-A1</v>
          </cell>
        </row>
        <row r="628">
          <cell r="I628">
            <v>79.89405</v>
          </cell>
          <cell r="J628">
            <v>7.11967</v>
          </cell>
        </row>
        <row r="628">
          <cell r="AA628" t="str">
            <v>2T2R</v>
          </cell>
        </row>
        <row r="629">
          <cell r="E629" t="str">
            <v>ZWAT40</v>
          </cell>
        </row>
        <row r="629">
          <cell r="G629" t="str">
            <v>ZWAT40I</v>
          </cell>
        </row>
        <row r="629">
          <cell r="I629">
            <v>79.89447</v>
          </cell>
          <cell r="J629">
            <v>6.98148</v>
          </cell>
        </row>
        <row r="629">
          <cell r="AA629" t="str">
            <v>2T2R</v>
          </cell>
        </row>
        <row r="630">
          <cell r="E630" t="str">
            <v>ZWAT40</v>
          </cell>
        </row>
        <row r="630">
          <cell r="G630" t="str">
            <v>ZWAT40H</v>
          </cell>
        </row>
        <row r="630">
          <cell r="I630">
            <v>79.89447</v>
          </cell>
          <cell r="J630">
            <v>6.98148</v>
          </cell>
        </row>
        <row r="630">
          <cell r="AA630" t="str">
            <v>2T2R</v>
          </cell>
        </row>
        <row r="631">
          <cell r="E631" t="str">
            <v>ZWAT40</v>
          </cell>
        </row>
        <row r="631">
          <cell r="G631" t="str">
            <v>ZWAT40G</v>
          </cell>
        </row>
        <row r="631">
          <cell r="I631">
            <v>79.89447</v>
          </cell>
          <cell r="J631">
            <v>6.98148</v>
          </cell>
        </row>
        <row r="631">
          <cell r="AA631" t="str">
            <v>2T2R</v>
          </cell>
        </row>
        <row r="632">
          <cell r="E632" t="str">
            <v>GMRAD2</v>
          </cell>
        </row>
        <row r="632">
          <cell r="G632" t="str">
            <v>GMRAD2-M-L18-G1</v>
          </cell>
        </row>
        <row r="632">
          <cell r="I632">
            <v>79.894684</v>
          </cell>
          <cell r="J632">
            <v>7.139062</v>
          </cell>
        </row>
        <row r="632">
          <cell r="AA632" t="str">
            <v>2T2R</v>
          </cell>
        </row>
        <row r="633">
          <cell r="E633" t="str">
            <v>GMRAD2</v>
          </cell>
        </row>
        <row r="633">
          <cell r="G633" t="str">
            <v>GMRAD2I</v>
          </cell>
        </row>
        <row r="633">
          <cell r="I633">
            <v>79.894684</v>
          </cell>
          <cell r="J633">
            <v>7.139062</v>
          </cell>
        </row>
        <row r="633">
          <cell r="AA633" t="str">
            <v>2T2R</v>
          </cell>
        </row>
        <row r="634">
          <cell r="E634" t="str">
            <v>GMRAD2</v>
          </cell>
        </row>
        <row r="634">
          <cell r="G634" t="str">
            <v>GMRAD2H</v>
          </cell>
        </row>
        <row r="634">
          <cell r="I634">
            <v>79.894684</v>
          </cell>
          <cell r="J634">
            <v>7.139062</v>
          </cell>
        </row>
        <row r="634">
          <cell r="AA634" t="str">
            <v>2T2R</v>
          </cell>
        </row>
        <row r="635">
          <cell r="E635" t="str">
            <v>GMRAD2</v>
          </cell>
        </row>
        <row r="635">
          <cell r="G635" t="str">
            <v>GMRAD2G</v>
          </cell>
        </row>
        <row r="635">
          <cell r="I635">
            <v>79.894684</v>
          </cell>
          <cell r="J635">
            <v>7.139062</v>
          </cell>
        </row>
        <row r="635">
          <cell r="AA635" t="str">
            <v>2T2R</v>
          </cell>
        </row>
        <row r="636">
          <cell r="E636" t="str">
            <v>ZKEL14</v>
          </cell>
        </row>
        <row r="636">
          <cell r="G636" t="str">
            <v>ZKEL14G</v>
          </cell>
        </row>
        <row r="636">
          <cell r="I636">
            <v>79.8948</v>
          </cell>
          <cell r="J636">
            <v>6.95861</v>
          </cell>
        </row>
        <row r="636">
          <cell r="AA636" t="str">
            <v>4T4R</v>
          </cell>
        </row>
        <row r="637">
          <cell r="E637" t="str">
            <v>ZKEL14</v>
          </cell>
        </row>
        <row r="637">
          <cell r="G637" t="str">
            <v>ZKEL14H</v>
          </cell>
        </row>
        <row r="637">
          <cell r="I637">
            <v>79.8948</v>
          </cell>
          <cell r="J637">
            <v>6.95861</v>
          </cell>
        </row>
        <row r="637">
          <cell r="AA637" t="str">
            <v>2T2R</v>
          </cell>
        </row>
        <row r="638">
          <cell r="E638" t="str">
            <v>ZKEL14</v>
          </cell>
        </row>
        <row r="638">
          <cell r="G638" t="str">
            <v>ZKEL14I</v>
          </cell>
        </row>
        <row r="638">
          <cell r="I638">
            <v>79.8948</v>
          </cell>
          <cell r="J638">
            <v>6.95861</v>
          </cell>
        </row>
        <row r="638">
          <cell r="AA638" t="str">
            <v>4T4R</v>
          </cell>
        </row>
        <row r="639">
          <cell r="E639" t="str">
            <v>ZKEL14</v>
          </cell>
        </row>
        <row r="639">
          <cell r="G639" t="str">
            <v>ZKEL14-M-L85-A1</v>
          </cell>
        </row>
        <row r="639">
          <cell r="I639">
            <v>79.8948</v>
          </cell>
          <cell r="J639">
            <v>6.95861</v>
          </cell>
        </row>
        <row r="639">
          <cell r="AA639" t="str">
            <v>2T2R</v>
          </cell>
        </row>
        <row r="640">
          <cell r="E640" t="str">
            <v>ZKEL14</v>
          </cell>
        </row>
        <row r="640">
          <cell r="G640" t="str">
            <v>ZKEL14-M-L85-B1</v>
          </cell>
        </row>
        <row r="640">
          <cell r="I640">
            <v>79.8948</v>
          </cell>
          <cell r="J640">
            <v>6.95861</v>
          </cell>
        </row>
        <row r="640">
          <cell r="AA640" t="str">
            <v>2T2R</v>
          </cell>
        </row>
        <row r="641">
          <cell r="E641" t="str">
            <v>ZKEL14</v>
          </cell>
        </row>
        <row r="641">
          <cell r="G641" t="str">
            <v>ZKEL14-M-L85-C1</v>
          </cell>
        </row>
        <row r="641">
          <cell r="I641">
            <v>79.8948</v>
          </cell>
          <cell r="J641">
            <v>6.95861</v>
          </cell>
        </row>
        <row r="641">
          <cell r="AA641" t="str">
            <v>2T2R</v>
          </cell>
        </row>
        <row r="642">
          <cell r="E642" t="str">
            <v>ZKEL14</v>
          </cell>
        </row>
        <row r="642">
          <cell r="G642" t="str">
            <v>ZKEL14-M-L21-B2</v>
          </cell>
        </row>
        <row r="642">
          <cell r="I642">
            <v>79.8948</v>
          </cell>
          <cell r="J642">
            <v>6.95861</v>
          </cell>
        </row>
        <row r="642">
          <cell r="AA642" t="str">
            <v>2T2R</v>
          </cell>
        </row>
        <row r="643">
          <cell r="E643" t="str">
            <v>ZKEL14</v>
          </cell>
        </row>
        <row r="643">
          <cell r="G643" t="str">
            <v>ZKEL14-M-L21-A2</v>
          </cell>
        </row>
        <row r="643">
          <cell r="I643">
            <v>79.8948</v>
          </cell>
          <cell r="J643">
            <v>6.95861</v>
          </cell>
        </row>
        <row r="643">
          <cell r="AA643" t="str">
            <v>2T2R</v>
          </cell>
        </row>
        <row r="644">
          <cell r="E644" t="str">
            <v>ZKEL14</v>
          </cell>
        </row>
        <row r="644">
          <cell r="G644" t="str">
            <v>ZKEL14-M-L21-C2</v>
          </cell>
        </row>
        <row r="644">
          <cell r="I644">
            <v>79.8948</v>
          </cell>
          <cell r="J644">
            <v>6.95861</v>
          </cell>
        </row>
        <row r="644">
          <cell r="AA644" t="str">
            <v>2T2R</v>
          </cell>
        </row>
        <row r="645">
          <cell r="E645" t="str">
            <v>ZKEL14</v>
          </cell>
        </row>
        <row r="645">
          <cell r="G645" t="str">
            <v>ZKEL14_M-L18-H1</v>
          </cell>
        </row>
        <row r="645">
          <cell r="I645">
            <v>79.8948</v>
          </cell>
          <cell r="J645">
            <v>6.95861</v>
          </cell>
        </row>
        <row r="645">
          <cell r="AA645" t="str">
            <v>2T2R</v>
          </cell>
        </row>
        <row r="646">
          <cell r="E646" t="str">
            <v>ZKEL14</v>
          </cell>
        </row>
        <row r="646">
          <cell r="G646" t="str">
            <v>ZKEL14F</v>
          </cell>
        </row>
        <row r="646">
          <cell r="I646">
            <v>79.8948</v>
          </cell>
          <cell r="J646">
            <v>6.95861</v>
          </cell>
        </row>
        <row r="646">
          <cell r="AA646" t="str">
            <v>2T2R</v>
          </cell>
        </row>
        <row r="647">
          <cell r="E647" t="str">
            <v>ZKEL18</v>
          </cell>
        </row>
        <row r="647">
          <cell r="G647" t="str">
            <v>ZKEL18I</v>
          </cell>
        </row>
        <row r="647">
          <cell r="I647">
            <v>79.8949</v>
          </cell>
          <cell r="J647">
            <v>6.96229</v>
          </cell>
        </row>
        <row r="647">
          <cell r="AA647" t="str">
            <v>2T2R</v>
          </cell>
        </row>
        <row r="648">
          <cell r="E648" t="str">
            <v>ZKEL18</v>
          </cell>
        </row>
        <row r="648">
          <cell r="G648" t="str">
            <v>ZKEL18H</v>
          </cell>
        </row>
        <row r="648">
          <cell r="I648">
            <v>79.8949</v>
          </cell>
          <cell r="J648">
            <v>6.96229</v>
          </cell>
        </row>
        <row r="648">
          <cell r="AA648" t="str">
            <v>2T2R</v>
          </cell>
        </row>
        <row r="649">
          <cell r="E649" t="str">
            <v>ZKEL18</v>
          </cell>
        </row>
        <row r="649">
          <cell r="G649" t="str">
            <v>ZKEL18G</v>
          </cell>
        </row>
        <row r="649">
          <cell r="I649">
            <v>79.8949</v>
          </cell>
          <cell r="J649">
            <v>6.96229</v>
          </cell>
        </row>
        <row r="649">
          <cell r="AA649" t="str">
            <v>2T2R</v>
          </cell>
        </row>
        <row r="650">
          <cell r="E650" t="str">
            <v>ZKEL18</v>
          </cell>
        </row>
        <row r="650">
          <cell r="G650" t="str">
            <v>ZKEL18-M-L21-C2</v>
          </cell>
        </row>
        <row r="650">
          <cell r="I650">
            <v>79.8949</v>
          </cell>
          <cell r="J650">
            <v>6.96229</v>
          </cell>
        </row>
        <row r="650">
          <cell r="AA650" t="str">
            <v>2T2R</v>
          </cell>
        </row>
        <row r="651">
          <cell r="E651" t="str">
            <v>ZKEL18</v>
          </cell>
        </row>
        <row r="651">
          <cell r="G651" t="str">
            <v>ZKEL18-M-L21-B2</v>
          </cell>
        </row>
        <row r="651">
          <cell r="I651">
            <v>79.8949</v>
          </cell>
          <cell r="J651">
            <v>6.96229</v>
          </cell>
        </row>
        <row r="651">
          <cell r="AA651" t="str">
            <v>2T2R</v>
          </cell>
        </row>
        <row r="652">
          <cell r="E652" t="str">
            <v>ZKEL18</v>
          </cell>
        </row>
        <row r="652">
          <cell r="G652" t="str">
            <v>ZKEL18-M-L21-A2</v>
          </cell>
        </row>
        <row r="652">
          <cell r="I652">
            <v>79.8949</v>
          </cell>
          <cell r="J652">
            <v>6.96229</v>
          </cell>
        </row>
        <row r="652">
          <cell r="AA652" t="str">
            <v>2T2R</v>
          </cell>
        </row>
        <row r="653">
          <cell r="E653" t="str">
            <v>GMKTA5</v>
          </cell>
        </row>
        <row r="653">
          <cell r="G653" t="str">
            <v>GMKTA5I</v>
          </cell>
        </row>
        <row r="653">
          <cell r="I653">
            <v>79.895</v>
          </cell>
          <cell r="J653">
            <v>7.2442</v>
          </cell>
        </row>
        <row r="653">
          <cell r="AA653" t="str">
            <v>2T2R</v>
          </cell>
        </row>
        <row r="654">
          <cell r="E654" t="str">
            <v>GMKTA5</v>
          </cell>
        </row>
        <row r="654">
          <cell r="G654" t="str">
            <v>GMKTA5H</v>
          </cell>
        </row>
        <row r="654">
          <cell r="I654">
            <v>79.895</v>
          </cell>
          <cell r="J654">
            <v>7.2442</v>
          </cell>
        </row>
        <row r="654">
          <cell r="AA654" t="str">
            <v>2T2R</v>
          </cell>
        </row>
        <row r="655">
          <cell r="E655" t="str">
            <v>GMKTA5</v>
          </cell>
        </row>
        <row r="655">
          <cell r="G655" t="str">
            <v>GMKTA5G</v>
          </cell>
        </row>
        <row r="655">
          <cell r="I655">
            <v>79.895</v>
          </cell>
          <cell r="J655">
            <v>7.2442</v>
          </cell>
        </row>
        <row r="655">
          <cell r="AA655" t="str">
            <v>2T2R</v>
          </cell>
        </row>
        <row r="656">
          <cell r="E656" t="str">
            <v>ZJAL08</v>
          </cell>
        </row>
        <row r="656">
          <cell r="G656" t="str">
            <v>ZJAL08-M-L21-C2</v>
          </cell>
        </row>
        <row r="656">
          <cell r="I656">
            <v>79.8952</v>
          </cell>
          <cell r="J656">
            <v>7.06956</v>
          </cell>
        </row>
        <row r="656">
          <cell r="AA656" t="str">
            <v>8T8R</v>
          </cell>
        </row>
        <row r="657">
          <cell r="E657" t="str">
            <v>ZJAL08</v>
          </cell>
        </row>
        <row r="657">
          <cell r="G657" t="str">
            <v>ZJAL08-M-L21-B2</v>
          </cell>
        </row>
        <row r="657">
          <cell r="I657">
            <v>79.8952</v>
          </cell>
          <cell r="J657">
            <v>7.06956</v>
          </cell>
        </row>
        <row r="657">
          <cell r="AA657" t="str">
            <v>2T2R</v>
          </cell>
        </row>
        <row r="658">
          <cell r="E658" t="str">
            <v>ZJAL08</v>
          </cell>
        </row>
        <row r="658">
          <cell r="G658" t="str">
            <v>ZJAL08G</v>
          </cell>
        </row>
        <row r="658">
          <cell r="I658">
            <v>79.8952</v>
          </cell>
          <cell r="J658">
            <v>7.06956</v>
          </cell>
        </row>
        <row r="658">
          <cell r="AA658" t="str">
            <v>4T4R</v>
          </cell>
        </row>
        <row r="659">
          <cell r="E659" t="str">
            <v>ZJAL08</v>
          </cell>
        </row>
        <row r="659">
          <cell r="G659" t="str">
            <v>ZJAL08H</v>
          </cell>
        </row>
        <row r="659">
          <cell r="I659">
            <v>79.8952</v>
          </cell>
          <cell r="J659">
            <v>7.06956</v>
          </cell>
        </row>
        <row r="659">
          <cell r="AA659" t="str">
            <v>4T4R</v>
          </cell>
        </row>
        <row r="660">
          <cell r="E660" t="str">
            <v>ZJAL08</v>
          </cell>
        </row>
        <row r="660">
          <cell r="G660" t="str">
            <v>ZJAL08I</v>
          </cell>
        </row>
        <row r="660">
          <cell r="I660">
            <v>79.8952</v>
          </cell>
          <cell r="J660">
            <v>7.06956</v>
          </cell>
        </row>
        <row r="660">
          <cell r="AA660" t="str">
            <v>8T8R</v>
          </cell>
        </row>
        <row r="661">
          <cell r="E661" t="str">
            <v>ZJAL08</v>
          </cell>
        </row>
        <row r="661">
          <cell r="G661" t="str">
            <v>ZJAL08-M-L85-C1</v>
          </cell>
        </row>
        <row r="661">
          <cell r="I661">
            <v>79.8952</v>
          </cell>
          <cell r="J661">
            <v>7.06956</v>
          </cell>
        </row>
        <row r="661">
          <cell r="AA661" t="str">
            <v>2T2R</v>
          </cell>
        </row>
        <row r="662">
          <cell r="E662" t="str">
            <v>ZJAL08</v>
          </cell>
        </row>
        <row r="662">
          <cell r="G662" t="str">
            <v>ZJAL08-M-L85-B1</v>
          </cell>
        </row>
        <row r="662">
          <cell r="I662">
            <v>79.8952</v>
          </cell>
          <cell r="J662">
            <v>7.06956</v>
          </cell>
        </row>
        <row r="662">
          <cell r="AA662" t="str">
            <v>2T2R</v>
          </cell>
        </row>
        <row r="663">
          <cell r="E663" t="str">
            <v>ZJAL08</v>
          </cell>
        </row>
        <row r="663">
          <cell r="G663" t="str">
            <v>ZJAL08-M-L85-A1</v>
          </cell>
        </row>
        <row r="663">
          <cell r="I663">
            <v>79.8952</v>
          </cell>
          <cell r="J663">
            <v>7.06956</v>
          </cell>
        </row>
        <row r="663">
          <cell r="AA663" t="str">
            <v>2T2R</v>
          </cell>
        </row>
        <row r="664">
          <cell r="E664" t="str">
            <v>ZJAL08</v>
          </cell>
        </row>
        <row r="664">
          <cell r="G664" t="str">
            <v>ZJAL08-M-L18-C1</v>
          </cell>
        </row>
        <row r="664">
          <cell r="I664">
            <v>79.8952</v>
          </cell>
          <cell r="J664">
            <v>7.06956</v>
          </cell>
        </row>
        <row r="664">
          <cell r="AA664" t="str">
            <v>8T8R</v>
          </cell>
        </row>
        <row r="665">
          <cell r="E665" t="str">
            <v>IBCAT1</v>
          </cell>
        </row>
        <row r="665">
          <cell r="G665" t="str">
            <v>IBCAT1G</v>
          </cell>
        </row>
        <row r="665">
          <cell r="I665">
            <v>79.8952</v>
          </cell>
          <cell r="J665">
            <v>7.1895</v>
          </cell>
        </row>
        <row r="665">
          <cell r="AA665" t="str">
            <v>1T1R</v>
          </cell>
        </row>
        <row r="666">
          <cell r="E666" t="str">
            <v>GMKUS1</v>
          </cell>
        </row>
        <row r="666">
          <cell r="G666" t="str">
            <v>GMKUS1I</v>
          </cell>
        </row>
        <row r="666">
          <cell r="I666">
            <v>79.895257</v>
          </cell>
          <cell r="J666">
            <v>7.151373</v>
          </cell>
        </row>
        <row r="666">
          <cell r="AA666" t="str">
            <v>2T2R</v>
          </cell>
        </row>
        <row r="667">
          <cell r="E667" t="str">
            <v>GMKUS1</v>
          </cell>
        </row>
        <row r="667">
          <cell r="G667" t="str">
            <v>GMKUS1H</v>
          </cell>
        </row>
        <row r="667">
          <cell r="I667">
            <v>79.895257</v>
          </cell>
          <cell r="J667">
            <v>7.151373</v>
          </cell>
        </row>
        <row r="667">
          <cell r="AA667" t="str">
            <v>2T2R</v>
          </cell>
        </row>
        <row r="668">
          <cell r="E668" t="str">
            <v>GMKUS1</v>
          </cell>
        </row>
        <row r="668">
          <cell r="G668" t="str">
            <v>GMKUS1G</v>
          </cell>
        </row>
        <row r="668">
          <cell r="I668">
            <v>79.895257</v>
          </cell>
          <cell r="J668">
            <v>7.151373</v>
          </cell>
        </row>
        <row r="668">
          <cell r="AA668" t="str">
            <v>2T2R</v>
          </cell>
        </row>
        <row r="669">
          <cell r="E669" t="str">
            <v>GMWLN1</v>
          </cell>
        </row>
        <row r="669">
          <cell r="G669" t="str">
            <v>GMWLN1G</v>
          </cell>
        </row>
        <row r="669">
          <cell r="I669">
            <v>79.896</v>
          </cell>
          <cell r="J669">
            <v>7.16319</v>
          </cell>
        </row>
        <row r="669">
          <cell r="AA669" t="str">
            <v>4T4R</v>
          </cell>
        </row>
        <row r="670">
          <cell r="E670" t="str">
            <v>GMWLN1</v>
          </cell>
        </row>
        <row r="670">
          <cell r="G670" t="str">
            <v>GMWLN1H</v>
          </cell>
        </row>
        <row r="670">
          <cell r="I670">
            <v>79.896</v>
          </cell>
          <cell r="J670">
            <v>7.16319</v>
          </cell>
        </row>
        <row r="670">
          <cell r="AA670" t="str">
            <v>4T4R</v>
          </cell>
        </row>
        <row r="671">
          <cell r="E671" t="str">
            <v>GMWLN1</v>
          </cell>
        </row>
        <row r="671">
          <cell r="G671" t="str">
            <v>GMWLN1I</v>
          </cell>
        </row>
        <row r="671">
          <cell r="I671">
            <v>79.896</v>
          </cell>
          <cell r="J671">
            <v>7.16319</v>
          </cell>
        </row>
        <row r="671">
          <cell r="AA671" t="str">
            <v>4T4R</v>
          </cell>
        </row>
        <row r="672">
          <cell r="E672" t="str">
            <v>GMWLN1</v>
          </cell>
        </row>
        <row r="672">
          <cell r="G672" t="str">
            <v>GMWLN1-M-L21-C2</v>
          </cell>
        </row>
        <row r="672">
          <cell r="I672">
            <v>79.896</v>
          </cell>
          <cell r="J672">
            <v>7.16319</v>
          </cell>
        </row>
        <row r="672">
          <cell r="AA672" t="str">
            <v>2T2R</v>
          </cell>
        </row>
        <row r="673">
          <cell r="E673" t="str">
            <v>GMWLN1</v>
          </cell>
        </row>
        <row r="673">
          <cell r="G673" t="str">
            <v>GMWLN1-M-L21-A2</v>
          </cell>
        </row>
        <row r="673">
          <cell r="I673">
            <v>79.896</v>
          </cell>
          <cell r="J673">
            <v>7.16319</v>
          </cell>
        </row>
        <row r="673">
          <cell r="AA673" t="str">
            <v>2T2R</v>
          </cell>
        </row>
        <row r="674">
          <cell r="E674" t="str">
            <v>GMWLN1</v>
          </cell>
        </row>
        <row r="674">
          <cell r="G674" t="str">
            <v>GMWLN1-M-L85-C1</v>
          </cell>
        </row>
        <row r="674">
          <cell r="I674">
            <v>79.896</v>
          </cell>
          <cell r="J674">
            <v>7.16319</v>
          </cell>
        </row>
        <row r="674">
          <cell r="AA674" t="str">
            <v>2T2R</v>
          </cell>
        </row>
        <row r="675">
          <cell r="E675" t="str">
            <v>GMWLN1</v>
          </cell>
        </row>
        <row r="675">
          <cell r="G675" t="str">
            <v>GMWLN1-M-L85-B1</v>
          </cell>
        </row>
        <row r="675">
          <cell r="I675">
            <v>79.896</v>
          </cell>
          <cell r="J675">
            <v>7.16319</v>
          </cell>
        </row>
        <row r="675">
          <cell r="AA675" t="str">
            <v>2T2R</v>
          </cell>
        </row>
        <row r="676">
          <cell r="E676" t="str">
            <v>GMWLN1</v>
          </cell>
        </row>
        <row r="676">
          <cell r="G676" t="str">
            <v>GMWLN1-M-L85-A1</v>
          </cell>
        </row>
        <row r="676">
          <cell r="I676">
            <v>79.896</v>
          </cell>
          <cell r="J676">
            <v>7.16319</v>
          </cell>
        </row>
        <row r="676">
          <cell r="AA676" t="str">
            <v>2T2R</v>
          </cell>
        </row>
        <row r="677">
          <cell r="E677" t="str">
            <v>ZJAL14</v>
          </cell>
        </row>
        <row r="677">
          <cell r="G677" t="str">
            <v>ZJAL14G</v>
          </cell>
        </row>
        <row r="677">
          <cell r="I677">
            <v>79.8963</v>
          </cell>
          <cell r="J677">
            <v>7.10242</v>
          </cell>
        </row>
        <row r="677">
          <cell r="AA677" t="str">
            <v>2T2R</v>
          </cell>
        </row>
        <row r="678">
          <cell r="E678" t="str">
            <v>ZJAL14</v>
          </cell>
        </row>
        <row r="678">
          <cell r="G678" t="str">
            <v>ZJAL14H</v>
          </cell>
        </row>
        <row r="678">
          <cell r="I678">
            <v>79.8963</v>
          </cell>
          <cell r="J678">
            <v>7.10242</v>
          </cell>
        </row>
        <row r="678">
          <cell r="AA678" t="str">
            <v>4T4R</v>
          </cell>
        </row>
        <row r="679">
          <cell r="E679" t="str">
            <v>ZJAL14</v>
          </cell>
        </row>
        <row r="679">
          <cell r="G679" t="str">
            <v>ZJAL14I</v>
          </cell>
        </row>
        <row r="679">
          <cell r="I679">
            <v>79.8963</v>
          </cell>
          <cell r="J679">
            <v>7.10242</v>
          </cell>
        </row>
        <row r="679">
          <cell r="AA679" t="str">
            <v>4T4R</v>
          </cell>
        </row>
        <row r="680">
          <cell r="E680" t="str">
            <v>ZJAL14</v>
          </cell>
        </row>
        <row r="680">
          <cell r="G680" t="str">
            <v>ZJAL14-M-L85-C1</v>
          </cell>
        </row>
        <row r="680">
          <cell r="I680">
            <v>79.8963</v>
          </cell>
          <cell r="J680">
            <v>7.10242</v>
          </cell>
        </row>
        <row r="680">
          <cell r="AA680" t="str">
            <v>2T2R</v>
          </cell>
        </row>
        <row r="681">
          <cell r="E681" t="str">
            <v>ZJAL14</v>
          </cell>
        </row>
        <row r="681">
          <cell r="G681" t="str">
            <v>ZJAL14-M-L85-B1</v>
          </cell>
        </row>
        <row r="681">
          <cell r="I681">
            <v>79.8963</v>
          </cell>
          <cell r="J681">
            <v>7.10242</v>
          </cell>
        </row>
        <row r="681">
          <cell r="AA681" t="str">
            <v>2T2R</v>
          </cell>
        </row>
        <row r="682">
          <cell r="E682" t="str">
            <v>ZJAL14</v>
          </cell>
        </row>
        <row r="682">
          <cell r="G682" t="str">
            <v>ZJAL14-M-L85-A1</v>
          </cell>
        </row>
        <row r="682">
          <cell r="I682">
            <v>79.8963</v>
          </cell>
          <cell r="J682">
            <v>7.10242</v>
          </cell>
        </row>
        <row r="682">
          <cell r="AA682" t="str">
            <v>2T2R</v>
          </cell>
        </row>
        <row r="683">
          <cell r="E683" t="str">
            <v>ZJAL14</v>
          </cell>
        </row>
        <row r="683">
          <cell r="G683" t="str">
            <v>ZJAL14-M-L18-A1</v>
          </cell>
        </row>
        <row r="683">
          <cell r="I683">
            <v>79.8963</v>
          </cell>
          <cell r="J683">
            <v>7.10242</v>
          </cell>
        </row>
        <row r="683">
          <cell r="AA683" t="str">
            <v>2T2R</v>
          </cell>
        </row>
        <row r="684">
          <cell r="E684" t="str">
            <v>ZJAL14</v>
          </cell>
        </row>
        <row r="684">
          <cell r="G684" t="str">
            <v>ZJAL14-M-L21-C2</v>
          </cell>
        </row>
        <row r="684">
          <cell r="I684">
            <v>79.8963</v>
          </cell>
          <cell r="J684">
            <v>7.10242</v>
          </cell>
        </row>
        <row r="684">
          <cell r="AA684" t="str">
            <v>2T2R</v>
          </cell>
        </row>
        <row r="685">
          <cell r="E685" t="str">
            <v>ZJAL14</v>
          </cell>
        </row>
        <row r="685">
          <cell r="G685" t="str">
            <v>ZJAL14-M-L21-B2</v>
          </cell>
        </row>
        <row r="685">
          <cell r="I685">
            <v>79.8963</v>
          </cell>
          <cell r="J685">
            <v>7.10242</v>
          </cell>
        </row>
        <row r="685">
          <cell r="AA685" t="str">
            <v>2T2R</v>
          </cell>
        </row>
        <row r="686">
          <cell r="E686" t="str">
            <v>ZJAL14</v>
          </cell>
        </row>
        <row r="686">
          <cell r="G686" t="str">
            <v>ZJAL14-M-L21-A2</v>
          </cell>
        </row>
        <row r="686">
          <cell r="I686">
            <v>79.8963</v>
          </cell>
          <cell r="J686">
            <v>7.10242</v>
          </cell>
        </row>
        <row r="686">
          <cell r="AA686" t="str">
            <v>2T2R</v>
          </cell>
        </row>
        <row r="687">
          <cell r="E687" t="str">
            <v>GMKIM1</v>
          </cell>
        </row>
        <row r="687">
          <cell r="G687" t="str">
            <v>GMKIM1-M-L18-I1</v>
          </cell>
        </row>
        <row r="687">
          <cell r="I687">
            <v>79.8964</v>
          </cell>
          <cell r="J687">
            <v>7.20689</v>
          </cell>
        </row>
        <row r="687">
          <cell r="AA687" t="str">
            <v>4T4R</v>
          </cell>
        </row>
        <row r="688">
          <cell r="E688" t="str">
            <v>GMKIM1</v>
          </cell>
        </row>
        <row r="688">
          <cell r="G688" t="str">
            <v>GMKIM1I</v>
          </cell>
        </row>
        <row r="688">
          <cell r="I688">
            <v>79.8964</v>
          </cell>
          <cell r="J688">
            <v>7.20689</v>
          </cell>
        </row>
        <row r="688">
          <cell r="AA688" t="str">
            <v>2T2R</v>
          </cell>
        </row>
        <row r="689">
          <cell r="E689" t="str">
            <v>GMKIM1</v>
          </cell>
        </row>
        <row r="689">
          <cell r="G689" t="str">
            <v>GMKIM1H</v>
          </cell>
        </row>
        <row r="689">
          <cell r="I689">
            <v>79.8964</v>
          </cell>
          <cell r="J689">
            <v>7.20689</v>
          </cell>
        </row>
        <row r="689">
          <cell r="AA689" t="str">
            <v>2T2R</v>
          </cell>
        </row>
        <row r="690">
          <cell r="E690" t="str">
            <v>GMKIM1</v>
          </cell>
        </row>
        <row r="690">
          <cell r="G690" t="str">
            <v>GMKIM1G</v>
          </cell>
        </row>
        <row r="690">
          <cell r="I690">
            <v>79.8964</v>
          </cell>
          <cell r="J690">
            <v>7.20689</v>
          </cell>
        </row>
        <row r="690">
          <cell r="AA690" t="str">
            <v>2T2R</v>
          </cell>
        </row>
        <row r="691">
          <cell r="E691" t="str">
            <v>GMKIM1</v>
          </cell>
        </row>
        <row r="691">
          <cell r="G691" t="str">
            <v>GMKIM1-M-L85-C1</v>
          </cell>
        </row>
        <row r="691">
          <cell r="I691">
            <v>79.8964</v>
          </cell>
          <cell r="J691">
            <v>7.20689</v>
          </cell>
        </row>
        <row r="691">
          <cell r="AA691" t="str">
            <v>2T2R</v>
          </cell>
        </row>
        <row r="692">
          <cell r="E692" t="str">
            <v>GMKIM1</v>
          </cell>
        </row>
        <row r="692">
          <cell r="G692" t="str">
            <v>GMKIM1-M-L85-B1</v>
          </cell>
        </row>
        <row r="692">
          <cell r="I692">
            <v>79.8964</v>
          </cell>
          <cell r="J692">
            <v>7.20689</v>
          </cell>
        </row>
        <row r="692">
          <cell r="AA692" t="str">
            <v>2T2R</v>
          </cell>
        </row>
        <row r="693">
          <cell r="E693" t="str">
            <v>GMKIM1</v>
          </cell>
        </row>
        <row r="693">
          <cell r="G693" t="str">
            <v>GMKIM1-M-L85-A1</v>
          </cell>
        </row>
        <row r="693">
          <cell r="I693">
            <v>79.8964</v>
          </cell>
          <cell r="J693">
            <v>7.20689</v>
          </cell>
        </row>
        <row r="693">
          <cell r="AA693" t="str">
            <v>2T2R</v>
          </cell>
        </row>
        <row r="694">
          <cell r="E694" t="str">
            <v>ZWAT05</v>
          </cell>
        </row>
        <row r="694">
          <cell r="G694" t="str">
            <v>ZWAT05G</v>
          </cell>
        </row>
        <row r="694">
          <cell r="I694">
            <v>79.8966</v>
          </cell>
          <cell r="J694">
            <v>7.0045</v>
          </cell>
        </row>
        <row r="694">
          <cell r="AA694" t="str">
            <v>4T4R</v>
          </cell>
        </row>
        <row r="695">
          <cell r="E695" t="str">
            <v>ZWAT05</v>
          </cell>
        </row>
        <row r="695">
          <cell r="G695" t="str">
            <v>ZWAT05H</v>
          </cell>
        </row>
        <row r="695">
          <cell r="I695">
            <v>79.8966</v>
          </cell>
          <cell r="J695">
            <v>7.0045</v>
          </cell>
        </row>
        <row r="695">
          <cell r="AA695" t="str">
            <v>2T2R</v>
          </cell>
        </row>
        <row r="696">
          <cell r="E696" t="str">
            <v>ZWAT05</v>
          </cell>
        </row>
        <row r="696">
          <cell r="G696" t="str">
            <v>ZWAT05I</v>
          </cell>
        </row>
        <row r="696">
          <cell r="I696">
            <v>79.8966</v>
          </cell>
          <cell r="J696">
            <v>7.0045</v>
          </cell>
        </row>
        <row r="696">
          <cell r="AA696" t="str">
            <v>4T4R</v>
          </cell>
        </row>
        <row r="697">
          <cell r="E697" t="str">
            <v>ZWAT05</v>
          </cell>
        </row>
        <row r="697">
          <cell r="G697" t="str">
            <v>ZWAT05-M-L85-C1</v>
          </cell>
        </row>
        <row r="697">
          <cell r="I697">
            <v>79.8966</v>
          </cell>
          <cell r="J697">
            <v>7.0045</v>
          </cell>
        </row>
        <row r="697">
          <cell r="AA697" t="str">
            <v>2T2R</v>
          </cell>
        </row>
        <row r="698">
          <cell r="E698" t="str">
            <v>ZWAT05</v>
          </cell>
        </row>
        <row r="698">
          <cell r="G698" t="str">
            <v>ZWAT05-M-L85-B1</v>
          </cell>
        </row>
        <row r="698">
          <cell r="I698">
            <v>79.8966</v>
          </cell>
          <cell r="J698">
            <v>7.0045</v>
          </cell>
        </row>
        <row r="698">
          <cell r="AA698" t="str">
            <v>2T2R</v>
          </cell>
        </row>
        <row r="699">
          <cell r="E699" t="str">
            <v>ZWAT05</v>
          </cell>
        </row>
        <row r="699">
          <cell r="G699" t="str">
            <v>ZWAT05-M-L85-A1</v>
          </cell>
        </row>
        <row r="699">
          <cell r="I699">
            <v>79.8966</v>
          </cell>
          <cell r="J699">
            <v>7.0045</v>
          </cell>
        </row>
        <row r="699">
          <cell r="AA699" t="str">
            <v>2T2R</v>
          </cell>
        </row>
        <row r="700">
          <cell r="E700" t="str">
            <v>ZWAT05</v>
          </cell>
        </row>
        <row r="700">
          <cell r="G700" t="str">
            <v>ZWAT05-M-L18-H1</v>
          </cell>
        </row>
        <row r="700">
          <cell r="I700">
            <v>79.8966</v>
          </cell>
          <cell r="J700">
            <v>7.0045</v>
          </cell>
        </row>
        <row r="700">
          <cell r="AA700" t="str">
            <v>4T4R</v>
          </cell>
        </row>
        <row r="701">
          <cell r="E701" t="str">
            <v>ZWAT05</v>
          </cell>
        </row>
        <row r="701">
          <cell r="G701" t="str">
            <v>ZWAT05-M-L21-C2</v>
          </cell>
        </row>
        <row r="701">
          <cell r="I701">
            <v>79.8966</v>
          </cell>
          <cell r="J701">
            <v>7.0045</v>
          </cell>
        </row>
        <row r="701">
          <cell r="AA701" t="str">
            <v>2T2R</v>
          </cell>
        </row>
        <row r="702">
          <cell r="E702" t="str">
            <v>ZWAT05</v>
          </cell>
        </row>
        <row r="702">
          <cell r="G702" t="str">
            <v>ZWAT05-M-L21-B2</v>
          </cell>
        </row>
        <row r="702">
          <cell r="I702">
            <v>79.8966</v>
          </cell>
          <cell r="J702">
            <v>7.0045</v>
          </cell>
        </row>
        <row r="702">
          <cell r="AA702" t="str">
            <v>2T2R</v>
          </cell>
        </row>
        <row r="703">
          <cell r="E703" t="str">
            <v>ZWAT05</v>
          </cell>
        </row>
        <row r="703">
          <cell r="G703" t="str">
            <v>ZWAT05-M-L21-A2</v>
          </cell>
        </row>
        <row r="703">
          <cell r="I703">
            <v>79.8966</v>
          </cell>
          <cell r="J703">
            <v>7.0045</v>
          </cell>
        </row>
        <row r="703">
          <cell r="AA703" t="str">
            <v>2T2R</v>
          </cell>
        </row>
        <row r="704">
          <cell r="E704" t="str">
            <v>ZWAT05</v>
          </cell>
        </row>
        <row r="704">
          <cell r="G704" t="str">
            <v>ZWAT05-M-L23-B1</v>
          </cell>
        </row>
        <row r="704">
          <cell r="I704">
            <v>79.8966</v>
          </cell>
          <cell r="J704">
            <v>7.0045</v>
          </cell>
        </row>
        <row r="704">
          <cell r="AA704" t="str">
            <v>4T4R</v>
          </cell>
        </row>
        <row r="705">
          <cell r="E705" t="str">
            <v>ZWAT05</v>
          </cell>
        </row>
        <row r="705">
          <cell r="G705" t="str">
            <v>ZWAT05-M-L23-A1</v>
          </cell>
        </row>
        <row r="705">
          <cell r="I705">
            <v>79.8966</v>
          </cell>
          <cell r="J705">
            <v>7.0045</v>
          </cell>
        </row>
        <row r="705">
          <cell r="AA705" t="str">
            <v>4T4R</v>
          </cell>
        </row>
        <row r="706">
          <cell r="E706" t="str">
            <v>ZWAT05</v>
          </cell>
        </row>
        <row r="706">
          <cell r="G706" t="str">
            <v>ZWAT05-M-L23-C1</v>
          </cell>
        </row>
        <row r="706">
          <cell r="I706">
            <v>79.8966</v>
          </cell>
          <cell r="J706">
            <v>7.0045</v>
          </cell>
        </row>
        <row r="706">
          <cell r="AA706" t="str">
            <v>4T4R</v>
          </cell>
        </row>
        <row r="707">
          <cell r="E707" t="str">
            <v>ZJAL10</v>
          </cell>
        </row>
        <row r="707">
          <cell r="G707" t="str">
            <v>ZJAL10I</v>
          </cell>
        </row>
        <row r="707">
          <cell r="I707">
            <v>79.8967</v>
          </cell>
          <cell r="J707">
            <v>7.04634</v>
          </cell>
        </row>
        <row r="707">
          <cell r="AA707" t="str">
            <v>2T2R</v>
          </cell>
        </row>
        <row r="708">
          <cell r="E708" t="str">
            <v>ZJAL10</v>
          </cell>
        </row>
        <row r="708">
          <cell r="G708" t="str">
            <v>ZJAL10H</v>
          </cell>
        </row>
        <row r="708">
          <cell r="I708">
            <v>79.8967</v>
          </cell>
          <cell r="J708">
            <v>7.04634</v>
          </cell>
        </row>
        <row r="708">
          <cell r="AA708" t="str">
            <v>2T2R</v>
          </cell>
        </row>
        <row r="709">
          <cell r="E709" t="str">
            <v>ZJAL10</v>
          </cell>
        </row>
        <row r="709">
          <cell r="G709" t="str">
            <v>ZJAL10G</v>
          </cell>
        </row>
        <row r="709">
          <cell r="I709">
            <v>79.8967</v>
          </cell>
          <cell r="J709">
            <v>7.04634</v>
          </cell>
        </row>
        <row r="709">
          <cell r="AA709" t="str">
            <v>2T2R</v>
          </cell>
        </row>
        <row r="710">
          <cell r="E710" t="str">
            <v>ZJAL10</v>
          </cell>
        </row>
        <row r="710">
          <cell r="G710" t="str">
            <v>ZJAL10-M-L18-C1</v>
          </cell>
        </row>
        <row r="710">
          <cell r="I710">
            <v>79.8967</v>
          </cell>
          <cell r="J710">
            <v>7.04634</v>
          </cell>
        </row>
        <row r="710">
          <cell r="AA710" t="str">
            <v>2T2R</v>
          </cell>
        </row>
        <row r="711">
          <cell r="E711" t="str">
            <v>ZJAL34</v>
          </cell>
        </row>
        <row r="711">
          <cell r="G711" t="str">
            <v>ZJAL34-M-L21-C2</v>
          </cell>
        </row>
        <row r="711">
          <cell r="I711">
            <v>79.8967</v>
          </cell>
          <cell r="J711">
            <v>7.0942</v>
          </cell>
        </row>
        <row r="711">
          <cell r="AA711" t="str">
            <v>2T2R</v>
          </cell>
        </row>
        <row r="712">
          <cell r="E712" t="str">
            <v>ZJAL34</v>
          </cell>
        </row>
        <row r="712">
          <cell r="G712" t="str">
            <v>ZJAL34-M-L21-B2</v>
          </cell>
        </row>
        <row r="712">
          <cell r="I712">
            <v>79.8967</v>
          </cell>
          <cell r="J712">
            <v>7.0942</v>
          </cell>
        </row>
        <row r="712">
          <cell r="AA712" t="str">
            <v>2T2R</v>
          </cell>
        </row>
        <row r="713">
          <cell r="E713" t="str">
            <v>ZJAL34</v>
          </cell>
        </row>
        <row r="713">
          <cell r="G713" t="str">
            <v>ZJAL34-M-L21-A2</v>
          </cell>
        </row>
        <row r="713">
          <cell r="I713">
            <v>79.8967</v>
          </cell>
          <cell r="J713">
            <v>7.0942</v>
          </cell>
        </row>
        <row r="713">
          <cell r="AA713" t="str">
            <v>2T2R</v>
          </cell>
        </row>
        <row r="714">
          <cell r="E714" t="str">
            <v>ZWAT18</v>
          </cell>
        </row>
        <row r="714">
          <cell r="G714" t="str">
            <v>ZWAT18I</v>
          </cell>
        </row>
        <row r="714">
          <cell r="I714">
            <v>79.8977</v>
          </cell>
          <cell r="J714">
            <v>7.0284</v>
          </cell>
        </row>
        <row r="714">
          <cell r="AA714" t="str">
            <v>2T2R</v>
          </cell>
        </row>
        <row r="715">
          <cell r="E715" t="str">
            <v>ZWAT18</v>
          </cell>
        </row>
        <row r="715">
          <cell r="G715" t="str">
            <v>ZWAT18H</v>
          </cell>
        </row>
        <row r="715">
          <cell r="I715">
            <v>79.8977</v>
          </cell>
          <cell r="J715">
            <v>7.0284</v>
          </cell>
        </row>
        <row r="715">
          <cell r="AA715" t="str">
            <v>2T2R</v>
          </cell>
        </row>
        <row r="716">
          <cell r="E716" t="str">
            <v>ZWAT18</v>
          </cell>
        </row>
        <row r="716">
          <cell r="G716" t="str">
            <v>ZWAT18G</v>
          </cell>
        </row>
        <row r="716">
          <cell r="I716">
            <v>79.8977</v>
          </cell>
          <cell r="J716">
            <v>7.0284</v>
          </cell>
        </row>
        <row r="716">
          <cell r="AA716" t="str">
            <v>2T2R</v>
          </cell>
        </row>
        <row r="717">
          <cell r="E717" t="str">
            <v>ZWAT18</v>
          </cell>
        </row>
        <row r="717">
          <cell r="G717" t="str">
            <v>ZWAT18-M-L21-A2</v>
          </cell>
        </row>
        <row r="717">
          <cell r="I717">
            <v>79.8977</v>
          </cell>
          <cell r="J717">
            <v>7.0284</v>
          </cell>
        </row>
        <row r="717">
          <cell r="AA717" t="str">
            <v>2T2R</v>
          </cell>
        </row>
        <row r="718">
          <cell r="E718" t="str">
            <v>ZWAT17</v>
          </cell>
        </row>
        <row r="718">
          <cell r="G718" t="str">
            <v>ZWAT17G</v>
          </cell>
        </row>
        <row r="718">
          <cell r="I718">
            <v>79.8978</v>
          </cell>
          <cell r="J718">
            <v>7.0143</v>
          </cell>
        </row>
        <row r="718">
          <cell r="AA718" t="str">
            <v>2T2R</v>
          </cell>
        </row>
        <row r="719">
          <cell r="E719" t="str">
            <v>ZWAT17</v>
          </cell>
        </row>
        <row r="719">
          <cell r="G719" t="str">
            <v>ZWAT17H</v>
          </cell>
        </row>
        <row r="719">
          <cell r="I719">
            <v>79.8978</v>
          </cell>
          <cell r="J719">
            <v>7.0143</v>
          </cell>
        </row>
        <row r="719">
          <cell r="AA719" t="str">
            <v>4T4R</v>
          </cell>
        </row>
        <row r="720">
          <cell r="E720" t="str">
            <v>ZWAT17</v>
          </cell>
        </row>
        <row r="720">
          <cell r="G720" t="str">
            <v>ZWAT17I</v>
          </cell>
        </row>
        <row r="720">
          <cell r="I720">
            <v>79.8978</v>
          </cell>
          <cell r="J720">
            <v>7.0143</v>
          </cell>
        </row>
        <row r="720">
          <cell r="AA720" t="str">
            <v>4T4R</v>
          </cell>
        </row>
        <row r="721">
          <cell r="E721" t="str">
            <v>ZWAT17</v>
          </cell>
        </row>
        <row r="721">
          <cell r="G721" t="str">
            <v>ZWAT17-M-L85-C1</v>
          </cell>
        </row>
        <row r="721">
          <cell r="I721">
            <v>79.8978</v>
          </cell>
          <cell r="J721">
            <v>7.0143</v>
          </cell>
        </row>
        <row r="721">
          <cell r="AA721" t="str">
            <v>2T2R</v>
          </cell>
        </row>
        <row r="722">
          <cell r="E722" t="str">
            <v>ZWAT17</v>
          </cell>
        </row>
        <row r="722">
          <cell r="G722" t="str">
            <v>ZWAT17-M-L85-B1</v>
          </cell>
        </row>
        <row r="722">
          <cell r="I722">
            <v>79.8978</v>
          </cell>
          <cell r="J722">
            <v>7.0143</v>
          </cell>
        </row>
        <row r="722">
          <cell r="AA722" t="str">
            <v>2T2R</v>
          </cell>
        </row>
        <row r="723">
          <cell r="E723" t="str">
            <v>ZWAT17</v>
          </cell>
        </row>
        <row r="723">
          <cell r="G723" t="str">
            <v>ZWAT17-M-L85-A1</v>
          </cell>
        </row>
        <row r="723">
          <cell r="I723">
            <v>79.8978</v>
          </cell>
          <cell r="J723">
            <v>7.0143</v>
          </cell>
        </row>
        <row r="723">
          <cell r="AA723" t="str">
            <v>2T2R</v>
          </cell>
        </row>
        <row r="724">
          <cell r="E724" t="str">
            <v>ZWAT17</v>
          </cell>
        </row>
        <row r="724">
          <cell r="G724" t="str">
            <v>ZWAT17-M-L21-C2</v>
          </cell>
        </row>
        <row r="724">
          <cell r="I724">
            <v>79.8978</v>
          </cell>
          <cell r="J724">
            <v>7.0143</v>
          </cell>
        </row>
        <row r="724">
          <cell r="AA724" t="str">
            <v>2T2R</v>
          </cell>
        </row>
        <row r="725">
          <cell r="E725" t="str">
            <v>ZWAT17</v>
          </cell>
        </row>
        <row r="725">
          <cell r="G725" t="str">
            <v>ZWAT17-M-L21-B2</v>
          </cell>
        </row>
        <row r="725">
          <cell r="I725">
            <v>79.8978</v>
          </cell>
          <cell r="J725">
            <v>7.0143</v>
          </cell>
        </row>
        <row r="725">
          <cell r="AA725" t="str">
            <v>2T2R</v>
          </cell>
        </row>
        <row r="726">
          <cell r="E726" t="str">
            <v>ZWAT17</v>
          </cell>
        </row>
        <row r="726">
          <cell r="G726" t="str">
            <v>ZWAT17-M-L21-A2</v>
          </cell>
        </row>
        <row r="726">
          <cell r="I726">
            <v>79.8978</v>
          </cell>
          <cell r="J726">
            <v>7.0143</v>
          </cell>
        </row>
        <row r="726">
          <cell r="AA726" t="str">
            <v>2T2R</v>
          </cell>
        </row>
        <row r="727">
          <cell r="E727" t="str">
            <v>GMEKA3</v>
          </cell>
        </row>
        <row r="727">
          <cell r="G727" t="str">
            <v>GMEKA3I</v>
          </cell>
        </row>
        <row r="727">
          <cell r="I727">
            <v>79.8979</v>
          </cell>
          <cell r="J727">
            <v>7.08742</v>
          </cell>
        </row>
        <row r="727">
          <cell r="AA727" t="str">
            <v>2T2R</v>
          </cell>
        </row>
        <row r="728">
          <cell r="E728" t="str">
            <v>GMEKA3</v>
          </cell>
        </row>
        <row r="728">
          <cell r="G728" t="str">
            <v>GMEKA3H</v>
          </cell>
        </row>
        <row r="728">
          <cell r="I728">
            <v>79.8979</v>
          </cell>
          <cell r="J728">
            <v>7.08742</v>
          </cell>
        </row>
        <row r="728">
          <cell r="AA728" t="str">
            <v>2T2R</v>
          </cell>
        </row>
        <row r="729">
          <cell r="E729" t="str">
            <v>GMEKA3</v>
          </cell>
        </row>
        <row r="729">
          <cell r="G729" t="str">
            <v>GMEKA3G</v>
          </cell>
        </row>
        <row r="729">
          <cell r="I729">
            <v>79.8979</v>
          </cell>
          <cell r="J729">
            <v>7.08742</v>
          </cell>
        </row>
        <row r="729">
          <cell r="AA729" t="str">
            <v>2T2R</v>
          </cell>
        </row>
        <row r="730">
          <cell r="E730" t="str">
            <v>ZJAL35</v>
          </cell>
        </row>
        <row r="730">
          <cell r="G730" t="str">
            <v>ZJAL35-M-L21-C2</v>
          </cell>
        </row>
        <row r="730">
          <cell r="I730">
            <v>79.898</v>
          </cell>
          <cell r="J730">
            <v>7.0771</v>
          </cell>
        </row>
        <row r="730">
          <cell r="AA730" t="str">
            <v>2T2R</v>
          </cell>
        </row>
        <row r="731">
          <cell r="E731" t="str">
            <v>ZJAL35</v>
          </cell>
        </row>
        <row r="731">
          <cell r="G731" t="str">
            <v>ZJAL35-M-L21-B2</v>
          </cell>
        </row>
        <row r="731">
          <cell r="I731">
            <v>79.898</v>
          </cell>
          <cell r="J731">
            <v>7.0771</v>
          </cell>
        </row>
        <row r="731">
          <cell r="AA731" t="str">
            <v>2T2R</v>
          </cell>
        </row>
        <row r="732">
          <cell r="E732" t="str">
            <v>ZJAL35</v>
          </cell>
        </row>
        <row r="732">
          <cell r="G732" t="str">
            <v>ZJAL35-M-L21-A2</v>
          </cell>
        </row>
        <row r="732">
          <cell r="I732">
            <v>79.898</v>
          </cell>
          <cell r="J732">
            <v>7.0771</v>
          </cell>
        </row>
        <row r="732">
          <cell r="AA732" t="str">
            <v>2T2R</v>
          </cell>
        </row>
        <row r="733">
          <cell r="E733" t="str">
            <v>ZJAL35</v>
          </cell>
        </row>
        <row r="733">
          <cell r="G733" t="str">
            <v>ZJAL35G</v>
          </cell>
        </row>
        <row r="733">
          <cell r="I733">
            <v>79.898</v>
          </cell>
          <cell r="J733">
            <v>7.0771</v>
          </cell>
        </row>
        <row r="733">
          <cell r="AA733" t="str">
            <v>2T2R</v>
          </cell>
        </row>
        <row r="734">
          <cell r="E734" t="str">
            <v>ZJAL06</v>
          </cell>
        </row>
        <row r="734">
          <cell r="G734" t="str">
            <v>ZJAL06-M-L85-A1</v>
          </cell>
        </row>
        <row r="734">
          <cell r="I734">
            <v>79.8981</v>
          </cell>
          <cell r="J734">
            <v>7.03872</v>
          </cell>
        </row>
        <row r="734">
          <cell r="AA734" t="str">
            <v>2T2R</v>
          </cell>
        </row>
        <row r="735">
          <cell r="E735" t="str">
            <v>ZJAL06</v>
          </cell>
        </row>
        <row r="735">
          <cell r="G735" t="str">
            <v>ZJAL06-M-L85-B1</v>
          </cell>
        </row>
        <row r="735">
          <cell r="I735">
            <v>79.8981</v>
          </cell>
          <cell r="J735">
            <v>7.03872</v>
          </cell>
        </row>
        <row r="735">
          <cell r="AA735" t="str">
            <v>2T2R</v>
          </cell>
        </row>
        <row r="736">
          <cell r="E736" t="str">
            <v>ZJAL06</v>
          </cell>
        </row>
        <row r="736">
          <cell r="G736" t="str">
            <v>ZJAL06-M-L85-C1</v>
          </cell>
        </row>
        <row r="736">
          <cell r="I736">
            <v>79.8981</v>
          </cell>
          <cell r="J736">
            <v>7.03872</v>
          </cell>
        </row>
        <row r="736">
          <cell r="AA736" t="str">
            <v>2T2R</v>
          </cell>
        </row>
        <row r="737">
          <cell r="E737" t="str">
            <v>ZJAL06</v>
          </cell>
        </row>
        <row r="737">
          <cell r="G737" t="str">
            <v>ZJAL06-M-L21-B2</v>
          </cell>
        </row>
        <row r="737">
          <cell r="I737">
            <v>79.8981</v>
          </cell>
          <cell r="J737">
            <v>7.03872</v>
          </cell>
        </row>
        <row r="737">
          <cell r="AA737" t="str">
            <v>2T2R</v>
          </cell>
        </row>
        <row r="738">
          <cell r="E738" t="str">
            <v>ZJAL06</v>
          </cell>
        </row>
        <row r="738">
          <cell r="G738" t="str">
            <v>ZJAL06-M-L21-A2</v>
          </cell>
        </row>
        <row r="738">
          <cell r="I738">
            <v>79.8981</v>
          </cell>
          <cell r="J738">
            <v>7.03872</v>
          </cell>
        </row>
        <row r="738">
          <cell r="AA738" t="str">
            <v>2T2R</v>
          </cell>
        </row>
        <row r="739">
          <cell r="E739" t="str">
            <v>ZJAL06</v>
          </cell>
        </row>
        <row r="739">
          <cell r="G739" t="str">
            <v>ZJAL06-M-L23-C1</v>
          </cell>
        </row>
        <row r="739">
          <cell r="I739">
            <v>79.8981</v>
          </cell>
          <cell r="J739">
            <v>7.03872</v>
          </cell>
        </row>
        <row r="739">
          <cell r="AA739" t="str">
            <v>2T2R</v>
          </cell>
        </row>
        <row r="740">
          <cell r="E740" t="str">
            <v>ZJAL06</v>
          </cell>
        </row>
        <row r="740">
          <cell r="G740" t="str">
            <v>ZJAL06-M-L23-B1</v>
          </cell>
        </row>
        <row r="740">
          <cell r="I740">
            <v>79.8981</v>
          </cell>
          <cell r="J740">
            <v>7.03872</v>
          </cell>
        </row>
        <row r="740">
          <cell r="AA740" t="str">
            <v>2T2R</v>
          </cell>
        </row>
        <row r="741">
          <cell r="E741" t="str">
            <v>ZJAL06</v>
          </cell>
        </row>
        <row r="741">
          <cell r="G741" t="str">
            <v>ZJAL06-M-L23-A1</v>
          </cell>
        </row>
        <row r="741">
          <cell r="I741">
            <v>79.8981</v>
          </cell>
          <cell r="J741">
            <v>7.03872</v>
          </cell>
        </row>
        <row r="741">
          <cell r="AA741" t="str">
            <v>2T2R</v>
          </cell>
        </row>
        <row r="742">
          <cell r="E742" t="str">
            <v>ZJAL06</v>
          </cell>
        </row>
        <row r="742">
          <cell r="G742" t="str">
            <v>ZJAL06I</v>
          </cell>
        </row>
        <row r="742">
          <cell r="I742">
            <v>79.8981</v>
          </cell>
          <cell r="J742">
            <v>7.03872</v>
          </cell>
        </row>
        <row r="742">
          <cell r="AA742" t="str">
            <v>4T4R</v>
          </cell>
        </row>
        <row r="743">
          <cell r="E743" t="str">
            <v>ZJAL06</v>
          </cell>
        </row>
        <row r="743">
          <cell r="G743" t="str">
            <v>ZJAL06H</v>
          </cell>
        </row>
        <row r="743">
          <cell r="I743">
            <v>79.8981</v>
          </cell>
          <cell r="J743">
            <v>7.03872</v>
          </cell>
        </row>
        <row r="743">
          <cell r="AA743" t="str">
            <v>4T4R</v>
          </cell>
        </row>
        <row r="744">
          <cell r="E744" t="str">
            <v>ZJAL06</v>
          </cell>
        </row>
        <row r="744">
          <cell r="G744" t="str">
            <v>ZJAL06G</v>
          </cell>
        </row>
        <row r="744">
          <cell r="I744">
            <v>79.8981</v>
          </cell>
          <cell r="J744">
            <v>7.03872</v>
          </cell>
        </row>
        <row r="744">
          <cell r="AA744" t="str">
            <v>4T4R</v>
          </cell>
        </row>
        <row r="745">
          <cell r="E745" t="str">
            <v>ZKEL06</v>
          </cell>
        </row>
        <row r="745">
          <cell r="G745" t="str">
            <v>ZKEL06G</v>
          </cell>
        </row>
        <row r="745">
          <cell r="I745">
            <v>79.8983</v>
          </cell>
          <cell r="J745">
            <v>6.96558</v>
          </cell>
        </row>
        <row r="745">
          <cell r="AA745" t="str">
            <v>4T4R</v>
          </cell>
        </row>
        <row r="746">
          <cell r="E746" t="str">
            <v>ZKEL06</v>
          </cell>
        </row>
        <row r="746">
          <cell r="G746" t="str">
            <v>ZKEL06H</v>
          </cell>
        </row>
        <row r="746">
          <cell r="I746">
            <v>79.8983</v>
          </cell>
          <cell r="J746">
            <v>6.96558</v>
          </cell>
        </row>
        <row r="746">
          <cell r="AA746" t="str">
            <v>2T2R</v>
          </cell>
        </row>
        <row r="747">
          <cell r="E747" t="str">
            <v>ZKEL06</v>
          </cell>
        </row>
        <row r="747">
          <cell r="G747" t="str">
            <v>ZKEL06I</v>
          </cell>
        </row>
        <row r="747">
          <cell r="I747">
            <v>79.8983</v>
          </cell>
          <cell r="J747">
            <v>6.96558</v>
          </cell>
        </row>
        <row r="747">
          <cell r="AA747" t="str">
            <v>4T4R</v>
          </cell>
        </row>
        <row r="748">
          <cell r="E748" t="str">
            <v>ZJAL05</v>
          </cell>
        </row>
        <row r="748">
          <cell r="G748" t="str">
            <v>ZJAL05-M-L21-C2</v>
          </cell>
        </row>
        <row r="748">
          <cell r="I748">
            <v>79.8986</v>
          </cell>
          <cell r="J748">
            <v>7.0553</v>
          </cell>
        </row>
        <row r="748">
          <cell r="AA748" t="str">
            <v>2T2R</v>
          </cell>
        </row>
        <row r="749">
          <cell r="E749" t="str">
            <v>ZJAL05</v>
          </cell>
        </row>
        <row r="749">
          <cell r="G749" t="str">
            <v>ZJAL05-M-L21-B2</v>
          </cell>
        </row>
        <row r="749">
          <cell r="I749">
            <v>79.8986</v>
          </cell>
          <cell r="J749">
            <v>7.0553</v>
          </cell>
        </row>
        <row r="749">
          <cell r="AA749" t="str">
            <v>2T2R</v>
          </cell>
        </row>
        <row r="750">
          <cell r="E750" t="str">
            <v>ZJAL05</v>
          </cell>
        </row>
        <row r="750">
          <cell r="G750" t="str">
            <v>ZJAL05-M-L21-A2</v>
          </cell>
        </row>
        <row r="750">
          <cell r="I750">
            <v>79.8986</v>
          </cell>
          <cell r="J750">
            <v>7.0553</v>
          </cell>
        </row>
        <row r="750">
          <cell r="AA750" t="str">
            <v>2T2R</v>
          </cell>
        </row>
        <row r="751">
          <cell r="E751" t="str">
            <v>ZJAL05</v>
          </cell>
        </row>
        <row r="751">
          <cell r="G751" t="str">
            <v>ZJAL05-M-L85-C1</v>
          </cell>
        </row>
        <row r="751">
          <cell r="I751">
            <v>79.8986</v>
          </cell>
          <cell r="J751">
            <v>7.0553</v>
          </cell>
        </row>
        <row r="751">
          <cell r="AA751" t="str">
            <v>2T2R</v>
          </cell>
        </row>
        <row r="752">
          <cell r="E752" t="str">
            <v>ZJAL05</v>
          </cell>
        </row>
        <row r="752">
          <cell r="G752" t="str">
            <v>ZJAL05-M-L85-B1</v>
          </cell>
        </row>
        <row r="752">
          <cell r="I752">
            <v>79.8986</v>
          </cell>
          <cell r="J752">
            <v>7.0553</v>
          </cell>
        </row>
        <row r="752">
          <cell r="AA752" t="str">
            <v>2T2R</v>
          </cell>
        </row>
        <row r="753">
          <cell r="E753" t="str">
            <v>ZJAL05</v>
          </cell>
        </row>
        <row r="753">
          <cell r="G753" t="str">
            <v>ZJAL05-M-L85-A1</v>
          </cell>
        </row>
        <row r="753">
          <cell r="I753">
            <v>79.8986</v>
          </cell>
          <cell r="J753">
            <v>7.0553</v>
          </cell>
        </row>
        <row r="753">
          <cell r="AA753" t="str">
            <v>2T2R</v>
          </cell>
        </row>
        <row r="754">
          <cell r="E754" t="str">
            <v>ZJAL05</v>
          </cell>
        </row>
        <row r="754">
          <cell r="G754" t="str">
            <v>ZJAL05G</v>
          </cell>
        </row>
        <row r="754">
          <cell r="I754">
            <v>79.8986</v>
          </cell>
          <cell r="J754">
            <v>7.0553</v>
          </cell>
        </row>
        <row r="754">
          <cell r="AA754" t="str">
            <v>4T4R</v>
          </cell>
        </row>
        <row r="755">
          <cell r="E755" t="str">
            <v>ZJAL05</v>
          </cell>
        </row>
        <row r="755">
          <cell r="G755" t="str">
            <v>ZJAL05H</v>
          </cell>
        </row>
        <row r="755">
          <cell r="I755">
            <v>79.8986</v>
          </cell>
          <cell r="J755">
            <v>7.0553</v>
          </cell>
        </row>
        <row r="755">
          <cell r="AA755" t="str">
            <v>4T4R</v>
          </cell>
        </row>
        <row r="756">
          <cell r="E756" t="str">
            <v>ZJAL05</v>
          </cell>
        </row>
        <row r="756">
          <cell r="G756" t="str">
            <v>ZJAL05I</v>
          </cell>
        </row>
        <row r="756">
          <cell r="I756">
            <v>79.8986</v>
          </cell>
          <cell r="J756">
            <v>7.0553</v>
          </cell>
        </row>
        <row r="756">
          <cell r="AA756" t="str">
            <v>4T4R</v>
          </cell>
        </row>
        <row r="757">
          <cell r="E757" t="str">
            <v>ZWAT25</v>
          </cell>
        </row>
        <row r="757">
          <cell r="G757" t="str">
            <v>ZWAT25-M-L18-E1</v>
          </cell>
        </row>
        <row r="757">
          <cell r="I757">
            <v>79.8987</v>
          </cell>
          <cell r="J757">
            <v>6.99845</v>
          </cell>
        </row>
        <row r="757">
          <cell r="AA757" t="str">
            <v>2T2R</v>
          </cell>
        </row>
        <row r="758">
          <cell r="E758" t="str">
            <v>ZWAT25</v>
          </cell>
        </row>
        <row r="758">
          <cell r="G758" t="str">
            <v>ZWAT25-M-L18-F1</v>
          </cell>
        </row>
        <row r="758">
          <cell r="I758">
            <v>79.8987</v>
          </cell>
          <cell r="J758">
            <v>6.99845</v>
          </cell>
        </row>
        <row r="758">
          <cell r="AA758" t="str">
            <v>2T2R</v>
          </cell>
        </row>
        <row r="759">
          <cell r="E759" t="str">
            <v>ZWAT25</v>
          </cell>
        </row>
        <row r="759">
          <cell r="G759" t="str">
            <v>ZWAT25-M-L18-D1</v>
          </cell>
        </row>
        <row r="759">
          <cell r="I759">
            <v>79.8987</v>
          </cell>
          <cell r="J759">
            <v>6.99845</v>
          </cell>
        </row>
        <row r="759">
          <cell r="AA759" t="str">
            <v>2T2R</v>
          </cell>
        </row>
        <row r="760">
          <cell r="E760" t="str">
            <v>ZWAT25</v>
          </cell>
        </row>
        <row r="760">
          <cell r="G760" t="str">
            <v>ZWAT25I</v>
          </cell>
        </row>
        <row r="760">
          <cell r="I760">
            <v>79.8987</v>
          </cell>
          <cell r="J760">
            <v>6.99845</v>
          </cell>
        </row>
        <row r="760">
          <cell r="AA760" t="str">
            <v>2T2R</v>
          </cell>
        </row>
        <row r="761">
          <cell r="E761" t="str">
            <v>ZWAT25</v>
          </cell>
        </row>
        <row r="761">
          <cell r="G761" t="str">
            <v>ZWAT25H</v>
          </cell>
        </row>
        <row r="761">
          <cell r="I761">
            <v>79.8987</v>
          </cell>
          <cell r="J761">
            <v>6.99845</v>
          </cell>
        </row>
        <row r="761">
          <cell r="AA761" t="str">
            <v>2T2R</v>
          </cell>
        </row>
        <row r="762">
          <cell r="E762" t="str">
            <v>ZWAT25</v>
          </cell>
        </row>
        <row r="762">
          <cell r="G762" t="str">
            <v>ZWAT25G</v>
          </cell>
        </row>
        <row r="762">
          <cell r="I762">
            <v>79.8987</v>
          </cell>
          <cell r="J762">
            <v>6.99845</v>
          </cell>
        </row>
        <row r="762">
          <cell r="AA762" t="str">
            <v>2T2R</v>
          </cell>
        </row>
        <row r="763">
          <cell r="E763" t="str">
            <v>ZKEL15</v>
          </cell>
        </row>
        <row r="763">
          <cell r="G763" t="str">
            <v>ZKEL15-M-L85-C1</v>
          </cell>
        </row>
        <row r="763">
          <cell r="I763">
            <v>79.8993</v>
          </cell>
          <cell r="J763">
            <v>6.97505</v>
          </cell>
        </row>
        <row r="763">
          <cell r="AA763" t="str">
            <v>2T2R</v>
          </cell>
        </row>
        <row r="764">
          <cell r="E764" t="str">
            <v>ZKEL15</v>
          </cell>
        </row>
        <row r="764">
          <cell r="G764" t="str">
            <v>ZKEL15-M-L85-B1</v>
          </cell>
        </row>
        <row r="764">
          <cell r="I764">
            <v>79.8993</v>
          </cell>
          <cell r="J764">
            <v>6.97505</v>
          </cell>
        </row>
        <row r="764">
          <cell r="AA764" t="str">
            <v>2T2R</v>
          </cell>
        </row>
        <row r="765">
          <cell r="E765" t="str">
            <v>ZKEL15</v>
          </cell>
        </row>
        <row r="765">
          <cell r="G765" t="str">
            <v>ZKEL15-M-L85-A1</v>
          </cell>
        </row>
        <row r="765">
          <cell r="I765">
            <v>79.8993</v>
          </cell>
          <cell r="J765">
            <v>6.97505</v>
          </cell>
        </row>
        <row r="765">
          <cell r="AA765" t="str">
            <v>2T2R</v>
          </cell>
        </row>
        <row r="766">
          <cell r="E766" t="str">
            <v>ZKEL15</v>
          </cell>
        </row>
        <row r="766">
          <cell r="G766" t="str">
            <v>ZKEL15I</v>
          </cell>
        </row>
        <row r="766">
          <cell r="I766">
            <v>79.8993</v>
          </cell>
          <cell r="J766">
            <v>6.97505</v>
          </cell>
        </row>
        <row r="766">
          <cell r="AA766" t="str">
            <v>4T4R</v>
          </cell>
        </row>
        <row r="767">
          <cell r="E767" t="str">
            <v>ZKEL15</v>
          </cell>
        </row>
        <row r="767">
          <cell r="G767" t="str">
            <v>ZKEL15H</v>
          </cell>
        </row>
        <row r="767">
          <cell r="I767">
            <v>79.8993</v>
          </cell>
          <cell r="J767">
            <v>6.97505</v>
          </cell>
        </row>
        <row r="767">
          <cell r="AA767" t="str">
            <v>4T4R</v>
          </cell>
        </row>
        <row r="768">
          <cell r="E768" t="str">
            <v>ZKEL15</v>
          </cell>
        </row>
        <row r="768">
          <cell r="G768" t="str">
            <v>ZKEL15G</v>
          </cell>
        </row>
        <row r="768">
          <cell r="I768">
            <v>79.8993</v>
          </cell>
          <cell r="J768">
            <v>6.97505</v>
          </cell>
        </row>
        <row r="768">
          <cell r="AA768" t="str">
            <v>4T4R</v>
          </cell>
        </row>
        <row r="769">
          <cell r="E769" t="str">
            <v>ZKEL15</v>
          </cell>
        </row>
        <row r="769">
          <cell r="G769" t="str">
            <v>ZKEL15-M-L21-A2</v>
          </cell>
        </row>
        <row r="769">
          <cell r="I769">
            <v>79.8993</v>
          </cell>
          <cell r="J769">
            <v>6.97505</v>
          </cell>
        </row>
        <row r="769">
          <cell r="AA769" t="str">
            <v>2T2R</v>
          </cell>
        </row>
        <row r="770">
          <cell r="E770" t="str">
            <v>ZKEL15</v>
          </cell>
        </row>
        <row r="770">
          <cell r="G770" t="str">
            <v>ZKEL15-M-L21-C2</v>
          </cell>
        </row>
        <row r="770">
          <cell r="I770">
            <v>79.8993</v>
          </cell>
          <cell r="J770">
            <v>6.97505</v>
          </cell>
        </row>
        <row r="770">
          <cell r="AA770" t="str">
            <v>2T2R</v>
          </cell>
        </row>
        <row r="771">
          <cell r="E771" t="str">
            <v>ZKEL15</v>
          </cell>
        </row>
        <row r="771">
          <cell r="G771" t="str">
            <v>ZKEL15-M-L21-B2</v>
          </cell>
        </row>
        <row r="771">
          <cell r="I771">
            <v>79.8993</v>
          </cell>
          <cell r="J771">
            <v>6.97505</v>
          </cell>
        </row>
        <row r="771">
          <cell r="AA771" t="str">
            <v>2T2R</v>
          </cell>
        </row>
        <row r="772">
          <cell r="E772" t="str">
            <v>ZKEL09</v>
          </cell>
        </row>
        <row r="772">
          <cell r="G772" t="str">
            <v>ZKEL09G</v>
          </cell>
        </row>
        <row r="772">
          <cell r="I772">
            <v>79.8997</v>
          </cell>
          <cell r="J772">
            <v>6.94939</v>
          </cell>
        </row>
        <row r="772">
          <cell r="AA772" t="str">
            <v>4T4R</v>
          </cell>
        </row>
        <row r="773">
          <cell r="E773" t="str">
            <v>ZKEL09</v>
          </cell>
        </row>
        <row r="773">
          <cell r="G773" t="str">
            <v>ZKEL09H</v>
          </cell>
        </row>
        <row r="773">
          <cell r="I773">
            <v>79.8997</v>
          </cell>
          <cell r="J773">
            <v>6.94939</v>
          </cell>
        </row>
        <row r="773">
          <cell r="AA773" t="str">
            <v>4T4R</v>
          </cell>
        </row>
        <row r="774">
          <cell r="E774" t="str">
            <v>ZKEL09</v>
          </cell>
        </row>
        <row r="774">
          <cell r="G774" t="str">
            <v>ZKEL09I</v>
          </cell>
        </row>
        <row r="774">
          <cell r="I774">
            <v>79.8997</v>
          </cell>
          <cell r="J774">
            <v>6.94939</v>
          </cell>
        </row>
        <row r="774">
          <cell r="AA774" t="str">
            <v>4T4R</v>
          </cell>
        </row>
        <row r="775">
          <cell r="E775" t="str">
            <v>ZKEL09</v>
          </cell>
        </row>
        <row r="775">
          <cell r="G775" t="str">
            <v>ZKEL09-M-L85-C1</v>
          </cell>
        </row>
        <row r="775">
          <cell r="I775">
            <v>79.8997</v>
          </cell>
          <cell r="J775">
            <v>6.94939</v>
          </cell>
        </row>
        <row r="775">
          <cell r="AA775" t="str">
            <v>2T2R</v>
          </cell>
        </row>
        <row r="776">
          <cell r="E776" t="str">
            <v>ZKEL09</v>
          </cell>
        </row>
        <row r="776">
          <cell r="G776" t="str">
            <v>ZKEL09-M-L85-B1</v>
          </cell>
        </row>
        <row r="776">
          <cell r="I776">
            <v>79.8997</v>
          </cell>
          <cell r="J776">
            <v>6.94939</v>
          </cell>
        </row>
        <row r="776">
          <cell r="AA776" t="str">
            <v>2T2R</v>
          </cell>
        </row>
        <row r="777">
          <cell r="E777" t="str">
            <v>ZKEL09</v>
          </cell>
        </row>
        <row r="777">
          <cell r="G777" t="str">
            <v>ZKEL09-M-L85-A1</v>
          </cell>
        </row>
        <row r="777">
          <cell r="I777">
            <v>79.8997</v>
          </cell>
          <cell r="J777">
            <v>6.94939</v>
          </cell>
        </row>
        <row r="777">
          <cell r="AA777" t="str">
            <v>2T2R</v>
          </cell>
        </row>
        <row r="778">
          <cell r="E778" t="str">
            <v>ZKEL09</v>
          </cell>
        </row>
        <row r="778">
          <cell r="G778" t="str">
            <v>ZKEL09-M-L21-C2</v>
          </cell>
        </row>
        <row r="778">
          <cell r="I778">
            <v>79.8997</v>
          </cell>
          <cell r="J778">
            <v>6.94939</v>
          </cell>
        </row>
        <row r="778">
          <cell r="AA778" t="str">
            <v>2T2R</v>
          </cell>
        </row>
        <row r="779">
          <cell r="E779" t="str">
            <v>ZKEL09</v>
          </cell>
        </row>
        <row r="779">
          <cell r="G779" t="str">
            <v>ZKEL09-M-L21-A2</v>
          </cell>
        </row>
        <row r="779">
          <cell r="I779">
            <v>79.8997</v>
          </cell>
          <cell r="J779">
            <v>6.94939</v>
          </cell>
        </row>
        <row r="779">
          <cell r="AA779" t="str">
            <v>2T2R</v>
          </cell>
        </row>
        <row r="780">
          <cell r="E780" t="str">
            <v>ZWAT56</v>
          </cell>
        </row>
        <row r="780">
          <cell r="G780" t="str">
            <v>ZWAT56G</v>
          </cell>
        </row>
        <row r="780">
          <cell r="I780">
            <v>79.899722</v>
          </cell>
          <cell r="J780">
            <v>7.022222</v>
          </cell>
        </row>
        <row r="780">
          <cell r="AA780" t="str">
            <v>4T4R</v>
          </cell>
        </row>
        <row r="781">
          <cell r="E781" t="str">
            <v>ZWAT56</v>
          </cell>
        </row>
        <row r="781">
          <cell r="G781" t="str">
            <v>ZWAT56H</v>
          </cell>
        </row>
        <row r="781">
          <cell r="I781">
            <v>79.899722</v>
          </cell>
          <cell r="J781">
            <v>7.022222</v>
          </cell>
        </row>
        <row r="781">
          <cell r="AA781" t="str">
            <v>4T4R</v>
          </cell>
        </row>
        <row r="782">
          <cell r="E782" t="str">
            <v>ZWAT56</v>
          </cell>
        </row>
        <row r="782">
          <cell r="G782" t="str">
            <v>ZWAT56I</v>
          </cell>
        </row>
        <row r="782">
          <cell r="I782">
            <v>79.899722</v>
          </cell>
          <cell r="J782">
            <v>7.022222</v>
          </cell>
        </row>
        <row r="782">
          <cell r="AA782" t="str">
            <v>4T4R</v>
          </cell>
        </row>
        <row r="783">
          <cell r="E783" t="str">
            <v>GMRAD1</v>
          </cell>
        </row>
        <row r="783">
          <cell r="G783" t="str">
            <v>GMRAD1I</v>
          </cell>
        </row>
        <row r="783">
          <cell r="I783">
            <v>79.9</v>
          </cell>
          <cell r="J783">
            <v>7.1387</v>
          </cell>
        </row>
        <row r="783">
          <cell r="AA783" t="str">
            <v>2T2R</v>
          </cell>
        </row>
        <row r="784">
          <cell r="E784" t="str">
            <v>GMRAD1</v>
          </cell>
        </row>
        <row r="784">
          <cell r="G784" t="str">
            <v>GMRAD1H</v>
          </cell>
        </row>
        <row r="784">
          <cell r="I784">
            <v>79.9</v>
          </cell>
          <cell r="J784">
            <v>7.1387</v>
          </cell>
        </row>
        <row r="784">
          <cell r="AA784" t="str">
            <v>2T2R</v>
          </cell>
        </row>
        <row r="785">
          <cell r="E785" t="str">
            <v>GMRAD1</v>
          </cell>
        </row>
        <row r="785">
          <cell r="G785" t="str">
            <v>GMRAD1G</v>
          </cell>
        </row>
        <row r="785">
          <cell r="I785">
            <v>79.9</v>
          </cell>
          <cell r="J785">
            <v>7.1387</v>
          </cell>
        </row>
        <row r="785">
          <cell r="AA785" t="str">
            <v>4T4R</v>
          </cell>
        </row>
        <row r="786">
          <cell r="E786" t="str">
            <v>GMRAD1</v>
          </cell>
        </row>
        <row r="786">
          <cell r="G786" t="str">
            <v>GMRAD1-M-L85-C1</v>
          </cell>
        </row>
        <row r="786">
          <cell r="I786">
            <v>79.9</v>
          </cell>
          <cell r="J786">
            <v>7.1387</v>
          </cell>
        </row>
        <row r="786">
          <cell r="AA786" t="str">
            <v>2T2R</v>
          </cell>
        </row>
        <row r="787">
          <cell r="E787" t="str">
            <v>GMRAD1</v>
          </cell>
        </row>
        <row r="787">
          <cell r="G787" t="str">
            <v>GMRAD1-M-L85-B1</v>
          </cell>
        </row>
        <row r="787">
          <cell r="I787">
            <v>79.9</v>
          </cell>
          <cell r="J787">
            <v>7.1387</v>
          </cell>
        </row>
        <row r="787">
          <cell r="AA787" t="str">
            <v>2T2R</v>
          </cell>
        </row>
        <row r="788">
          <cell r="E788" t="str">
            <v>GMRAD1</v>
          </cell>
        </row>
        <row r="788">
          <cell r="G788" t="str">
            <v>GMRAD1-M-L85-A1</v>
          </cell>
        </row>
        <row r="788">
          <cell r="I788">
            <v>79.9</v>
          </cell>
          <cell r="J788">
            <v>7.1387</v>
          </cell>
        </row>
        <row r="788">
          <cell r="AA788" t="str">
            <v>2T2R</v>
          </cell>
        </row>
        <row r="789">
          <cell r="E789" t="str">
            <v>LGZ020</v>
          </cell>
        </row>
        <row r="789">
          <cell r="G789" t="str">
            <v>LGZ020I</v>
          </cell>
        </row>
        <row r="789">
          <cell r="I789">
            <v>79.90001</v>
          </cell>
          <cell r="J789">
            <v>7.024577</v>
          </cell>
        </row>
        <row r="789">
          <cell r="AA789" t="str">
            <v>2T2R</v>
          </cell>
        </row>
        <row r="790">
          <cell r="E790" t="str">
            <v>LGZ020</v>
          </cell>
        </row>
        <row r="790">
          <cell r="G790" t="str">
            <v>LGZ020H</v>
          </cell>
        </row>
        <row r="790">
          <cell r="I790">
            <v>79.90001</v>
          </cell>
          <cell r="J790">
            <v>7.024577</v>
          </cell>
        </row>
        <row r="790">
          <cell r="AA790" t="str">
            <v>2T2R</v>
          </cell>
        </row>
        <row r="791">
          <cell r="E791" t="str">
            <v>LGZ020</v>
          </cell>
        </row>
        <row r="791">
          <cell r="G791" t="str">
            <v>LGZ020G</v>
          </cell>
        </row>
        <row r="791">
          <cell r="I791">
            <v>79.90001</v>
          </cell>
          <cell r="J791">
            <v>7.024577</v>
          </cell>
        </row>
        <row r="791">
          <cell r="AA791" t="str">
            <v>2T2R</v>
          </cell>
        </row>
        <row r="792">
          <cell r="E792" t="str">
            <v>ZKEL26</v>
          </cell>
        </row>
        <row r="792">
          <cell r="G792" t="str">
            <v>ZKEL26I</v>
          </cell>
        </row>
        <row r="792">
          <cell r="I792">
            <v>79.9003</v>
          </cell>
          <cell r="J792">
            <v>6.963</v>
          </cell>
        </row>
        <row r="792">
          <cell r="AA792" t="str">
            <v>2T2R</v>
          </cell>
        </row>
        <row r="793">
          <cell r="E793" t="str">
            <v>ZKEL26</v>
          </cell>
        </row>
        <row r="793">
          <cell r="G793" t="str">
            <v>ZKEL26H</v>
          </cell>
        </row>
        <row r="793">
          <cell r="I793">
            <v>79.9003</v>
          </cell>
          <cell r="J793">
            <v>6.963</v>
          </cell>
        </row>
        <row r="793">
          <cell r="AA793" t="str">
            <v>2T2R</v>
          </cell>
        </row>
        <row r="794">
          <cell r="E794" t="str">
            <v>ZKEL26</v>
          </cell>
        </row>
        <row r="794">
          <cell r="G794" t="str">
            <v>ZKEL26G</v>
          </cell>
        </row>
        <row r="794">
          <cell r="I794">
            <v>79.9003</v>
          </cell>
          <cell r="J794">
            <v>6.963</v>
          </cell>
        </row>
        <row r="794">
          <cell r="AA794" t="str">
            <v>2T2R</v>
          </cell>
        </row>
        <row r="795">
          <cell r="E795" t="str">
            <v>ZWAT51</v>
          </cell>
        </row>
        <row r="795">
          <cell r="G795" t="str">
            <v>ZWAT51-M-L21-C2</v>
          </cell>
        </row>
        <row r="795">
          <cell r="I795">
            <v>79.9006261</v>
          </cell>
          <cell r="J795">
            <v>7.0199116</v>
          </cell>
        </row>
        <row r="795">
          <cell r="AA795" t="str">
            <v>2T2R</v>
          </cell>
        </row>
        <row r="796">
          <cell r="E796" t="str">
            <v>ZWAT51</v>
          </cell>
        </row>
        <row r="796">
          <cell r="G796" t="str">
            <v>ZWAT51-M-L21-B2</v>
          </cell>
        </row>
        <row r="796">
          <cell r="I796">
            <v>79.9006261</v>
          </cell>
          <cell r="J796">
            <v>7.0199116</v>
          </cell>
        </row>
        <row r="796">
          <cell r="AA796" t="str">
            <v>2T2R</v>
          </cell>
        </row>
        <row r="797">
          <cell r="E797" t="str">
            <v>ZWAT51</v>
          </cell>
        </row>
        <row r="797">
          <cell r="G797" t="str">
            <v>ZWAT51-M-L21-A2</v>
          </cell>
        </row>
        <row r="797">
          <cell r="I797">
            <v>79.9006261</v>
          </cell>
          <cell r="J797">
            <v>7.0199116</v>
          </cell>
        </row>
        <row r="797">
          <cell r="AA797" t="str">
            <v>2T2R</v>
          </cell>
        </row>
        <row r="798">
          <cell r="E798" t="str">
            <v>ZWAT51</v>
          </cell>
        </row>
        <row r="798">
          <cell r="G798" t="str">
            <v>ZWAT51G</v>
          </cell>
        </row>
        <row r="798">
          <cell r="I798">
            <v>79.9006261</v>
          </cell>
          <cell r="J798">
            <v>7.0199116</v>
          </cell>
        </row>
        <row r="798">
          <cell r="AA798" t="str">
            <v>2T2R</v>
          </cell>
        </row>
        <row r="799">
          <cell r="E799" t="str">
            <v>ZWAT51</v>
          </cell>
        </row>
        <row r="799">
          <cell r="G799" t="str">
            <v>ZWAT51H</v>
          </cell>
        </row>
        <row r="799">
          <cell r="I799">
            <v>79.9006261</v>
          </cell>
          <cell r="J799">
            <v>7.0199116</v>
          </cell>
        </row>
        <row r="799">
          <cell r="AA799" t="str">
            <v>2T2R</v>
          </cell>
        </row>
        <row r="800">
          <cell r="E800" t="str">
            <v>ZWAT51</v>
          </cell>
        </row>
        <row r="800">
          <cell r="G800" t="str">
            <v>ZWAT51I</v>
          </cell>
        </row>
        <row r="800">
          <cell r="I800">
            <v>79.9006261</v>
          </cell>
          <cell r="J800">
            <v>7.0199116</v>
          </cell>
        </row>
        <row r="800">
          <cell r="AA800" t="str">
            <v>2T2R</v>
          </cell>
        </row>
        <row r="801">
          <cell r="E801" t="str">
            <v>GMAND2</v>
          </cell>
        </row>
        <row r="801">
          <cell r="G801" t="str">
            <v>GMAND2I</v>
          </cell>
        </row>
        <row r="801">
          <cell r="I801">
            <v>79.901</v>
          </cell>
          <cell r="J801">
            <v>7.18575</v>
          </cell>
        </row>
        <row r="801">
          <cell r="AA801" t="str">
            <v>4T4R</v>
          </cell>
        </row>
        <row r="802">
          <cell r="E802" t="str">
            <v>GMAND2</v>
          </cell>
        </row>
        <row r="802">
          <cell r="G802" t="str">
            <v>GMAND2H</v>
          </cell>
        </row>
        <row r="802">
          <cell r="I802">
            <v>79.901</v>
          </cell>
          <cell r="J802">
            <v>7.18575</v>
          </cell>
        </row>
        <row r="802">
          <cell r="AA802" t="str">
            <v>4T4R</v>
          </cell>
        </row>
        <row r="803">
          <cell r="E803" t="str">
            <v>GMAND2</v>
          </cell>
        </row>
        <row r="803">
          <cell r="G803" t="str">
            <v>GMAND2G</v>
          </cell>
        </row>
        <row r="803">
          <cell r="I803">
            <v>79.901</v>
          </cell>
          <cell r="J803">
            <v>7.18575</v>
          </cell>
        </row>
        <row r="803">
          <cell r="AA803" t="str">
            <v>4T4R</v>
          </cell>
        </row>
        <row r="804">
          <cell r="E804" t="str">
            <v>GMEKA2</v>
          </cell>
        </row>
        <row r="804">
          <cell r="G804" t="str">
            <v>GMEKA2-M-L21-C2</v>
          </cell>
        </row>
        <row r="804">
          <cell r="I804">
            <v>79.901</v>
          </cell>
          <cell r="J804">
            <v>7.11702</v>
          </cell>
        </row>
        <row r="804">
          <cell r="AA804" t="str">
            <v>2T2R</v>
          </cell>
        </row>
        <row r="805">
          <cell r="E805" t="str">
            <v>GMEKA2</v>
          </cell>
        </row>
        <row r="805">
          <cell r="G805" t="str">
            <v>GMEKA2-M-L21-B2</v>
          </cell>
        </row>
        <row r="805">
          <cell r="I805">
            <v>79.901</v>
          </cell>
          <cell r="J805">
            <v>7.11702</v>
          </cell>
        </row>
        <row r="805">
          <cell r="AA805" t="str">
            <v>2T2R</v>
          </cell>
        </row>
        <row r="806">
          <cell r="E806" t="str">
            <v>GMEKA2</v>
          </cell>
        </row>
        <row r="806">
          <cell r="G806" t="str">
            <v>GMEKA2-M-L21-A2</v>
          </cell>
        </row>
        <row r="806">
          <cell r="I806">
            <v>79.901</v>
          </cell>
          <cell r="J806">
            <v>7.11702</v>
          </cell>
        </row>
        <row r="806">
          <cell r="AA806" t="str">
            <v>2T2R</v>
          </cell>
        </row>
        <row r="807">
          <cell r="E807" t="str">
            <v>GMEKA2</v>
          </cell>
        </row>
        <row r="807">
          <cell r="G807" t="str">
            <v>GMEKA2-M-L85-C1</v>
          </cell>
        </row>
        <row r="807">
          <cell r="I807">
            <v>79.901</v>
          </cell>
          <cell r="J807">
            <v>7.11702</v>
          </cell>
        </row>
        <row r="807">
          <cell r="AA807" t="str">
            <v>2T2R</v>
          </cell>
        </row>
        <row r="808">
          <cell r="E808" t="str">
            <v>GMEKA2</v>
          </cell>
        </row>
        <row r="808">
          <cell r="G808" t="str">
            <v>GMEKA2-M-L85-B1</v>
          </cell>
        </row>
        <row r="808">
          <cell r="I808">
            <v>79.901</v>
          </cell>
          <cell r="J808">
            <v>7.11702</v>
          </cell>
        </row>
        <row r="808">
          <cell r="AA808" t="str">
            <v>2T2R</v>
          </cell>
        </row>
        <row r="809">
          <cell r="E809" t="str">
            <v>GMEKA2</v>
          </cell>
        </row>
        <row r="809">
          <cell r="G809" t="str">
            <v>GMEKA2-M-L85-A1</v>
          </cell>
        </row>
        <row r="809">
          <cell r="I809">
            <v>79.901</v>
          </cell>
          <cell r="J809">
            <v>7.11702</v>
          </cell>
        </row>
        <row r="809">
          <cell r="AA809" t="str">
            <v>2T2R</v>
          </cell>
        </row>
        <row r="810">
          <cell r="E810" t="str">
            <v>GMEKA2</v>
          </cell>
        </row>
        <row r="810">
          <cell r="G810" t="str">
            <v>GMEKA2I</v>
          </cell>
        </row>
        <row r="810">
          <cell r="I810">
            <v>79.901</v>
          </cell>
          <cell r="J810">
            <v>7.11702</v>
          </cell>
        </row>
        <row r="810">
          <cell r="AA810" t="str">
            <v>4T4R</v>
          </cell>
        </row>
        <row r="811">
          <cell r="E811" t="str">
            <v>GMEKA2</v>
          </cell>
        </row>
        <row r="811">
          <cell r="G811" t="str">
            <v>GMEKA2H</v>
          </cell>
        </row>
        <row r="811">
          <cell r="I811">
            <v>79.901</v>
          </cell>
          <cell r="J811">
            <v>7.11702</v>
          </cell>
        </row>
        <row r="811">
          <cell r="AA811" t="str">
            <v>4T4R</v>
          </cell>
        </row>
        <row r="812">
          <cell r="E812" t="str">
            <v>GMEKA2</v>
          </cell>
        </row>
        <row r="812">
          <cell r="G812" t="str">
            <v>GMEKA2G</v>
          </cell>
        </row>
        <row r="812">
          <cell r="I812">
            <v>79.901</v>
          </cell>
          <cell r="J812">
            <v>7.11702</v>
          </cell>
        </row>
        <row r="812">
          <cell r="AA812" t="str">
            <v>4T4R</v>
          </cell>
        </row>
        <row r="813">
          <cell r="E813" t="str">
            <v>GMAND2</v>
          </cell>
        </row>
        <row r="813">
          <cell r="G813" t="str">
            <v>GMAND2-M-L21-C2</v>
          </cell>
        </row>
        <row r="813">
          <cell r="I813">
            <v>79.901</v>
          </cell>
          <cell r="J813">
            <v>7.18575</v>
          </cell>
        </row>
        <row r="813">
          <cell r="AA813" t="str">
            <v>2T2R</v>
          </cell>
        </row>
        <row r="814">
          <cell r="E814" t="str">
            <v>GMAND2</v>
          </cell>
        </row>
        <row r="814">
          <cell r="G814" t="str">
            <v>GMAND2-M-L21-A2</v>
          </cell>
        </row>
        <row r="814">
          <cell r="I814">
            <v>79.901</v>
          </cell>
          <cell r="J814">
            <v>7.18575</v>
          </cell>
        </row>
        <row r="814">
          <cell r="AA814" t="str">
            <v>2T2R</v>
          </cell>
        </row>
        <row r="815">
          <cell r="E815" t="str">
            <v>GMAND2</v>
          </cell>
        </row>
        <row r="815">
          <cell r="G815" t="str">
            <v>GMAND2-M-L21-B2</v>
          </cell>
        </row>
        <row r="815">
          <cell r="I815">
            <v>79.901</v>
          </cell>
          <cell r="J815">
            <v>7.18575</v>
          </cell>
        </row>
        <row r="815">
          <cell r="AA815" t="str">
            <v>2T2R</v>
          </cell>
        </row>
        <row r="816">
          <cell r="E816" t="str">
            <v>ZJAL24</v>
          </cell>
        </row>
        <row r="816">
          <cell r="G816" t="str">
            <v>ZJAL24I</v>
          </cell>
        </row>
        <row r="816">
          <cell r="I816">
            <v>79.9016</v>
          </cell>
          <cell r="J816">
            <v>7.04855</v>
          </cell>
        </row>
        <row r="816">
          <cell r="AA816" t="str">
            <v>2T2R</v>
          </cell>
        </row>
        <row r="817">
          <cell r="E817" t="str">
            <v>ZJAL24</v>
          </cell>
        </row>
        <row r="817">
          <cell r="G817" t="str">
            <v>ZJAL24H</v>
          </cell>
        </row>
        <row r="817">
          <cell r="I817">
            <v>79.9016</v>
          </cell>
          <cell r="J817">
            <v>7.04855</v>
          </cell>
        </row>
        <row r="817">
          <cell r="AA817" t="str">
            <v>2T2R</v>
          </cell>
        </row>
        <row r="818">
          <cell r="E818" t="str">
            <v>ZJAL24</v>
          </cell>
        </row>
        <row r="818">
          <cell r="G818" t="str">
            <v>ZJAL24G</v>
          </cell>
        </row>
        <row r="818">
          <cell r="I818">
            <v>79.9016</v>
          </cell>
          <cell r="J818">
            <v>7.04855</v>
          </cell>
        </row>
        <row r="818">
          <cell r="AA818" t="str">
            <v>2T2R</v>
          </cell>
        </row>
        <row r="819">
          <cell r="E819" t="str">
            <v>ZWAT03</v>
          </cell>
        </row>
        <row r="819">
          <cell r="G819" t="str">
            <v>ZWAT03-M-L18-B1</v>
          </cell>
        </row>
        <row r="819">
          <cell r="I819">
            <v>79.9019</v>
          </cell>
          <cell r="J819">
            <v>6.98689</v>
          </cell>
        </row>
        <row r="819">
          <cell r="AA819" t="str">
            <v>2T2R</v>
          </cell>
        </row>
        <row r="820">
          <cell r="E820" t="str">
            <v>ZWAT03</v>
          </cell>
        </row>
        <row r="820">
          <cell r="G820" t="str">
            <v>ZWAT03-M-L18-G1</v>
          </cell>
        </row>
        <row r="820">
          <cell r="I820">
            <v>79.9019</v>
          </cell>
          <cell r="J820">
            <v>6.98689</v>
          </cell>
        </row>
        <row r="820">
          <cell r="AA820" t="str">
            <v>2T2R</v>
          </cell>
        </row>
        <row r="821">
          <cell r="E821" t="str">
            <v>ZWAT03</v>
          </cell>
        </row>
        <row r="821">
          <cell r="G821" t="str">
            <v>ZWAT03-M-L21-C2</v>
          </cell>
        </row>
        <row r="821">
          <cell r="I821">
            <v>79.9019</v>
          </cell>
          <cell r="J821">
            <v>6.98689</v>
          </cell>
        </row>
        <row r="821">
          <cell r="AA821" t="str">
            <v>2T2R</v>
          </cell>
        </row>
        <row r="822">
          <cell r="E822" t="str">
            <v>ZWAT03</v>
          </cell>
        </row>
        <row r="822">
          <cell r="G822" t="str">
            <v>ZWAT03-M-L23-C1</v>
          </cell>
        </row>
        <row r="822">
          <cell r="I822">
            <v>79.9019</v>
          </cell>
          <cell r="J822">
            <v>6.98689</v>
          </cell>
        </row>
        <row r="822">
          <cell r="AA822" t="str">
            <v>2T2R</v>
          </cell>
        </row>
        <row r="823">
          <cell r="E823" t="str">
            <v>ZWAT03</v>
          </cell>
        </row>
        <row r="823">
          <cell r="G823" t="str">
            <v>ZWAT03-M-L23-B1</v>
          </cell>
        </row>
        <row r="823">
          <cell r="I823">
            <v>79.9019</v>
          </cell>
          <cell r="J823">
            <v>6.98689</v>
          </cell>
        </row>
        <row r="823">
          <cell r="AA823" t="str">
            <v>2T2R</v>
          </cell>
        </row>
        <row r="824">
          <cell r="E824" t="str">
            <v>ZWAT03</v>
          </cell>
        </row>
        <row r="824">
          <cell r="G824" t="str">
            <v>ZWAT03-M-L23-A1</v>
          </cell>
        </row>
        <row r="824">
          <cell r="I824">
            <v>79.9019</v>
          </cell>
          <cell r="J824">
            <v>6.98689</v>
          </cell>
        </row>
        <row r="824">
          <cell r="AA824" t="str">
            <v>2T2R</v>
          </cell>
        </row>
        <row r="825">
          <cell r="E825" t="str">
            <v>ZWAT03</v>
          </cell>
        </row>
        <row r="825">
          <cell r="G825" t="str">
            <v>ZWAT03G</v>
          </cell>
        </row>
        <row r="825">
          <cell r="I825">
            <v>79.9019</v>
          </cell>
          <cell r="J825">
            <v>6.98689</v>
          </cell>
        </row>
        <row r="825">
          <cell r="AA825" t="str">
            <v>2T2R</v>
          </cell>
        </row>
        <row r="826">
          <cell r="E826" t="str">
            <v>ZWAT03</v>
          </cell>
        </row>
        <row r="826">
          <cell r="G826" t="str">
            <v>ZWAT03H</v>
          </cell>
        </row>
        <row r="826">
          <cell r="I826">
            <v>79.9019</v>
          </cell>
          <cell r="J826">
            <v>6.98689</v>
          </cell>
        </row>
        <row r="826">
          <cell r="AA826" t="str">
            <v>2T2R</v>
          </cell>
        </row>
        <row r="827">
          <cell r="E827" t="str">
            <v>ZWAT03</v>
          </cell>
        </row>
        <row r="827">
          <cell r="G827" t="str">
            <v>ZWAT03I</v>
          </cell>
        </row>
        <row r="827">
          <cell r="I827">
            <v>79.9019</v>
          </cell>
          <cell r="J827">
            <v>6.98689</v>
          </cell>
        </row>
        <row r="827">
          <cell r="AA827" t="str">
            <v>4T4R</v>
          </cell>
        </row>
        <row r="828">
          <cell r="E828" t="str">
            <v>ZWAT03</v>
          </cell>
        </row>
        <row r="828">
          <cell r="G828" t="str">
            <v>ZWAT03-M-L85-C1</v>
          </cell>
        </row>
        <row r="828">
          <cell r="I828">
            <v>79.9019</v>
          </cell>
          <cell r="J828">
            <v>6.98689</v>
          </cell>
        </row>
        <row r="828">
          <cell r="AA828" t="str">
            <v>2T2R</v>
          </cell>
        </row>
        <row r="829">
          <cell r="E829" t="str">
            <v>ZWAT03</v>
          </cell>
        </row>
        <row r="829">
          <cell r="G829" t="str">
            <v>ZWAT03-M-L85-B1</v>
          </cell>
        </row>
        <row r="829">
          <cell r="I829">
            <v>79.9019</v>
          </cell>
          <cell r="J829">
            <v>6.98689</v>
          </cell>
        </row>
        <row r="829">
          <cell r="AA829" t="str">
            <v>2T2R</v>
          </cell>
        </row>
        <row r="830">
          <cell r="E830" t="str">
            <v>ZWAT03</v>
          </cell>
        </row>
        <row r="830">
          <cell r="G830" t="str">
            <v>ZWAT03-M-L85-A1</v>
          </cell>
        </row>
        <row r="830">
          <cell r="I830">
            <v>79.9019</v>
          </cell>
          <cell r="J830">
            <v>6.98689</v>
          </cell>
        </row>
        <row r="830">
          <cell r="AA830" t="str">
            <v>2T2R</v>
          </cell>
        </row>
        <row r="831">
          <cell r="E831" t="str">
            <v>ZWAT42</v>
          </cell>
        </row>
        <row r="831">
          <cell r="G831" t="str">
            <v>ZWAT42I</v>
          </cell>
        </row>
        <row r="831">
          <cell r="I831">
            <v>79.901944</v>
          </cell>
          <cell r="J831">
            <v>7.018333</v>
          </cell>
        </row>
        <row r="831">
          <cell r="AA831" t="str">
            <v>4T4R</v>
          </cell>
        </row>
        <row r="832">
          <cell r="E832" t="str">
            <v>ZWAT42</v>
          </cell>
        </row>
        <row r="832">
          <cell r="G832" t="str">
            <v>ZWAT42H</v>
          </cell>
        </row>
        <row r="832">
          <cell r="I832">
            <v>79.901944</v>
          </cell>
          <cell r="J832">
            <v>7.018333</v>
          </cell>
        </row>
        <row r="832">
          <cell r="AA832" t="str">
            <v>4T4R</v>
          </cell>
        </row>
        <row r="833">
          <cell r="E833" t="str">
            <v>ZWAT42</v>
          </cell>
        </row>
        <row r="833">
          <cell r="G833" t="str">
            <v>ZWAT42G</v>
          </cell>
        </row>
        <row r="833">
          <cell r="I833">
            <v>79.901944</v>
          </cell>
          <cell r="J833">
            <v>7.018333</v>
          </cell>
        </row>
        <row r="833">
          <cell r="AA833" t="str">
            <v>4T4R</v>
          </cell>
        </row>
        <row r="834">
          <cell r="E834" t="str">
            <v>GMKOW1</v>
          </cell>
        </row>
        <row r="834">
          <cell r="G834" t="str">
            <v>GMKOW1I</v>
          </cell>
        </row>
        <row r="834">
          <cell r="I834">
            <v>79.9034</v>
          </cell>
          <cell r="J834">
            <v>7.17632</v>
          </cell>
        </row>
        <row r="834">
          <cell r="AA834" t="str">
            <v>4T4R</v>
          </cell>
        </row>
        <row r="835">
          <cell r="E835" t="str">
            <v>GMKOW1</v>
          </cell>
        </row>
        <row r="835">
          <cell r="G835" t="str">
            <v>GMKOW1H</v>
          </cell>
        </row>
        <row r="835">
          <cell r="I835">
            <v>79.9034</v>
          </cell>
          <cell r="J835">
            <v>7.17632</v>
          </cell>
        </row>
        <row r="835">
          <cell r="AA835" t="str">
            <v>4T4R</v>
          </cell>
        </row>
        <row r="836">
          <cell r="E836" t="str">
            <v>GMKOW1</v>
          </cell>
        </row>
        <row r="836">
          <cell r="G836" t="str">
            <v>GMKOW1G</v>
          </cell>
        </row>
        <row r="836">
          <cell r="I836">
            <v>79.9034</v>
          </cell>
          <cell r="J836">
            <v>7.17632</v>
          </cell>
        </row>
        <row r="836">
          <cell r="AA836" t="str">
            <v>4T4R</v>
          </cell>
        </row>
        <row r="837">
          <cell r="E837" t="str">
            <v>GMKOW1</v>
          </cell>
        </row>
        <row r="837">
          <cell r="G837" t="str">
            <v>GMKOW1-M-L21-C2</v>
          </cell>
        </row>
        <row r="837">
          <cell r="I837">
            <v>79.9034</v>
          </cell>
          <cell r="J837">
            <v>7.17632</v>
          </cell>
        </row>
        <row r="837">
          <cell r="AA837" t="str">
            <v>2T2R</v>
          </cell>
        </row>
        <row r="838">
          <cell r="E838" t="str">
            <v>GMKOW1</v>
          </cell>
        </row>
        <row r="838">
          <cell r="G838" t="str">
            <v>GMKOW1-M-L21-B2</v>
          </cell>
        </row>
        <row r="838">
          <cell r="I838">
            <v>79.9034</v>
          </cell>
          <cell r="J838">
            <v>7.17632</v>
          </cell>
        </row>
        <row r="838">
          <cell r="AA838" t="str">
            <v>2T2R</v>
          </cell>
        </row>
        <row r="839">
          <cell r="E839" t="str">
            <v>GMKOW1</v>
          </cell>
        </row>
        <row r="839">
          <cell r="G839" t="str">
            <v>GMKOW1-M-L21-A2</v>
          </cell>
        </row>
        <row r="839">
          <cell r="I839">
            <v>79.9034</v>
          </cell>
          <cell r="J839">
            <v>7.17632</v>
          </cell>
        </row>
        <row r="839">
          <cell r="AA839" t="str">
            <v>2T2R</v>
          </cell>
        </row>
        <row r="840">
          <cell r="E840" t="str">
            <v>ZKEL13</v>
          </cell>
        </row>
        <row r="840">
          <cell r="G840" t="str">
            <v>ZKEL13I</v>
          </cell>
        </row>
        <row r="840">
          <cell r="I840">
            <v>79.9037</v>
          </cell>
          <cell r="J840">
            <v>6.9682</v>
          </cell>
        </row>
        <row r="840">
          <cell r="AA840" t="str">
            <v>2T2R</v>
          </cell>
        </row>
        <row r="841">
          <cell r="E841" t="str">
            <v>ZKEL13</v>
          </cell>
        </row>
        <row r="841">
          <cell r="G841" t="str">
            <v>ZKEL13H</v>
          </cell>
        </row>
        <row r="841">
          <cell r="I841">
            <v>79.9037</v>
          </cell>
          <cell r="J841">
            <v>6.9682</v>
          </cell>
        </row>
        <row r="841">
          <cell r="AA841" t="str">
            <v>2T2R</v>
          </cell>
        </row>
        <row r="842">
          <cell r="E842" t="str">
            <v>ZKEL13</v>
          </cell>
        </row>
        <row r="842">
          <cell r="G842" t="str">
            <v>ZKEL13G</v>
          </cell>
        </row>
        <row r="842">
          <cell r="I842">
            <v>79.9037</v>
          </cell>
          <cell r="J842">
            <v>6.9682</v>
          </cell>
        </row>
        <row r="842">
          <cell r="AA842" t="str">
            <v>2T2R</v>
          </cell>
        </row>
        <row r="843">
          <cell r="E843" t="str">
            <v>ZKEL13</v>
          </cell>
        </row>
        <row r="843">
          <cell r="G843" t="str">
            <v>ZKEL13-M-L21-C2</v>
          </cell>
        </row>
        <row r="843">
          <cell r="I843">
            <v>79.9037</v>
          </cell>
          <cell r="J843">
            <v>6.9682</v>
          </cell>
        </row>
        <row r="843">
          <cell r="AA843" t="str">
            <v>2T2R</v>
          </cell>
        </row>
        <row r="844">
          <cell r="E844" t="str">
            <v>ZKEL13</v>
          </cell>
        </row>
        <row r="844">
          <cell r="G844" t="str">
            <v>ZKEL13-M-L21-B2</v>
          </cell>
        </row>
        <row r="844">
          <cell r="I844">
            <v>79.9037</v>
          </cell>
          <cell r="J844">
            <v>6.9682</v>
          </cell>
        </row>
        <row r="844">
          <cell r="AA844" t="str">
            <v>2T2R</v>
          </cell>
        </row>
        <row r="845">
          <cell r="E845" t="str">
            <v>ZKEL13</v>
          </cell>
        </row>
        <row r="845">
          <cell r="G845" t="str">
            <v>ZKEL13-M-L21-A2</v>
          </cell>
        </row>
        <row r="845">
          <cell r="I845">
            <v>79.9037</v>
          </cell>
          <cell r="J845">
            <v>6.9682</v>
          </cell>
        </row>
        <row r="845">
          <cell r="AA845" t="str">
            <v>2T2R</v>
          </cell>
        </row>
        <row r="846">
          <cell r="E846" t="str">
            <v>LGZ021</v>
          </cell>
        </row>
        <row r="846">
          <cell r="G846" t="str">
            <v>LGZ021I</v>
          </cell>
        </row>
        <row r="846">
          <cell r="I846">
            <v>79.90462</v>
          </cell>
          <cell r="J846">
            <v>7.013715</v>
          </cell>
        </row>
        <row r="846">
          <cell r="AA846" t="str">
            <v>2T2R</v>
          </cell>
        </row>
        <row r="847">
          <cell r="E847" t="str">
            <v>LGZ021</v>
          </cell>
        </row>
        <row r="847">
          <cell r="G847" t="str">
            <v>LGZ021H</v>
          </cell>
        </row>
        <row r="847">
          <cell r="I847">
            <v>79.90462</v>
          </cell>
          <cell r="J847">
            <v>7.013715</v>
          </cell>
        </row>
        <row r="847">
          <cell r="AA847" t="str">
            <v>2T2R</v>
          </cell>
        </row>
        <row r="848">
          <cell r="E848" t="str">
            <v>LGZ021</v>
          </cell>
        </row>
        <row r="848">
          <cell r="G848" t="str">
            <v>LGZ021G</v>
          </cell>
        </row>
        <row r="848">
          <cell r="I848">
            <v>79.90462</v>
          </cell>
          <cell r="J848">
            <v>7.013715</v>
          </cell>
        </row>
        <row r="848">
          <cell r="AA848" t="str">
            <v>2T2R</v>
          </cell>
        </row>
        <row r="849">
          <cell r="E849" t="str">
            <v>ZKEL12</v>
          </cell>
        </row>
        <row r="849">
          <cell r="G849" t="str">
            <v>ZKEL12G</v>
          </cell>
        </row>
        <row r="849">
          <cell r="I849">
            <v>79.905</v>
          </cell>
          <cell r="J849">
            <v>6.95647</v>
          </cell>
        </row>
        <row r="849">
          <cell r="AA849" t="str">
            <v>4T4R</v>
          </cell>
        </row>
        <row r="850">
          <cell r="E850" t="str">
            <v>ZKEL12</v>
          </cell>
        </row>
        <row r="850">
          <cell r="G850" t="str">
            <v>ZKEL12H</v>
          </cell>
        </row>
        <row r="850">
          <cell r="I850">
            <v>79.905</v>
          </cell>
          <cell r="J850">
            <v>6.95647</v>
          </cell>
        </row>
        <row r="850">
          <cell r="AA850" t="str">
            <v>2T2R</v>
          </cell>
        </row>
        <row r="851">
          <cell r="E851" t="str">
            <v>ZKEL12</v>
          </cell>
        </row>
        <row r="851">
          <cell r="G851" t="str">
            <v>ZKEL12I</v>
          </cell>
        </row>
        <row r="851">
          <cell r="I851">
            <v>79.905</v>
          </cell>
          <cell r="J851">
            <v>6.95647</v>
          </cell>
        </row>
        <row r="851">
          <cell r="AA851" t="str">
            <v>2T2R</v>
          </cell>
        </row>
        <row r="852">
          <cell r="E852" t="str">
            <v>ZKEL12</v>
          </cell>
        </row>
        <row r="852">
          <cell r="G852" t="str">
            <v>ZKEL12-M-L21-B2</v>
          </cell>
        </row>
        <row r="852">
          <cell r="I852">
            <v>79.905</v>
          </cell>
          <cell r="J852">
            <v>6.95647</v>
          </cell>
        </row>
        <row r="852">
          <cell r="AA852" t="str">
            <v>2T2R</v>
          </cell>
        </row>
        <row r="853">
          <cell r="E853" t="str">
            <v>ZKEL12</v>
          </cell>
        </row>
        <row r="853">
          <cell r="G853" t="str">
            <v>ZKEL12-M-L21-A2</v>
          </cell>
        </row>
        <row r="853">
          <cell r="I853">
            <v>79.905</v>
          </cell>
          <cell r="J853">
            <v>6.95647</v>
          </cell>
        </row>
        <row r="853">
          <cell r="AA853" t="str">
            <v>2T2R</v>
          </cell>
        </row>
        <row r="854">
          <cell r="E854" t="str">
            <v>ZKEL12</v>
          </cell>
        </row>
        <row r="854">
          <cell r="G854" t="str">
            <v>ZKEL12-M-L85-C1</v>
          </cell>
        </row>
        <row r="854">
          <cell r="I854">
            <v>79.905</v>
          </cell>
          <cell r="J854">
            <v>6.95647</v>
          </cell>
        </row>
        <row r="854">
          <cell r="AA854" t="str">
            <v>2T2R</v>
          </cell>
        </row>
        <row r="855">
          <cell r="E855" t="str">
            <v>ZKEL12</v>
          </cell>
        </row>
        <row r="855">
          <cell r="G855" t="str">
            <v>ZKEL12-M-L85-B1</v>
          </cell>
        </row>
        <row r="855">
          <cell r="I855">
            <v>79.905</v>
          </cell>
          <cell r="J855">
            <v>6.95647</v>
          </cell>
        </row>
        <row r="855">
          <cell r="AA855" t="str">
            <v>2T2R</v>
          </cell>
        </row>
        <row r="856">
          <cell r="E856" t="str">
            <v>ZKEL12</v>
          </cell>
        </row>
        <row r="856">
          <cell r="G856" t="str">
            <v>ZKEL12-M-L85-A1</v>
          </cell>
        </row>
        <row r="856">
          <cell r="I856">
            <v>79.905</v>
          </cell>
          <cell r="J856">
            <v>6.95647</v>
          </cell>
        </row>
        <row r="856">
          <cell r="AA856" t="str">
            <v>2T2R</v>
          </cell>
        </row>
        <row r="857">
          <cell r="E857" t="str">
            <v>ZKEL12</v>
          </cell>
        </row>
        <row r="857">
          <cell r="G857" t="str">
            <v>ZKEL12-M-L18-B1</v>
          </cell>
        </row>
        <row r="857">
          <cell r="I857">
            <v>79.905</v>
          </cell>
          <cell r="J857">
            <v>6.95647</v>
          </cell>
        </row>
        <row r="857">
          <cell r="AA857" t="str">
            <v>2T2R</v>
          </cell>
        </row>
        <row r="858">
          <cell r="E858" t="str">
            <v>ZKEL12</v>
          </cell>
        </row>
        <row r="858">
          <cell r="G858" t="str">
            <v>ZKEL12-M-L21-C2</v>
          </cell>
        </row>
        <row r="858">
          <cell r="I858">
            <v>79.905</v>
          </cell>
          <cell r="J858">
            <v>6.95647</v>
          </cell>
        </row>
        <row r="858">
          <cell r="AA858" t="str">
            <v>2T2R</v>
          </cell>
        </row>
        <row r="859">
          <cell r="E859" t="str">
            <v>GMRAD3</v>
          </cell>
        </row>
        <row r="859">
          <cell r="G859" t="str">
            <v>GMRAD3I</v>
          </cell>
        </row>
        <row r="859">
          <cell r="I859">
            <v>79.905</v>
          </cell>
          <cell r="J859">
            <v>7.144167</v>
          </cell>
        </row>
        <row r="859">
          <cell r="AA859" t="str">
            <v>2T2R</v>
          </cell>
        </row>
        <row r="860">
          <cell r="E860" t="str">
            <v>GMRAD3</v>
          </cell>
        </row>
        <row r="860">
          <cell r="G860" t="str">
            <v>GMRAD3H</v>
          </cell>
        </row>
        <row r="860">
          <cell r="I860">
            <v>79.905</v>
          </cell>
          <cell r="J860">
            <v>7.144167</v>
          </cell>
        </row>
        <row r="860">
          <cell r="AA860" t="str">
            <v>2T2R</v>
          </cell>
        </row>
        <row r="861">
          <cell r="E861" t="str">
            <v>GMRAD3</v>
          </cell>
        </row>
        <row r="861">
          <cell r="G861" t="str">
            <v>GMRAD3G</v>
          </cell>
        </row>
        <row r="861">
          <cell r="I861">
            <v>79.905</v>
          </cell>
          <cell r="J861">
            <v>7.144167</v>
          </cell>
        </row>
        <row r="861">
          <cell r="AA861" t="str">
            <v>2T2R</v>
          </cell>
        </row>
        <row r="862">
          <cell r="E862" t="str">
            <v>GMKTA1</v>
          </cell>
        </row>
        <row r="862">
          <cell r="G862" t="str">
            <v>GMKTA1-M-L85-C1</v>
          </cell>
        </row>
        <row r="862">
          <cell r="I862">
            <v>79.9052</v>
          </cell>
          <cell r="J862">
            <v>7.25116</v>
          </cell>
        </row>
        <row r="862">
          <cell r="AA862" t="str">
            <v>2T2R</v>
          </cell>
        </row>
        <row r="863">
          <cell r="E863" t="str">
            <v>GMKTA1</v>
          </cell>
        </row>
        <row r="863">
          <cell r="G863" t="str">
            <v>GMKTA1-M-L85-B1</v>
          </cell>
        </row>
        <row r="863">
          <cell r="I863">
            <v>79.9052</v>
          </cell>
          <cell r="J863">
            <v>7.25116</v>
          </cell>
        </row>
        <row r="863">
          <cell r="AA863" t="str">
            <v>2T2R</v>
          </cell>
        </row>
        <row r="864">
          <cell r="E864" t="str">
            <v>GMKTA1</v>
          </cell>
        </row>
        <row r="864">
          <cell r="G864" t="str">
            <v>GMKTA1-M-L85-A1</v>
          </cell>
        </row>
        <row r="864">
          <cell r="I864">
            <v>79.9052</v>
          </cell>
          <cell r="J864">
            <v>7.25116</v>
          </cell>
        </row>
        <row r="864">
          <cell r="AA864" t="str">
            <v>2T2R</v>
          </cell>
        </row>
        <row r="865">
          <cell r="E865" t="str">
            <v>GMKTA1</v>
          </cell>
        </row>
        <row r="865">
          <cell r="G865" t="str">
            <v>GMKTA1I</v>
          </cell>
        </row>
        <row r="865">
          <cell r="I865">
            <v>79.9052</v>
          </cell>
          <cell r="J865">
            <v>7.25116</v>
          </cell>
        </row>
        <row r="865">
          <cell r="AA865" t="str">
            <v>2T2R</v>
          </cell>
        </row>
        <row r="866">
          <cell r="E866" t="str">
            <v>GMKTA1</v>
          </cell>
        </row>
        <row r="866">
          <cell r="G866" t="str">
            <v>GMKTA1H</v>
          </cell>
        </row>
        <row r="866">
          <cell r="I866">
            <v>79.9052</v>
          </cell>
          <cell r="J866">
            <v>7.25116</v>
          </cell>
        </row>
        <row r="866">
          <cell r="AA866" t="str">
            <v>2T2R</v>
          </cell>
        </row>
        <row r="867">
          <cell r="E867" t="str">
            <v>GMKTA1</v>
          </cell>
        </row>
        <row r="867">
          <cell r="G867" t="str">
            <v>GMKTA1G</v>
          </cell>
        </row>
        <row r="867">
          <cell r="I867">
            <v>79.9052</v>
          </cell>
          <cell r="J867">
            <v>7.25116</v>
          </cell>
        </row>
        <row r="867">
          <cell r="AA867" t="str">
            <v>2T2R</v>
          </cell>
        </row>
        <row r="868">
          <cell r="E868" t="str">
            <v>GMEKA4</v>
          </cell>
        </row>
        <row r="868">
          <cell r="G868" t="str">
            <v>GMEKA4-M-L85-C1</v>
          </cell>
        </row>
        <row r="868">
          <cell r="I868">
            <v>79.9055</v>
          </cell>
          <cell r="J868">
            <v>7.1139</v>
          </cell>
        </row>
        <row r="868">
          <cell r="AA868" t="str">
            <v>2T2R</v>
          </cell>
        </row>
        <row r="869">
          <cell r="E869" t="str">
            <v>GMEKA4</v>
          </cell>
        </row>
        <row r="869">
          <cell r="G869" t="str">
            <v>GMEKA4-M-L85-B1</v>
          </cell>
        </row>
        <row r="869">
          <cell r="I869">
            <v>79.9055</v>
          </cell>
          <cell r="J869">
            <v>7.1139</v>
          </cell>
        </row>
        <row r="869">
          <cell r="AA869" t="str">
            <v>2T2R</v>
          </cell>
        </row>
        <row r="870">
          <cell r="E870" t="str">
            <v>GMEKA4</v>
          </cell>
        </row>
        <row r="870">
          <cell r="G870" t="str">
            <v>GMEKA4-M-L85-A1</v>
          </cell>
        </row>
        <row r="870">
          <cell r="I870">
            <v>79.9055</v>
          </cell>
          <cell r="J870">
            <v>7.1139</v>
          </cell>
        </row>
        <row r="870">
          <cell r="AA870" t="str">
            <v>2T2R</v>
          </cell>
        </row>
        <row r="871">
          <cell r="E871" t="str">
            <v>GMEKA4</v>
          </cell>
        </row>
        <row r="871">
          <cell r="G871" t="str">
            <v>GMEKA4-M-L21-C2</v>
          </cell>
        </row>
        <row r="871">
          <cell r="I871">
            <v>79.9055</v>
          </cell>
          <cell r="J871">
            <v>7.1139</v>
          </cell>
        </row>
        <row r="871">
          <cell r="AA871" t="str">
            <v>2T2R</v>
          </cell>
        </row>
        <row r="872">
          <cell r="E872" t="str">
            <v>GMEKA4</v>
          </cell>
        </row>
        <row r="872">
          <cell r="G872" t="str">
            <v>GMEKA4-M-L21-B2</v>
          </cell>
        </row>
        <row r="872">
          <cell r="I872">
            <v>79.9055</v>
          </cell>
          <cell r="J872">
            <v>7.1139</v>
          </cell>
        </row>
        <row r="872">
          <cell r="AA872" t="str">
            <v>2T2R</v>
          </cell>
        </row>
        <row r="873">
          <cell r="E873" t="str">
            <v>GMEKA4</v>
          </cell>
        </row>
        <row r="873">
          <cell r="G873" t="str">
            <v>GMEKA4-M-L21-A2</v>
          </cell>
        </row>
        <row r="873">
          <cell r="I873">
            <v>79.9055</v>
          </cell>
          <cell r="J873">
            <v>7.1139</v>
          </cell>
        </row>
        <row r="873">
          <cell r="AA873" t="str">
            <v>2T2R</v>
          </cell>
        </row>
        <row r="874">
          <cell r="E874" t="str">
            <v>GMEKA4</v>
          </cell>
        </row>
        <row r="874">
          <cell r="G874" t="str">
            <v>GMEKA4G</v>
          </cell>
        </row>
        <row r="874">
          <cell r="I874">
            <v>79.9055</v>
          </cell>
          <cell r="J874">
            <v>7.1139</v>
          </cell>
        </row>
        <row r="874">
          <cell r="AA874" t="str">
            <v>4T4R</v>
          </cell>
        </row>
        <row r="875">
          <cell r="E875" t="str">
            <v>GMEKA4</v>
          </cell>
        </row>
        <row r="875">
          <cell r="G875" t="str">
            <v>GMEKA4H</v>
          </cell>
        </row>
        <row r="875">
          <cell r="I875">
            <v>79.9055</v>
          </cell>
          <cell r="J875">
            <v>7.1139</v>
          </cell>
        </row>
        <row r="875">
          <cell r="AA875" t="str">
            <v>4T4R</v>
          </cell>
        </row>
        <row r="876">
          <cell r="E876" t="str">
            <v>GMEKA4</v>
          </cell>
        </row>
        <row r="876">
          <cell r="G876" t="str">
            <v>GMEKA4I</v>
          </cell>
        </row>
        <row r="876">
          <cell r="I876">
            <v>79.9055</v>
          </cell>
          <cell r="J876">
            <v>7.1139</v>
          </cell>
        </row>
        <row r="876">
          <cell r="AA876" t="str">
            <v>4T4R</v>
          </cell>
        </row>
        <row r="877">
          <cell r="E877" t="str">
            <v>ZWAT50</v>
          </cell>
        </row>
        <row r="877">
          <cell r="G877" t="str">
            <v>ZWAT50-M-L21-C2</v>
          </cell>
        </row>
        <row r="877">
          <cell r="I877">
            <v>79.9055</v>
          </cell>
          <cell r="J877">
            <v>7.036</v>
          </cell>
        </row>
        <row r="877">
          <cell r="AA877" t="str">
            <v>2T2R</v>
          </cell>
        </row>
        <row r="878">
          <cell r="E878" t="str">
            <v>ZWAT50</v>
          </cell>
        </row>
        <row r="878">
          <cell r="G878" t="str">
            <v>ZWAT50-M-L21-B2</v>
          </cell>
        </row>
        <row r="878">
          <cell r="I878">
            <v>79.9055</v>
          </cell>
          <cell r="J878">
            <v>7.036</v>
          </cell>
        </row>
        <row r="878">
          <cell r="AA878" t="str">
            <v>2T2R</v>
          </cell>
        </row>
        <row r="879">
          <cell r="E879" t="str">
            <v>ZWAT50</v>
          </cell>
        </row>
        <row r="879">
          <cell r="G879" t="str">
            <v>ZWAT50-M-L21-A2</v>
          </cell>
        </row>
        <row r="879">
          <cell r="I879">
            <v>79.9055</v>
          </cell>
          <cell r="J879">
            <v>7.036</v>
          </cell>
        </row>
        <row r="879">
          <cell r="AA879" t="str">
            <v>2T2R</v>
          </cell>
        </row>
        <row r="880">
          <cell r="E880" t="str">
            <v>ZWAT50</v>
          </cell>
        </row>
        <row r="880">
          <cell r="G880" t="str">
            <v>ZWAT50-M-L23-C1</v>
          </cell>
        </row>
        <row r="880">
          <cell r="I880">
            <v>79.9055</v>
          </cell>
          <cell r="J880">
            <v>7.036</v>
          </cell>
        </row>
        <row r="880">
          <cell r="AA880" t="str">
            <v>4T4R</v>
          </cell>
        </row>
        <row r="881">
          <cell r="E881" t="str">
            <v>ZWAT50</v>
          </cell>
        </row>
        <row r="881">
          <cell r="G881" t="str">
            <v>ZWAT50-M-L23-B1</v>
          </cell>
        </row>
        <row r="881">
          <cell r="I881">
            <v>79.9055</v>
          </cell>
          <cell r="J881">
            <v>7.036</v>
          </cell>
        </row>
        <row r="881">
          <cell r="AA881" t="str">
            <v>4T4R</v>
          </cell>
        </row>
        <row r="882">
          <cell r="E882" t="str">
            <v>ZWAT50</v>
          </cell>
        </row>
        <row r="882">
          <cell r="G882" t="str">
            <v>ZWAT50-M-L23-A1</v>
          </cell>
        </row>
        <row r="882">
          <cell r="I882">
            <v>79.9055</v>
          </cell>
          <cell r="J882">
            <v>7.036</v>
          </cell>
        </row>
        <row r="882">
          <cell r="AA882" t="str">
            <v>4T4R</v>
          </cell>
        </row>
        <row r="883">
          <cell r="E883" t="str">
            <v>ZWAT50</v>
          </cell>
        </row>
        <row r="883">
          <cell r="G883" t="str">
            <v>ZWAT50I</v>
          </cell>
        </row>
        <row r="883">
          <cell r="I883">
            <v>79.9055</v>
          </cell>
          <cell r="J883">
            <v>7.036</v>
          </cell>
        </row>
        <row r="883">
          <cell r="AA883" t="str">
            <v>2T2R</v>
          </cell>
        </row>
        <row r="884">
          <cell r="E884" t="str">
            <v>ZWAT50</v>
          </cell>
        </row>
        <row r="884">
          <cell r="G884" t="str">
            <v>ZWAT50H</v>
          </cell>
        </row>
        <row r="884">
          <cell r="I884">
            <v>79.9055</v>
          </cell>
          <cell r="J884">
            <v>7.036</v>
          </cell>
        </row>
        <row r="884">
          <cell r="AA884" t="str">
            <v>2T2R</v>
          </cell>
        </row>
        <row r="885">
          <cell r="E885" t="str">
            <v>ZWAT50</v>
          </cell>
        </row>
        <row r="885">
          <cell r="G885" t="str">
            <v>ZWAT50G</v>
          </cell>
        </row>
        <row r="885">
          <cell r="I885">
            <v>79.9055</v>
          </cell>
          <cell r="J885">
            <v>7.036</v>
          </cell>
        </row>
        <row r="885">
          <cell r="AA885" t="str">
            <v>2T2R</v>
          </cell>
        </row>
        <row r="886">
          <cell r="E886" t="str">
            <v>GMKTG1</v>
          </cell>
        </row>
        <row r="886">
          <cell r="G886" t="str">
            <v>GMKTG1-M-L18-B1</v>
          </cell>
        </row>
        <row r="886">
          <cell r="I886">
            <v>79.906</v>
          </cell>
          <cell r="J886">
            <v>7.12995</v>
          </cell>
        </row>
        <row r="886">
          <cell r="AA886" t="str">
            <v>2T2R</v>
          </cell>
        </row>
        <row r="887">
          <cell r="E887" t="str">
            <v>GMKTG1</v>
          </cell>
        </row>
        <row r="887">
          <cell r="G887" t="str">
            <v>GMKTG1-M-L18-A1</v>
          </cell>
        </row>
        <row r="887">
          <cell r="I887">
            <v>79.906</v>
          </cell>
          <cell r="J887">
            <v>7.12995</v>
          </cell>
        </row>
        <row r="887">
          <cell r="AA887" t="str">
            <v>2T2R</v>
          </cell>
        </row>
        <row r="888">
          <cell r="E888" t="str">
            <v>GMKTG1</v>
          </cell>
        </row>
        <row r="888">
          <cell r="G888" t="str">
            <v>GMKTG1-M-L21-B2</v>
          </cell>
        </row>
        <row r="888">
          <cell r="I888">
            <v>79.906</v>
          </cell>
          <cell r="J888">
            <v>7.12995</v>
          </cell>
        </row>
        <row r="888">
          <cell r="AA888" t="str">
            <v>2T2R</v>
          </cell>
        </row>
        <row r="889">
          <cell r="E889" t="str">
            <v>GMKTG1</v>
          </cell>
        </row>
        <row r="889">
          <cell r="G889" t="str">
            <v>GMKTG1-M-L21-A2</v>
          </cell>
        </row>
        <row r="889">
          <cell r="I889">
            <v>79.906</v>
          </cell>
          <cell r="J889">
            <v>7.12995</v>
          </cell>
        </row>
        <row r="889">
          <cell r="AA889" t="str">
            <v>2T2R</v>
          </cell>
        </row>
        <row r="890">
          <cell r="E890" t="str">
            <v>GMKTG1</v>
          </cell>
        </row>
        <row r="890">
          <cell r="G890" t="str">
            <v>GMKTG1-M-L85-D1</v>
          </cell>
        </row>
        <row r="890">
          <cell r="I890">
            <v>79.906</v>
          </cell>
          <cell r="J890">
            <v>7.12995</v>
          </cell>
        </row>
        <row r="890">
          <cell r="AA890" t="str">
            <v>2T2R</v>
          </cell>
        </row>
        <row r="891">
          <cell r="E891" t="str">
            <v>GMKTG1</v>
          </cell>
        </row>
        <row r="891">
          <cell r="G891" t="str">
            <v>GMKTG1-M-L85-C1</v>
          </cell>
        </row>
        <row r="891">
          <cell r="I891">
            <v>79.906</v>
          </cell>
          <cell r="J891">
            <v>7.12995</v>
          </cell>
        </row>
        <row r="891">
          <cell r="AA891" t="str">
            <v>2T2R</v>
          </cell>
        </row>
        <row r="892">
          <cell r="E892" t="str">
            <v>GMKTG1</v>
          </cell>
        </row>
        <row r="892">
          <cell r="G892" t="str">
            <v>GMKTG1-M-L85-B1</v>
          </cell>
        </row>
        <row r="892">
          <cell r="I892">
            <v>79.906</v>
          </cell>
          <cell r="J892">
            <v>7.12995</v>
          </cell>
        </row>
        <row r="892">
          <cell r="AA892" t="str">
            <v>2T2R</v>
          </cell>
        </row>
        <row r="893">
          <cell r="E893" t="str">
            <v>GMKTG1</v>
          </cell>
        </row>
        <row r="893">
          <cell r="G893" t="str">
            <v>GMKTG1-M-L85-A1</v>
          </cell>
        </row>
        <row r="893">
          <cell r="I893">
            <v>79.906</v>
          </cell>
          <cell r="J893">
            <v>7.12995</v>
          </cell>
        </row>
        <row r="893">
          <cell r="AA893" t="str">
            <v>2T2R</v>
          </cell>
        </row>
        <row r="894">
          <cell r="E894" t="str">
            <v>GMKTG1</v>
          </cell>
        </row>
        <row r="894">
          <cell r="G894" t="str">
            <v>GMKTG1G</v>
          </cell>
        </row>
        <row r="894">
          <cell r="I894">
            <v>79.906</v>
          </cell>
          <cell r="J894">
            <v>7.12995</v>
          </cell>
        </row>
        <row r="894">
          <cell r="AA894" t="str">
            <v>2T2R</v>
          </cell>
        </row>
        <row r="895">
          <cell r="E895" t="str">
            <v>GMKTG1</v>
          </cell>
        </row>
        <row r="895">
          <cell r="G895" t="str">
            <v>GMKTG1H</v>
          </cell>
        </row>
        <row r="895">
          <cell r="I895">
            <v>79.906</v>
          </cell>
          <cell r="J895">
            <v>7.12995</v>
          </cell>
        </row>
        <row r="895">
          <cell r="AA895" t="str">
            <v>2T2R</v>
          </cell>
        </row>
        <row r="896">
          <cell r="E896" t="str">
            <v>GMKTG1</v>
          </cell>
        </row>
        <row r="896">
          <cell r="G896" t="str">
            <v>GMKTG1I</v>
          </cell>
        </row>
        <row r="896">
          <cell r="I896">
            <v>79.906</v>
          </cell>
          <cell r="J896">
            <v>7.12995</v>
          </cell>
        </row>
        <row r="896">
          <cell r="AA896" t="str">
            <v>4T4R</v>
          </cell>
        </row>
        <row r="897">
          <cell r="E897" t="str">
            <v>ZWAT38</v>
          </cell>
        </row>
        <row r="897">
          <cell r="G897" t="str">
            <v>ZWAT38-M-L21-C2</v>
          </cell>
        </row>
        <row r="897">
          <cell r="I897">
            <v>79.9063</v>
          </cell>
          <cell r="J897">
            <v>6.9936</v>
          </cell>
        </row>
        <row r="897">
          <cell r="AA897" t="str">
            <v>2T2R</v>
          </cell>
        </row>
        <row r="898">
          <cell r="E898" t="str">
            <v>ZWAT38</v>
          </cell>
        </row>
        <row r="898">
          <cell r="G898" t="str">
            <v>ZWAT38-M-L21-B2</v>
          </cell>
        </row>
        <row r="898">
          <cell r="I898">
            <v>79.9063</v>
          </cell>
          <cell r="J898">
            <v>6.9936</v>
          </cell>
        </row>
        <row r="898">
          <cell r="AA898" t="str">
            <v>2T2R</v>
          </cell>
        </row>
        <row r="899">
          <cell r="E899" t="str">
            <v>ZWAT38</v>
          </cell>
        </row>
        <row r="899">
          <cell r="G899" t="str">
            <v>ZWAT38-M-L21-A2</v>
          </cell>
        </row>
        <row r="899">
          <cell r="I899">
            <v>79.9063</v>
          </cell>
          <cell r="J899">
            <v>6.9936</v>
          </cell>
        </row>
        <row r="899">
          <cell r="AA899" t="str">
            <v>2T2R</v>
          </cell>
        </row>
        <row r="900">
          <cell r="E900" t="str">
            <v>ZWAT38</v>
          </cell>
        </row>
        <row r="900">
          <cell r="G900" t="str">
            <v>ZWAT38I</v>
          </cell>
        </row>
        <row r="900">
          <cell r="I900">
            <v>79.9063</v>
          </cell>
          <cell r="J900">
            <v>6.9936</v>
          </cell>
        </row>
        <row r="900">
          <cell r="AA900" t="str">
            <v>4T4R</v>
          </cell>
        </row>
        <row r="901">
          <cell r="E901" t="str">
            <v>ZWAT38</v>
          </cell>
        </row>
        <row r="901">
          <cell r="G901" t="str">
            <v>ZWAT38H</v>
          </cell>
        </row>
        <row r="901">
          <cell r="I901">
            <v>79.9063</v>
          </cell>
          <cell r="J901">
            <v>6.9936</v>
          </cell>
        </row>
        <row r="901">
          <cell r="AA901" t="str">
            <v>4T4R</v>
          </cell>
        </row>
        <row r="902">
          <cell r="E902" t="str">
            <v>ZWAT38</v>
          </cell>
        </row>
        <row r="902">
          <cell r="G902" t="str">
            <v>ZWAT38G</v>
          </cell>
        </row>
        <row r="902">
          <cell r="I902">
            <v>79.9063</v>
          </cell>
          <cell r="J902">
            <v>6.9936</v>
          </cell>
        </row>
        <row r="902">
          <cell r="AA902" t="str">
            <v>4T4R</v>
          </cell>
        </row>
        <row r="903">
          <cell r="E903" t="str">
            <v>ZWAT20</v>
          </cell>
        </row>
        <row r="903">
          <cell r="G903" t="str">
            <v>ZWAT20I</v>
          </cell>
        </row>
        <row r="903">
          <cell r="I903">
            <v>79.9072</v>
          </cell>
          <cell r="J903">
            <v>7.02303</v>
          </cell>
        </row>
        <row r="903">
          <cell r="AA903" t="str">
            <v>4T4R</v>
          </cell>
        </row>
        <row r="904">
          <cell r="E904" t="str">
            <v>ZWAT20</v>
          </cell>
        </row>
        <row r="904">
          <cell r="G904" t="str">
            <v>ZWAT20H</v>
          </cell>
        </row>
        <row r="904">
          <cell r="I904">
            <v>79.9072</v>
          </cell>
          <cell r="J904">
            <v>7.02303</v>
          </cell>
        </row>
        <row r="904">
          <cell r="AA904" t="str">
            <v>4T4R</v>
          </cell>
        </row>
        <row r="905">
          <cell r="E905" t="str">
            <v>ZWAT20</v>
          </cell>
        </row>
        <row r="905">
          <cell r="G905" t="str">
            <v>ZWAT20G</v>
          </cell>
        </row>
        <row r="905">
          <cell r="I905">
            <v>79.9072</v>
          </cell>
          <cell r="J905">
            <v>7.02303</v>
          </cell>
        </row>
        <row r="905">
          <cell r="AA905" t="str">
            <v>4T4R</v>
          </cell>
        </row>
        <row r="906">
          <cell r="E906" t="str">
            <v>ZJAL23</v>
          </cell>
        </row>
        <row r="906">
          <cell r="G906" t="str">
            <v>ZJAL23I</v>
          </cell>
        </row>
        <row r="906">
          <cell r="I906">
            <v>79.9073</v>
          </cell>
          <cell r="J906">
            <v>7.04261</v>
          </cell>
        </row>
        <row r="906">
          <cell r="AA906" t="str">
            <v>4T4R</v>
          </cell>
        </row>
        <row r="907">
          <cell r="E907" t="str">
            <v>ZJAL23</v>
          </cell>
        </row>
        <row r="907">
          <cell r="G907" t="str">
            <v>ZJAL23H</v>
          </cell>
        </row>
        <row r="907">
          <cell r="I907">
            <v>79.9073</v>
          </cell>
          <cell r="J907">
            <v>7.04261</v>
          </cell>
        </row>
        <row r="907">
          <cell r="AA907" t="str">
            <v>2T2R</v>
          </cell>
        </row>
        <row r="908">
          <cell r="E908" t="str">
            <v>ZJAL23</v>
          </cell>
        </row>
        <row r="908">
          <cell r="G908" t="str">
            <v>ZJAL23G</v>
          </cell>
        </row>
        <row r="908">
          <cell r="I908">
            <v>79.9073</v>
          </cell>
          <cell r="J908">
            <v>7.04261</v>
          </cell>
        </row>
        <row r="908">
          <cell r="AA908" t="str">
            <v>4T4R</v>
          </cell>
        </row>
        <row r="909">
          <cell r="E909" t="str">
            <v>ZJAL23</v>
          </cell>
        </row>
        <row r="909">
          <cell r="G909" t="str">
            <v>ZJAL23-M-L18-H1</v>
          </cell>
        </row>
        <row r="909">
          <cell r="I909">
            <v>79.9073</v>
          </cell>
          <cell r="J909">
            <v>7.04261</v>
          </cell>
        </row>
        <row r="909">
          <cell r="AA909" t="str">
            <v>2T2R</v>
          </cell>
        </row>
        <row r="910">
          <cell r="E910" t="str">
            <v>ZJAL23</v>
          </cell>
        </row>
        <row r="910">
          <cell r="G910" t="str">
            <v>ZJAL23-M-L23-A1</v>
          </cell>
        </row>
        <row r="910">
          <cell r="I910">
            <v>79.9073</v>
          </cell>
          <cell r="J910">
            <v>7.04261</v>
          </cell>
        </row>
        <row r="910">
          <cell r="AA910" t="str">
            <v>4T4R</v>
          </cell>
        </row>
        <row r="911">
          <cell r="E911" t="str">
            <v>ZJAL23</v>
          </cell>
        </row>
        <row r="911">
          <cell r="G911" t="str">
            <v>ZJAL23-M-L23-C1</v>
          </cell>
        </row>
        <row r="911">
          <cell r="I911">
            <v>79.9073</v>
          </cell>
          <cell r="J911">
            <v>7.04261</v>
          </cell>
        </row>
        <row r="911">
          <cell r="AA911" t="str">
            <v>4T4R</v>
          </cell>
        </row>
        <row r="912">
          <cell r="E912" t="str">
            <v>ZJAL23</v>
          </cell>
        </row>
        <row r="912">
          <cell r="G912" t="str">
            <v>ZJAL23-M-L23-B1</v>
          </cell>
        </row>
        <row r="912">
          <cell r="I912">
            <v>79.9073</v>
          </cell>
          <cell r="J912">
            <v>7.04261</v>
          </cell>
        </row>
        <row r="912">
          <cell r="AA912" t="str">
            <v>4T4R</v>
          </cell>
        </row>
        <row r="913">
          <cell r="E913" t="str">
            <v>ZJAL23</v>
          </cell>
        </row>
        <row r="913">
          <cell r="G913" t="str">
            <v>ZJAL23-M-L85-C1</v>
          </cell>
        </row>
        <row r="913">
          <cell r="I913">
            <v>79.9073</v>
          </cell>
          <cell r="J913">
            <v>7.04261</v>
          </cell>
        </row>
        <row r="913">
          <cell r="AA913" t="str">
            <v>2T2R</v>
          </cell>
        </row>
        <row r="914">
          <cell r="E914" t="str">
            <v>ZJAL23</v>
          </cell>
        </row>
        <row r="914">
          <cell r="G914" t="str">
            <v>ZJAL23-M-L85-B1</v>
          </cell>
        </row>
        <row r="914">
          <cell r="I914">
            <v>79.9073</v>
          </cell>
          <cell r="J914">
            <v>7.04261</v>
          </cell>
        </row>
        <row r="914">
          <cell r="AA914" t="str">
            <v>2T2R</v>
          </cell>
        </row>
        <row r="915">
          <cell r="E915" t="str">
            <v>ZJAL23</v>
          </cell>
        </row>
        <row r="915">
          <cell r="G915" t="str">
            <v>ZJAL23-M-L85-A1</v>
          </cell>
        </row>
        <row r="915">
          <cell r="I915">
            <v>79.9073</v>
          </cell>
          <cell r="J915">
            <v>7.04261</v>
          </cell>
        </row>
        <row r="915">
          <cell r="AA915" t="str">
            <v>2T2R</v>
          </cell>
        </row>
        <row r="916">
          <cell r="E916" t="str">
            <v>ZJAL33</v>
          </cell>
        </row>
        <row r="916">
          <cell r="G916" t="str">
            <v>ZJAL33I</v>
          </cell>
        </row>
        <row r="916">
          <cell r="I916">
            <v>79.908056</v>
          </cell>
          <cell r="J916">
            <v>7.058333</v>
          </cell>
        </row>
        <row r="916">
          <cell r="AA916" t="str">
            <v>2T2R</v>
          </cell>
        </row>
        <row r="917">
          <cell r="E917" t="str">
            <v>ZJAL33</v>
          </cell>
        </row>
        <row r="917">
          <cell r="G917" t="str">
            <v>ZJAL33H</v>
          </cell>
        </row>
        <row r="917">
          <cell r="I917">
            <v>79.908056</v>
          </cell>
          <cell r="J917">
            <v>7.058333</v>
          </cell>
        </row>
        <row r="917">
          <cell r="AA917" t="str">
            <v>2T2R</v>
          </cell>
        </row>
        <row r="918">
          <cell r="E918" t="str">
            <v>ZJAL33</v>
          </cell>
        </row>
        <row r="918">
          <cell r="G918" t="str">
            <v>ZJAL33G</v>
          </cell>
        </row>
        <row r="918">
          <cell r="I918">
            <v>79.908056</v>
          </cell>
          <cell r="J918">
            <v>7.058333</v>
          </cell>
        </row>
        <row r="918">
          <cell r="AA918" t="str">
            <v>2T2R</v>
          </cell>
        </row>
        <row r="919">
          <cell r="E919" t="str">
            <v>ZKEL04</v>
          </cell>
        </row>
        <row r="919">
          <cell r="G919" t="str">
            <v>ZKEL04G</v>
          </cell>
        </row>
        <row r="919">
          <cell r="I919">
            <v>79.9083</v>
          </cell>
          <cell r="J919">
            <v>6.96744</v>
          </cell>
        </row>
        <row r="919">
          <cell r="AA919" t="str">
            <v>4T4R</v>
          </cell>
        </row>
        <row r="920">
          <cell r="E920" t="str">
            <v>ZKEL04</v>
          </cell>
        </row>
        <row r="920">
          <cell r="G920" t="str">
            <v>ZKEL04H</v>
          </cell>
        </row>
        <row r="920">
          <cell r="I920">
            <v>79.9083</v>
          </cell>
          <cell r="J920">
            <v>6.96744</v>
          </cell>
        </row>
        <row r="920">
          <cell r="AA920" t="str">
            <v>4T4R</v>
          </cell>
        </row>
        <row r="921">
          <cell r="E921" t="str">
            <v>ZKEL04</v>
          </cell>
        </row>
        <row r="921">
          <cell r="G921" t="str">
            <v>ZKEL04I</v>
          </cell>
        </row>
        <row r="921">
          <cell r="I921">
            <v>79.9083</v>
          </cell>
          <cell r="J921">
            <v>6.96744</v>
          </cell>
        </row>
        <row r="921">
          <cell r="AA921" t="str">
            <v>4T4R</v>
          </cell>
        </row>
        <row r="922">
          <cell r="E922" t="str">
            <v>ZKEL04</v>
          </cell>
        </row>
        <row r="922">
          <cell r="G922" t="str">
            <v>ZKEL04-M-L21-C2</v>
          </cell>
        </row>
        <row r="922">
          <cell r="I922">
            <v>79.9083</v>
          </cell>
          <cell r="J922">
            <v>6.96744</v>
          </cell>
        </row>
        <row r="922">
          <cell r="AA922" t="str">
            <v>2T2R</v>
          </cell>
        </row>
        <row r="923">
          <cell r="E923" t="str">
            <v>ZKEL04</v>
          </cell>
        </row>
        <row r="923">
          <cell r="G923" t="str">
            <v>ZKEL04-M-L21-B2</v>
          </cell>
        </row>
        <row r="923">
          <cell r="I923">
            <v>79.9083</v>
          </cell>
          <cell r="J923">
            <v>6.96744</v>
          </cell>
        </row>
        <row r="923">
          <cell r="AA923" t="str">
            <v>2T2R</v>
          </cell>
        </row>
        <row r="924">
          <cell r="E924" t="str">
            <v>ZKEL04</v>
          </cell>
        </row>
        <row r="924">
          <cell r="G924" t="str">
            <v>ZKEL04-M-L21-A2</v>
          </cell>
        </row>
        <row r="924">
          <cell r="I924">
            <v>79.9083</v>
          </cell>
          <cell r="J924">
            <v>6.96744</v>
          </cell>
        </row>
        <row r="924">
          <cell r="AA924" t="str">
            <v>2T2R</v>
          </cell>
        </row>
        <row r="925">
          <cell r="E925" t="str">
            <v>ZJAL09</v>
          </cell>
        </row>
        <row r="925">
          <cell r="G925" t="str">
            <v>ZJAL09-M-L85-A1</v>
          </cell>
        </row>
        <row r="925">
          <cell r="I925">
            <v>79.9085</v>
          </cell>
          <cell r="J925">
            <v>7.06942</v>
          </cell>
        </row>
        <row r="925">
          <cell r="AA925" t="str">
            <v>2T2R</v>
          </cell>
        </row>
        <row r="926">
          <cell r="E926" t="str">
            <v>ZJAL09</v>
          </cell>
        </row>
        <row r="926">
          <cell r="G926" t="str">
            <v>ZJAL09-M-L85-B1</v>
          </cell>
        </row>
        <row r="926">
          <cell r="I926">
            <v>79.9085</v>
          </cell>
          <cell r="J926">
            <v>7.06942</v>
          </cell>
        </row>
        <row r="926">
          <cell r="AA926" t="str">
            <v>2T2R</v>
          </cell>
        </row>
        <row r="927">
          <cell r="E927" t="str">
            <v>ZJAL09</v>
          </cell>
        </row>
        <row r="927">
          <cell r="G927" t="str">
            <v>ZJAL09-M-L85-C1</v>
          </cell>
        </row>
        <row r="927">
          <cell r="I927">
            <v>79.9085</v>
          </cell>
          <cell r="J927">
            <v>7.06942</v>
          </cell>
        </row>
        <row r="927">
          <cell r="AA927" t="str">
            <v>2T2R</v>
          </cell>
        </row>
        <row r="928">
          <cell r="E928" t="str">
            <v>ZJAL09</v>
          </cell>
        </row>
        <row r="928">
          <cell r="G928" t="str">
            <v>ZJAL09-M-L18-C1</v>
          </cell>
        </row>
        <row r="928">
          <cell r="I928">
            <v>79.9085</v>
          </cell>
          <cell r="J928">
            <v>7.06942</v>
          </cell>
        </row>
        <row r="928">
          <cell r="AA928" t="str">
            <v>2T2R</v>
          </cell>
        </row>
        <row r="929">
          <cell r="E929" t="str">
            <v>ZJAL09</v>
          </cell>
        </row>
        <row r="929">
          <cell r="G929" t="str">
            <v>ZJAL09-M-L21-C2</v>
          </cell>
        </row>
        <row r="929">
          <cell r="I929">
            <v>79.9085</v>
          </cell>
          <cell r="J929">
            <v>7.06942</v>
          </cell>
        </row>
        <row r="929">
          <cell r="AA929" t="str">
            <v>2T2R</v>
          </cell>
        </row>
        <row r="930">
          <cell r="E930" t="str">
            <v>ZJAL09</v>
          </cell>
        </row>
        <row r="930">
          <cell r="G930" t="str">
            <v>ZJAL09-M-L21-B2</v>
          </cell>
        </row>
        <row r="930">
          <cell r="I930">
            <v>79.9085</v>
          </cell>
          <cell r="J930">
            <v>7.06942</v>
          </cell>
        </row>
        <row r="930">
          <cell r="AA930" t="str">
            <v>2T2R</v>
          </cell>
        </row>
        <row r="931">
          <cell r="E931" t="str">
            <v>ZJAL09</v>
          </cell>
        </row>
        <row r="931">
          <cell r="G931" t="str">
            <v>ZJAL09-M-L21-A2</v>
          </cell>
        </row>
        <row r="931">
          <cell r="I931">
            <v>79.9085</v>
          </cell>
          <cell r="J931">
            <v>7.06942</v>
          </cell>
        </row>
        <row r="931">
          <cell r="AA931" t="str">
            <v>2T2R</v>
          </cell>
        </row>
        <row r="932">
          <cell r="E932" t="str">
            <v>ZJAL09</v>
          </cell>
        </row>
        <row r="932">
          <cell r="G932" t="str">
            <v>ZJAL09I</v>
          </cell>
        </row>
        <row r="932">
          <cell r="I932">
            <v>79.9085</v>
          </cell>
          <cell r="J932">
            <v>7.06942</v>
          </cell>
        </row>
        <row r="932">
          <cell r="AA932" t="str">
            <v>2T2R</v>
          </cell>
        </row>
        <row r="933">
          <cell r="E933" t="str">
            <v>ZJAL09</v>
          </cell>
        </row>
        <row r="933">
          <cell r="G933" t="str">
            <v>ZJAL09H</v>
          </cell>
        </row>
        <row r="933">
          <cell r="I933">
            <v>79.9085</v>
          </cell>
          <cell r="J933">
            <v>7.06942</v>
          </cell>
        </row>
        <row r="933">
          <cell r="AA933" t="str">
            <v>4T4R</v>
          </cell>
        </row>
        <row r="934">
          <cell r="E934" t="str">
            <v>ZJAL09</v>
          </cell>
        </row>
        <row r="934">
          <cell r="G934" t="str">
            <v>ZJAL09G</v>
          </cell>
        </row>
        <row r="934">
          <cell r="I934">
            <v>79.9085</v>
          </cell>
          <cell r="J934">
            <v>7.06942</v>
          </cell>
        </row>
        <row r="934">
          <cell r="AA934" t="str">
            <v>4T4R</v>
          </cell>
        </row>
        <row r="935">
          <cell r="E935" t="str">
            <v>ZKEL05</v>
          </cell>
        </row>
        <row r="935">
          <cell r="G935" t="str">
            <v>ZKEL05G</v>
          </cell>
        </row>
        <row r="935">
          <cell r="I935">
            <v>79.9089</v>
          </cell>
          <cell r="J935">
            <v>6.9775</v>
          </cell>
        </row>
        <row r="935">
          <cell r="AA935" t="str">
            <v>2T2R</v>
          </cell>
        </row>
        <row r="936">
          <cell r="E936" t="str">
            <v>ZKEL05</v>
          </cell>
        </row>
        <row r="936">
          <cell r="G936" t="str">
            <v>ZKEL05H</v>
          </cell>
        </row>
        <row r="936">
          <cell r="I936">
            <v>79.9089</v>
          </cell>
          <cell r="J936">
            <v>6.9775</v>
          </cell>
        </row>
        <row r="936">
          <cell r="AA936" t="str">
            <v>4T4R</v>
          </cell>
        </row>
        <row r="937">
          <cell r="E937" t="str">
            <v>ZKEL05</v>
          </cell>
        </row>
        <row r="937">
          <cell r="G937" t="str">
            <v>ZKEL05I</v>
          </cell>
        </row>
        <row r="937">
          <cell r="I937">
            <v>79.9089</v>
          </cell>
          <cell r="J937">
            <v>6.9775</v>
          </cell>
        </row>
        <row r="937">
          <cell r="AA937" t="str">
            <v>2T2R</v>
          </cell>
        </row>
        <row r="938">
          <cell r="E938" t="str">
            <v>ZKEL05</v>
          </cell>
        </row>
        <row r="938">
          <cell r="G938" t="str">
            <v>ZKEL05-M-L85-C1</v>
          </cell>
        </row>
        <row r="938">
          <cell r="I938">
            <v>79.9089</v>
          </cell>
          <cell r="J938">
            <v>6.9775</v>
          </cell>
        </row>
        <row r="938">
          <cell r="AA938" t="str">
            <v>2T2R</v>
          </cell>
        </row>
        <row r="939">
          <cell r="E939" t="str">
            <v>ZKEL05</v>
          </cell>
        </row>
        <row r="939">
          <cell r="G939" t="str">
            <v>ZKEL05-M-L85-B1</v>
          </cell>
        </row>
        <row r="939">
          <cell r="I939">
            <v>79.9089</v>
          </cell>
          <cell r="J939">
            <v>6.9775</v>
          </cell>
        </row>
        <row r="939">
          <cell r="AA939" t="str">
            <v>2T2R</v>
          </cell>
        </row>
        <row r="940">
          <cell r="E940" t="str">
            <v>ZKEL05</v>
          </cell>
        </row>
        <row r="940">
          <cell r="G940" t="str">
            <v>ZKEL05-M-L85-A1</v>
          </cell>
        </row>
        <row r="940">
          <cell r="I940">
            <v>79.9089</v>
          </cell>
          <cell r="J940">
            <v>6.9775</v>
          </cell>
        </row>
        <row r="940">
          <cell r="AA940" t="str">
            <v>2T2R</v>
          </cell>
        </row>
        <row r="941">
          <cell r="E941" t="str">
            <v>ZKEL05</v>
          </cell>
        </row>
        <row r="941">
          <cell r="G941" t="str">
            <v>ZKEL05-M-L18-A1</v>
          </cell>
        </row>
        <row r="941">
          <cell r="I941">
            <v>79.9089</v>
          </cell>
          <cell r="J941">
            <v>6.9775</v>
          </cell>
        </row>
        <row r="941">
          <cell r="AA941" t="str">
            <v>2T2R</v>
          </cell>
        </row>
        <row r="942">
          <cell r="E942" t="str">
            <v>ZKEL05</v>
          </cell>
        </row>
        <row r="942">
          <cell r="G942" t="str">
            <v>ZKEL05-M-L21-B2</v>
          </cell>
        </row>
        <row r="942">
          <cell r="I942">
            <v>79.9089</v>
          </cell>
          <cell r="J942">
            <v>6.9775</v>
          </cell>
        </row>
        <row r="942">
          <cell r="AA942" t="str">
            <v>2T2R</v>
          </cell>
        </row>
        <row r="943">
          <cell r="E943" t="str">
            <v>ZKEL05</v>
          </cell>
        </row>
        <row r="943">
          <cell r="G943" t="str">
            <v>ZKEL05-M-L21-A2</v>
          </cell>
        </row>
        <row r="943">
          <cell r="I943">
            <v>79.9089</v>
          </cell>
          <cell r="J943">
            <v>6.9775</v>
          </cell>
        </row>
        <row r="943">
          <cell r="AA943" t="str">
            <v>2T2R</v>
          </cell>
        </row>
        <row r="944">
          <cell r="E944" t="str">
            <v>GMAND1</v>
          </cell>
        </row>
        <row r="944">
          <cell r="G944" t="str">
            <v>GMAND1I</v>
          </cell>
        </row>
        <row r="944">
          <cell r="I944">
            <v>79.9093</v>
          </cell>
          <cell r="J944">
            <v>7.18567</v>
          </cell>
        </row>
        <row r="944">
          <cell r="AA944" t="str">
            <v>2T2R</v>
          </cell>
        </row>
        <row r="945">
          <cell r="E945" t="str">
            <v>GMAND1</v>
          </cell>
        </row>
        <row r="945">
          <cell r="G945" t="str">
            <v>GMAND1H</v>
          </cell>
        </row>
        <row r="945">
          <cell r="I945">
            <v>79.9093</v>
          </cell>
          <cell r="J945">
            <v>7.18567</v>
          </cell>
        </row>
        <row r="945">
          <cell r="AA945" t="str">
            <v>2T2R</v>
          </cell>
        </row>
        <row r="946">
          <cell r="E946" t="str">
            <v>GMAND1</v>
          </cell>
        </row>
        <row r="946">
          <cell r="G946" t="str">
            <v>GMAND1G</v>
          </cell>
        </row>
        <row r="946">
          <cell r="I946">
            <v>79.9093</v>
          </cell>
          <cell r="J946">
            <v>7.18567</v>
          </cell>
        </row>
        <row r="946">
          <cell r="AA946" t="str">
            <v>4T4R</v>
          </cell>
        </row>
        <row r="947">
          <cell r="E947" t="str">
            <v>GMAND1</v>
          </cell>
        </row>
        <row r="947">
          <cell r="G947" t="str">
            <v>GMAND1-M-L85-C1</v>
          </cell>
        </row>
        <row r="947">
          <cell r="I947">
            <v>79.9093</v>
          </cell>
          <cell r="J947">
            <v>7.18567</v>
          </cell>
        </row>
        <row r="947">
          <cell r="AA947" t="str">
            <v>2T2R</v>
          </cell>
        </row>
        <row r="948">
          <cell r="E948" t="str">
            <v>GMAND1</v>
          </cell>
        </row>
        <row r="948">
          <cell r="G948" t="str">
            <v>GMAND1-M-L85-B1</v>
          </cell>
        </row>
        <row r="948">
          <cell r="I948">
            <v>79.9093</v>
          </cell>
          <cell r="J948">
            <v>7.18567</v>
          </cell>
        </row>
        <row r="948">
          <cell r="AA948" t="str">
            <v>2T2R</v>
          </cell>
        </row>
        <row r="949">
          <cell r="E949" t="str">
            <v>GMAND1</v>
          </cell>
        </row>
        <row r="949">
          <cell r="G949" t="str">
            <v>GMAND1-M-L85-A1</v>
          </cell>
        </row>
        <row r="949">
          <cell r="I949">
            <v>79.9093</v>
          </cell>
          <cell r="J949">
            <v>7.18567</v>
          </cell>
        </row>
        <row r="949">
          <cell r="AA949" t="str">
            <v>2T2R</v>
          </cell>
        </row>
        <row r="950">
          <cell r="E950" t="str">
            <v>GMAND1</v>
          </cell>
        </row>
        <row r="950">
          <cell r="G950" t="str">
            <v>GMAND1-M-L21-C2</v>
          </cell>
        </row>
        <row r="950">
          <cell r="I950">
            <v>79.9093</v>
          </cell>
          <cell r="J950">
            <v>7.18567</v>
          </cell>
        </row>
        <row r="950">
          <cell r="AA950" t="str">
            <v>2T2R</v>
          </cell>
        </row>
        <row r="951">
          <cell r="E951" t="str">
            <v>ZKEL22</v>
          </cell>
        </row>
        <row r="951">
          <cell r="G951" t="str">
            <v>ZKEL22I</v>
          </cell>
        </row>
        <row r="951">
          <cell r="I951">
            <v>79.9103</v>
          </cell>
          <cell r="J951">
            <v>6.95875</v>
          </cell>
        </row>
        <row r="951">
          <cell r="AA951" t="str">
            <v>2T2R</v>
          </cell>
        </row>
        <row r="952">
          <cell r="E952" t="str">
            <v>ZKEL22</v>
          </cell>
        </row>
        <row r="952">
          <cell r="G952" t="str">
            <v>ZKEL22H</v>
          </cell>
        </row>
        <row r="952">
          <cell r="I952">
            <v>79.9103</v>
          </cell>
          <cell r="J952">
            <v>6.95875</v>
          </cell>
        </row>
        <row r="952">
          <cell r="AA952" t="str">
            <v>2T2R</v>
          </cell>
        </row>
        <row r="953">
          <cell r="E953" t="str">
            <v>ZKEL22</v>
          </cell>
        </row>
        <row r="953">
          <cell r="G953" t="str">
            <v>ZKEL22G</v>
          </cell>
        </row>
        <row r="953">
          <cell r="I953">
            <v>79.9103</v>
          </cell>
          <cell r="J953">
            <v>6.95875</v>
          </cell>
        </row>
        <row r="953">
          <cell r="AA953" t="str">
            <v>2T2R</v>
          </cell>
        </row>
        <row r="954">
          <cell r="E954" t="str">
            <v>ZJAL02</v>
          </cell>
        </row>
        <row r="954">
          <cell r="G954" t="str">
            <v>ZJAL02H</v>
          </cell>
        </row>
        <row r="954">
          <cell r="I954">
            <v>79.9103</v>
          </cell>
          <cell r="J954">
            <v>7.0944</v>
          </cell>
        </row>
        <row r="954">
          <cell r="AA954" t="str">
            <v>4T4R</v>
          </cell>
        </row>
        <row r="955">
          <cell r="E955" t="str">
            <v>ZJAL02</v>
          </cell>
        </row>
        <row r="955">
          <cell r="G955" t="str">
            <v>ZJAL02G</v>
          </cell>
        </row>
        <row r="955">
          <cell r="I955">
            <v>79.9103</v>
          </cell>
          <cell r="J955">
            <v>7.0944</v>
          </cell>
        </row>
        <row r="955">
          <cell r="AA955" t="str">
            <v>4T4R</v>
          </cell>
        </row>
        <row r="956">
          <cell r="E956" t="str">
            <v>ZJAL02</v>
          </cell>
        </row>
        <row r="956">
          <cell r="G956" t="str">
            <v>ZJAL02I</v>
          </cell>
        </row>
        <row r="956">
          <cell r="I956">
            <v>79.9103</v>
          </cell>
          <cell r="J956">
            <v>7.0944</v>
          </cell>
        </row>
        <row r="956">
          <cell r="AA956" t="str">
            <v>4T4R</v>
          </cell>
        </row>
        <row r="957">
          <cell r="E957" t="str">
            <v>ZJAL02</v>
          </cell>
        </row>
        <row r="957">
          <cell r="G957" t="str">
            <v>ZJAL02-M-L85-C1</v>
          </cell>
        </row>
        <row r="957">
          <cell r="I957">
            <v>79.9103</v>
          </cell>
          <cell r="J957">
            <v>7.0944</v>
          </cell>
        </row>
        <row r="957">
          <cell r="AA957" t="str">
            <v>2T2R</v>
          </cell>
        </row>
        <row r="958">
          <cell r="E958" t="str">
            <v>ZJAL02</v>
          </cell>
        </row>
        <row r="958">
          <cell r="G958" t="str">
            <v>ZJAL02-M-L85-B1</v>
          </cell>
        </row>
        <row r="958">
          <cell r="I958">
            <v>79.9103</v>
          </cell>
          <cell r="J958">
            <v>7.0944</v>
          </cell>
        </row>
        <row r="958">
          <cell r="AA958" t="str">
            <v>2T2R</v>
          </cell>
        </row>
        <row r="959">
          <cell r="E959" t="str">
            <v>ZJAL02</v>
          </cell>
        </row>
        <row r="959">
          <cell r="G959" t="str">
            <v>ZJAL02-M-L85-A1</v>
          </cell>
        </row>
        <row r="959">
          <cell r="I959">
            <v>79.9103</v>
          </cell>
          <cell r="J959">
            <v>7.0944</v>
          </cell>
        </row>
        <row r="959">
          <cell r="AA959" t="str">
            <v>2T2R</v>
          </cell>
        </row>
        <row r="960">
          <cell r="E960" t="str">
            <v>ZWAT21</v>
          </cell>
        </row>
        <row r="960">
          <cell r="G960" t="str">
            <v>ZWAT21-M-L18-C1</v>
          </cell>
        </row>
        <row r="960">
          <cell r="I960">
            <v>79.9105</v>
          </cell>
          <cell r="J960">
            <v>7.00117</v>
          </cell>
        </row>
        <row r="960">
          <cell r="AA960" t="str">
            <v>2T2R</v>
          </cell>
        </row>
        <row r="961">
          <cell r="E961" t="str">
            <v>ZWAT21</v>
          </cell>
        </row>
        <row r="961">
          <cell r="G961" t="str">
            <v>ZWAT21-M-L21-C2</v>
          </cell>
        </row>
        <row r="961">
          <cell r="I961">
            <v>79.9105</v>
          </cell>
          <cell r="J961">
            <v>7.00117</v>
          </cell>
        </row>
        <row r="961">
          <cell r="AA961" t="str">
            <v>2T2R</v>
          </cell>
        </row>
        <row r="962">
          <cell r="E962" t="str">
            <v>ZWAT21</v>
          </cell>
        </row>
        <row r="962">
          <cell r="G962" t="str">
            <v>ZWAT21-M-L21-B2</v>
          </cell>
        </row>
        <row r="962">
          <cell r="I962">
            <v>79.9105</v>
          </cell>
          <cell r="J962">
            <v>7.00117</v>
          </cell>
        </row>
        <row r="962">
          <cell r="AA962" t="str">
            <v>2T2R</v>
          </cell>
        </row>
        <row r="963">
          <cell r="E963" t="str">
            <v>ZWAT21</v>
          </cell>
        </row>
        <row r="963">
          <cell r="G963" t="str">
            <v>ZWAT21-M-L21-A2</v>
          </cell>
        </row>
        <row r="963">
          <cell r="I963">
            <v>79.9105</v>
          </cell>
          <cell r="J963">
            <v>7.00117</v>
          </cell>
        </row>
        <row r="963">
          <cell r="AA963" t="str">
            <v>2T2R</v>
          </cell>
        </row>
        <row r="964">
          <cell r="E964" t="str">
            <v>ZWAT21</v>
          </cell>
        </row>
        <row r="964">
          <cell r="G964" t="str">
            <v>ZWAT21G</v>
          </cell>
        </row>
        <row r="964">
          <cell r="I964">
            <v>79.9105</v>
          </cell>
          <cell r="J964">
            <v>7.00117</v>
          </cell>
        </row>
        <row r="964">
          <cell r="AA964" t="str">
            <v>2T2R</v>
          </cell>
        </row>
        <row r="965">
          <cell r="E965" t="str">
            <v>ZWAT21</v>
          </cell>
        </row>
        <row r="965">
          <cell r="G965" t="str">
            <v>ZWAT21H</v>
          </cell>
        </row>
        <row r="965">
          <cell r="I965">
            <v>79.9105</v>
          </cell>
          <cell r="J965">
            <v>7.00117</v>
          </cell>
        </row>
        <row r="965">
          <cell r="AA965" t="str">
            <v>4T4R</v>
          </cell>
        </row>
        <row r="966">
          <cell r="E966" t="str">
            <v>ZWAT21</v>
          </cell>
        </row>
        <row r="966">
          <cell r="G966" t="str">
            <v>ZWAT21I</v>
          </cell>
        </row>
        <row r="966">
          <cell r="I966">
            <v>79.9105</v>
          </cell>
          <cell r="J966">
            <v>7.00117</v>
          </cell>
        </row>
        <row r="966">
          <cell r="AA966" t="str">
            <v>2T2R</v>
          </cell>
        </row>
        <row r="967">
          <cell r="E967" t="str">
            <v>ZWAT21</v>
          </cell>
        </row>
        <row r="967">
          <cell r="G967" t="str">
            <v>ZWAT21-M-L85-C1</v>
          </cell>
        </row>
        <row r="967">
          <cell r="I967">
            <v>79.9105</v>
          </cell>
          <cell r="J967">
            <v>7.00117</v>
          </cell>
        </row>
        <row r="967">
          <cell r="AA967" t="str">
            <v>2T2R</v>
          </cell>
        </row>
        <row r="968">
          <cell r="E968" t="str">
            <v>ZWAT21</v>
          </cell>
        </row>
        <row r="968">
          <cell r="G968" t="str">
            <v>ZWAT21-M-L85-B1</v>
          </cell>
        </row>
        <row r="968">
          <cell r="I968">
            <v>79.9105</v>
          </cell>
          <cell r="J968">
            <v>7.00117</v>
          </cell>
        </row>
        <row r="968">
          <cell r="AA968" t="str">
            <v>2T2R</v>
          </cell>
        </row>
        <row r="969">
          <cell r="E969" t="str">
            <v>ZWAT21</v>
          </cell>
        </row>
        <row r="969">
          <cell r="G969" t="str">
            <v>ZWAT21-M-L85-A1</v>
          </cell>
        </row>
        <row r="969">
          <cell r="I969">
            <v>79.9105</v>
          </cell>
          <cell r="J969">
            <v>7.00117</v>
          </cell>
        </row>
        <row r="969">
          <cell r="AA969" t="str">
            <v>2T2R</v>
          </cell>
        </row>
        <row r="970">
          <cell r="E970" t="str">
            <v>GMEKA1</v>
          </cell>
        </row>
        <row r="970">
          <cell r="G970" t="str">
            <v>GMEKA1-M-L85-C1</v>
          </cell>
        </row>
        <row r="970">
          <cell r="I970">
            <v>79.9108</v>
          </cell>
          <cell r="J970">
            <v>7.1025</v>
          </cell>
        </row>
        <row r="970">
          <cell r="AA970" t="str">
            <v>2T2R</v>
          </cell>
        </row>
        <row r="971">
          <cell r="E971" t="str">
            <v>GMEKA1</v>
          </cell>
        </row>
        <row r="971">
          <cell r="G971" t="str">
            <v>GMEKA1-M-L85-B1</v>
          </cell>
        </row>
        <row r="971">
          <cell r="I971">
            <v>79.9108</v>
          </cell>
          <cell r="J971">
            <v>7.1025</v>
          </cell>
        </row>
        <row r="971">
          <cell r="AA971" t="str">
            <v>2T2R</v>
          </cell>
        </row>
        <row r="972">
          <cell r="E972" t="str">
            <v>GMEKA1</v>
          </cell>
        </row>
        <row r="972">
          <cell r="G972" t="str">
            <v>GMEKA1-M-L85-A1</v>
          </cell>
        </row>
        <row r="972">
          <cell r="I972">
            <v>79.9108</v>
          </cell>
          <cell r="J972">
            <v>7.1025</v>
          </cell>
        </row>
        <row r="972">
          <cell r="AA972" t="str">
            <v>2T2R</v>
          </cell>
        </row>
        <row r="973">
          <cell r="E973" t="str">
            <v>GMEKA1</v>
          </cell>
        </row>
        <row r="973">
          <cell r="G973" t="str">
            <v>GMEKA1-M-L21-C2</v>
          </cell>
        </row>
        <row r="973">
          <cell r="I973">
            <v>79.9108</v>
          </cell>
          <cell r="J973">
            <v>7.1025</v>
          </cell>
        </row>
        <row r="973">
          <cell r="AA973" t="str">
            <v>2T2R</v>
          </cell>
        </row>
        <row r="974">
          <cell r="E974" t="str">
            <v>GMEKA1</v>
          </cell>
        </row>
        <row r="974">
          <cell r="G974" t="str">
            <v>GMEKA1-M-L21-B2</v>
          </cell>
        </row>
        <row r="974">
          <cell r="I974">
            <v>79.9108</v>
          </cell>
          <cell r="J974">
            <v>7.1025</v>
          </cell>
        </row>
        <row r="974">
          <cell r="AA974" t="str">
            <v>2T2R</v>
          </cell>
        </row>
        <row r="975">
          <cell r="E975" t="str">
            <v>GMEKA1</v>
          </cell>
        </row>
        <row r="975">
          <cell r="G975" t="str">
            <v>GMEKA1-M-L21-A2</v>
          </cell>
        </row>
        <row r="975">
          <cell r="I975">
            <v>79.9108</v>
          </cell>
          <cell r="J975">
            <v>7.1025</v>
          </cell>
        </row>
        <row r="975">
          <cell r="AA975" t="str">
            <v>2T2R</v>
          </cell>
        </row>
        <row r="976">
          <cell r="E976" t="str">
            <v>GMEKA1</v>
          </cell>
        </row>
        <row r="976">
          <cell r="G976" t="str">
            <v>GMEKA1-M-L18-C1</v>
          </cell>
        </row>
        <row r="976">
          <cell r="I976">
            <v>79.9108</v>
          </cell>
          <cell r="J976">
            <v>7.1025</v>
          </cell>
        </row>
        <row r="976">
          <cell r="AA976" t="str">
            <v>2T2R</v>
          </cell>
        </row>
        <row r="977">
          <cell r="E977" t="str">
            <v>GMEKA1</v>
          </cell>
        </row>
        <row r="977">
          <cell r="G977" t="str">
            <v>GMEKA1F</v>
          </cell>
        </row>
        <row r="977">
          <cell r="I977">
            <v>79.9108</v>
          </cell>
          <cell r="J977">
            <v>7.1025</v>
          </cell>
        </row>
        <row r="977">
          <cell r="AA977" t="str">
            <v>2T2R</v>
          </cell>
        </row>
        <row r="978">
          <cell r="E978" t="str">
            <v>GMEKA1</v>
          </cell>
        </row>
        <row r="978">
          <cell r="G978" t="str">
            <v>GMEKA1I</v>
          </cell>
        </row>
        <row r="978">
          <cell r="I978">
            <v>79.9108</v>
          </cell>
          <cell r="J978">
            <v>7.1025</v>
          </cell>
        </row>
        <row r="978">
          <cell r="AA978" t="str">
            <v>2T2R</v>
          </cell>
        </row>
        <row r="979">
          <cell r="E979" t="str">
            <v>GMEKA1</v>
          </cell>
        </row>
        <row r="979">
          <cell r="G979" t="str">
            <v>GMEKA1H</v>
          </cell>
        </row>
        <row r="979">
          <cell r="I979">
            <v>79.9108</v>
          </cell>
          <cell r="J979">
            <v>7.1025</v>
          </cell>
        </row>
        <row r="979">
          <cell r="AA979" t="str">
            <v>2T2R</v>
          </cell>
        </row>
        <row r="980">
          <cell r="E980" t="str">
            <v>GMEKA1</v>
          </cell>
        </row>
        <row r="980">
          <cell r="G980" t="str">
            <v>GMEKA1G</v>
          </cell>
        </row>
        <row r="980">
          <cell r="I980">
            <v>79.9108</v>
          </cell>
          <cell r="J980">
            <v>7.1025</v>
          </cell>
        </row>
        <row r="980">
          <cell r="AA980" t="str">
            <v>2T2R</v>
          </cell>
        </row>
        <row r="981">
          <cell r="E981" t="str">
            <v>ZWAT14</v>
          </cell>
        </row>
        <row r="981">
          <cell r="G981" t="str">
            <v>ZWAT14-M-L21-C2</v>
          </cell>
        </row>
        <row r="981">
          <cell r="I981">
            <v>79.9109</v>
          </cell>
          <cell r="J981">
            <v>7.03239</v>
          </cell>
        </row>
        <row r="981">
          <cell r="AA981" t="str">
            <v>2T2R</v>
          </cell>
        </row>
        <row r="982">
          <cell r="E982" t="str">
            <v>ZWAT14</v>
          </cell>
        </row>
        <row r="982">
          <cell r="G982" t="str">
            <v>ZWAT14-M-L21-B2</v>
          </cell>
        </row>
        <row r="982">
          <cell r="I982">
            <v>79.9109</v>
          </cell>
          <cell r="J982">
            <v>7.03239</v>
          </cell>
        </row>
        <row r="982">
          <cell r="AA982" t="str">
            <v>2T2R</v>
          </cell>
        </row>
        <row r="983">
          <cell r="E983" t="str">
            <v>ZWAT14</v>
          </cell>
        </row>
        <row r="983">
          <cell r="G983" t="str">
            <v>ZWAT14-M-L21-A2</v>
          </cell>
        </row>
        <row r="983">
          <cell r="I983">
            <v>79.9109</v>
          </cell>
          <cell r="J983">
            <v>7.03239</v>
          </cell>
        </row>
        <row r="983">
          <cell r="AA983" t="str">
            <v>2T2R</v>
          </cell>
        </row>
        <row r="984">
          <cell r="E984" t="str">
            <v>ZWAT14</v>
          </cell>
        </row>
        <row r="984">
          <cell r="G984" t="str">
            <v>ZWAT14G</v>
          </cell>
        </row>
        <row r="984">
          <cell r="I984">
            <v>79.9109</v>
          </cell>
          <cell r="J984">
            <v>7.03239</v>
          </cell>
        </row>
        <row r="984">
          <cell r="AA984" t="str">
            <v>4T4R</v>
          </cell>
        </row>
        <row r="985">
          <cell r="E985" t="str">
            <v>ZWAT14</v>
          </cell>
        </row>
        <row r="985">
          <cell r="G985" t="str">
            <v>ZWAT14H</v>
          </cell>
        </row>
        <row r="985">
          <cell r="I985">
            <v>79.9109</v>
          </cell>
          <cell r="J985">
            <v>7.03239</v>
          </cell>
        </row>
        <row r="985">
          <cell r="AA985" t="str">
            <v>4T4R</v>
          </cell>
        </row>
        <row r="986">
          <cell r="E986" t="str">
            <v>ZWAT14</v>
          </cell>
        </row>
        <row r="986">
          <cell r="G986" t="str">
            <v>ZWAT14I</v>
          </cell>
        </row>
        <row r="986">
          <cell r="I986">
            <v>79.9109</v>
          </cell>
          <cell r="J986">
            <v>7.03239</v>
          </cell>
        </row>
        <row r="986">
          <cell r="AA986" t="str">
            <v>4T4R</v>
          </cell>
        </row>
        <row r="987">
          <cell r="E987" t="str">
            <v>ZWAT14</v>
          </cell>
        </row>
        <row r="987">
          <cell r="G987" t="str">
            <v>ZWAT14-M-L85-C1</v>
          </cell>
        </row>
        <row r="987">
          <cell r="I987">
            <v>79.9109</v>
          </cell>
          <cell r="J987">
            <v>7.03239</v>
          </cell>
        </row>
        <row r="987">
          <cell r="AA987" t="str">
            <v>2T2R</v>
          </cell>
        </row>
        <row r="988">
          <cell r="E988" t="str">
            <v>ZWAT14</v>
          </cell>
        </row>
        <row r="988">
          <cell r="G988" t="str">
            <v>ZWAT14-M-L85-B1</v>
          </cell>
        </row>
        <row r="988">
          <cell r="I988">
            <v>79.9109</v>
          </cell>
          <cell r="J988">
            <v>7.03239</v>
          </cell>
        </row>
        <row r="988">
          <cell r="AA988" t="str">
            <v>2T2R</v>
          </cell>
        </row>
        <row r="989">
          <cell r="E989" t="str">
            <v>ZWAT14</v>
          </cell>
        </row>
        <row r="989">
          <cell r="G989" t="str">
            <v>ZWAT14-M-L85-A1</v>
          </cell>
        </row>
        <row r="989">
          <cell r="I989">
            <v>79.9109</v>
          </cell>
          <cell r="J989">
            <v>7.03239</v>
          </cell>
        </row>
        <row r="989">
          <cell r="AA989" t="str">
            <v>2T2R</v>
          </cell>
        </row>
        <row r="990">
          <cell r="E990" t="str">
            <v>ZJAL16</v>
          </cell>
        </row>
        <row r="990">
          <cell r="G990" t="str">
            <v>ZJAL16I</v>
          </cell>
        </row>
        <row r="990">
          <cell r="I990">
            <v>79.9111</v>
          </cell>
          <cell r="J990">
            <v>7.08003</v>
          </cell>
        </row>
        <row r="990">
          <cell r="AA990" t="str">
            <v>4T4R</v>
          </cell>
        </row>
        <row r="991">
          <cell r="E991" t="str">
            <v>ZJAL16</v>
          </cell>
        </row>
        <row r="991">
          <cell r="G991" t="str">
            <v>ZJAL16H</v>
          </cell>
        </row>
        <row r="991">
          <cell r="I991">
            <v>79.9111</v>
          </cell>
          <cell r="J991">
            <v>7.08003</v>
          </cell>
        </row>
        <row r="991">
          <cell r="AA991" t="str">
            <v>4T4R</v>
          </cell>
        </row>
        <row r="992">
          <cell r="E992" t="str">
            <v>ZJAL16</v>
          </cell>
        </row>
        <row r="992">
          <cell r="G992" t="str">
            <v>ZJAL16G</v>
          </cell>
        </row>
        <row r="992">
          <cell r="I992">
            <v>79.9111</v>
          </cell>
          <cell r="J992">
            <v>7.08003</v>
          </cell>
        </row>
        <row r="992">
          <cell r="AA992" t="str">
            <v>4T4R</v>
          </cell>
        </row>
        <row r="993">
          <cell r="E993" t="str">
            <v>ZJAL16</v>
          </cell>
        </row>
        <row r="993">
          <cell r="G993" t="str">
            <v>ZJAL16-M-L85-A1</v>
          </cell>
        </row>
        <row r="993">
          <cell r="I993">
            <v>79.9111</v>
          </cell>
          <cell r="J993">
            <v>7.08003</v>
          </cell>
        </row>
        <row r="993">
          <cell r="AA993" t="str">
            <v>2T2R</v>
          </cell>
        </row>
        <row r="994">
          <cell r="E994" t="str">
            <v>ZJAL16</v>
          </cell>
        </row>
        <row r="994">
          <cell r="G994" t="str">
            <v>ZJAL16-M-L85-B1</v>
          </cell>
        </row>
        <row r="994">
          <cell r="I994">
            <v>79.9111</v>
          </cell>
          <cell r="J994">
            <v>7.08003</v>
          </cell>
        </row>
        <row r="994">
          <cell r="AA994" t="str">
            <v>2T2R</v>
          </cell>
        </row>
        <row r="995">
          <cell r="E995" t="str">
            <v>ZJAL16</v>
          </cell>
        </row>
        <row r="995">
          <cell r="G995" t="str">
            <v>ZJAL16-M-L85-C1</v>
          </cell>
        </row>
        <row r="995">
          <cell r="I995">
            <v>79.9111</v>
          </cell>
          <cell r="J995">
            <v>7.08003</v>
          </cell>
        </row>
        <row r="995">
          <cell r="AA995" t="str">
            <v>2T2R</v>
          </cell>
        </row>
        <row r="996">
          <cell r="E996" t="str">
            <v>ZJAL16</v>
          </cell>
        </row>
        <row r="996">
          <cell r="G996" t="str">
            <v>ZJAL16-M-L21-C2</v>
          </cell>
        </row>
        <row r="996">
          <cell r="I996">
            <v>79.9111</v>
          </cell>
          <cell r="J996">
            <v>7.08003</v>
          </cell>
        </row>
        <row r="996">
          <cell r="AA996" t="str">
            <v>2T2R</v>
          </cell>
        </row>
        <row r="997">
          <cell r="E997" t="str">
            <v>ZJAL16</v>
          </cell>
        </row>
        <row r="997">
          <cell r="G997" t="str">
            <v>ZJAL16-M-L21-B2</v>
          </cell>
        </row>
        <row r="997">
          <cell r="I997">
            <v>79.9111</v>
          </cell>
          <cell r="J997">
            <v>7.08003</v>
          </cell>
        </row>
        <row r="997">
          <cell r="AA997" t="str">
            <v>2T2R</v>
          </cell>
        </row>
        <row r="998">
          <cell r="E998" t="str">
            <v>ZJAL16</v>
          </cell>
        </row>
        <row r="998">
          <cell r="G998" t="str">
            <v>ZJAL16-M-L21-A2</v>
          </cell>
        </row>
        <row r="998">
          <cell r="I998">
            <v>79.9111</v>
          </cell>
          <cell r="J998">
            <v>7.08003</v>
          </cell>
        </row>
        <row r="998">
          <cell r="AA998" t="str">
            <v>2T2R</v>
          </cell>
        </row>
        <row r="999">
          <cell r="E999" t="str">
            <v>GMMRS1</v>
          </cell>
        </row>
        <row r="999">
          <cell r="G999" t="str">
            <v>GMMRS1-M-L85-C1</v>
          </cell>
        </row>
        <row r="999">
          <cell r="I999">
            <v>79.912222</v>
          </cell>
          <cell r="J999">
            <v>7.226388</v>
          </cell>
        </row>
        <row r="999">
          <cell r="AA999" t="str">
            <v>2T2R</v>
          </cell>
        </row>
        <row r="1000">
          <cell r="E1000" t="str">
            <v>GMMRS1</v>
          </cell>
        </row>
        <row r="1000">
          <cell r="G1000" t="str">
            <v>GMMRS1-M-L85-B1</v>
          </cell>
        </row>
        <row r="1000">
          <cell r="I1000">
            <v>79.912222</v>
          </cell>
          <cell r="J1000">
            <v>7.226388</v>
          </cell>
        </row>
        <row r="1000">
          <cell r="AA1000" t="str">
            <v>2T2R</v>
          </cell>
        </row>
        <row r="1001">
          <cell r="E1001" t="str">
            <v>GMMRS1</v>
          </cell>
        </row>
        <row r="1001">
          <cell r="G1001" t="str">
            <v>GMMRS1-M-L85-A1</v>
          </cell>
        </row>
        <row r="1001">
          <cell r="I1001">
            <v>79.912222</v>
          </cell>
          <cell r="J1001">
            <v>7.226388</v>
          </cell>
        </row>
        <row r="1001">
          <cell r="AA1001" t="str">
            <v>2T2R</v>
          </cell>
        </row>
        <row r="1002">
          <cell r="E1002" t="str">
            <v>GMMRS1</v>
          </cell>
        </row>
        <row r="1002">
          <cell r="G1002" t="str">
            <v>GMMRS1-M-L21-D2</v>
          </cell>
        </row>
        <row r="1002">
          <cell r="I1002">
            <v>79.912222</v>
          </cell>
          <cell r="J1002">
            <v>7.226388</v>
          </cell>
        </row>
        <row r="1002">
          <cell r="AA1002" t="str">
            <v>2T2R</v>
          </cell>
        </row>
        <row r="1003">
          <cell r="E1003" t="str">
            <v>GMMRS1</v>
          </cell>
        </row>
        <row r="1003">
          <cell r="G1003" t="str">
            <v>GMMRS1I</v>
          </cell>
        </row>
        <row r="1003">
          <cell r="I1003">
            <v>79.912222</v>
          </cell>
          <cell r="J1003">
            <v>7.226388</v>
          </cell>
        </row>
        <row r="1003">
          <cell r="AA1003" t="str">
            <v>4T4R</v>
          </cell>
        </row>
        <row r="1004">
          <cell r="E1004" t="str">
            <v>GMMRS1</v>
          </cell>
        </row>
        <row r="1004">
          <cell r="G1004" t="str">
            <v>GMMRS1H</v>
          </cell>
        </row>
        <row r="1004">
          <cell r="I1004">
            <v>79.912222</v>
          </cell>
          <cell r="J1004">
            <v>7.226388</v>
          </cell>
        </row>
        <row r="1004">
          <cell r="AA1004" t="str">
            <v>4T4R</v>
          </cell>
        </row>
        <row r="1005">
          <cell r="E1005" t="str">
            <v>GMMRS1</v>
          </cell>
        </row>
        <row r="1005">
          <cell r="G1005" t="str">
            <v>GMMRS1G</v>
          </cell>
        </row>
        <row r="1005">
          <cell r="I1005">
            <v>79.912222</v>
          </cell>
          <cell r="J1005">
            <v>7.226388</v>
          </cell>
        </row>
        <row r="1005">
          <cell r="AA1005" t="str">
            <v>4T4R</v>
          </cell>
        </row>
        <row r="1006">
          <cell r="E1006" t="str">
            <v>GMMRS1</v>
          </cell>
        </row>
        <row r="1006">
          <cell r="G1006" t="str">
            <v>GMMRS1F</v>
          </cell>
        </row>
        <row r="1006">
          <cell r="I1006">
            <v>79.912222</v>
          </cell>
          <cell r="J1006">
            <v>7.226388</v>
          </cell>
        </row>
        <row r="1006">
          <cell r="AA1006" t="str">
            <v>2T2R</v>
          </cell>
        </row>
        <row r="1007">
          <cell r="E1007" t="str">
            <v>ZJAL11</v>
          </cell>
        </row>
        <row r="1007">
          <cell r="G1007" t="str">
            <v>ZJAL11I</v>
          </cell>
        </row>
        <row r="1007">
          <cell r="I1007">
            <v>79.9125</v>
          </cell>
          <cell r="J1007">
            <v>7.04905</v>
          </cell>
        </row>
        <row r="1007">
          <cell r="AA1007" t="str">
            <v>2T2R</v>
          </cell>
        </row>
        <row r="1008">
          <cell r="E1008" t="str">
            <v>ZJAL11</v>
          </cell>
        </row>
        <row r="1008">
          <cell r="G1008" t="str">
            <v>ZJAL11H</v>
          </cell>
        </row>
        <row r="1008">
          <cell r="I1008">
            <v>79.9125</v>
          </cell>
          <cell r="J1008">
            <v>7.04905</v>
          </cell>
        </row>
        <row r="1008">
          <cell r="AA1008" t="str">
            <v>4T4R</v>
          </cell>
        </row>
        <row r="1009">
          <cell r="E1009" t="str">
            <v>ZJAL11</v>
          </cell>
        </row>
        <row r="1009">
          <cell r="G1009" t="str">
            <v>ZJAL11G</v>
          </cell>
        </row>
        <row r="1009">
          <cell r="I1009">
            <v>79.9125</v>
          </cell>
          <cell r="J1009">
            <v>7.04905</v>
          </cell>
        </row>
        <row r="1009">
          <cell r="AA1009" t="str">
            <v>4T4R</v>
          </cell>
        </row>
        <row r="1010">
          <cell r="E1010" t="str">
            <v>ZJAL11</v>
          </cell>
        </row>
        <row r="1010">
          <cell r="G1010" t="str">
            <v>ZJAL11-M-L85-C1</v>
          </cell>
        </row>
        <row r="1010">
          <cell r="I1010">
            <v>79.9125</v>
          </cell>
          <cell r="J1010">
            <v>7.04905</v>
          </cell>
        </row>
        <row r="1010">
          <cell r="AA1010" t="str">
            <v>2T2R</v>
          </cell>
        </row>
        <row r="1011">
          <cell r="E1011" t="str">
            <v>ZJAL11</v>
          </cell>
        </row>
        <row r="1011">
          <cell r="G1011" t="str">
            <v>ZJAL11-M-L85-B1</v>
          </cell>
        </row>
        <row r="1011">
          <cell r="I1011">
            <v>79.9125</v>
          </cell>
          <cell r="J1011">
            <v>7.04905</v>
          </cell>
        </row>
        <row r="1011">
          <cell r="AA1011" t="str">
            <v>2T2R</v>
          </cell>
        </row>
        <row r="1012">
          <cell r="E1012" t="str">
            <v>ZJAL11</v>
          </cell>
        </row>
        <row r="1012">
          <cell r="G1012" t="str">
            <v>ZJAL11-M-L85-A1</v>
          </cell>
        </row>
        <row r="1012">
          <cell r="I1012">
            <v>79.9125</v>
          </cell>
          <cell r="J1012">
            <v>7.04905</v>
          </cell>
        </row>
        <row r="1012">
          <cell r="AA1012" t="str">
            <v>2T2R</v>
          </cell>
        </row>
        <row r="1013">
          <cell r="E1013" t="str">
            <v>ZJAL11</v>
          </cell>
        </row>
        <row r="1013">
          <cell r="G1013" t="str">
            <v>ZJAL11F</v>
          </cell>
        </row>
        <row r="1013">
          <cell r="I1013">
            <v>79.9125</v>
          </cell>
          <cell r="J1013">
            <v>7.04905</v>
          </cell>
        </row>
        <row r="1013">
          <cell r="AA1013" t="str">
            <v>2T2R</v>
          </cell>
        </row>
        <row r="1014">
          <cell r="E1014" t="str">
            <v>LGM028</v>
          </cell>
        </row>
        <row r="1014">
          <cell r="G1014" t="str">
            <v>LGM028I</v>
          </cell>
        </row>
        <row r="1014">
          <cell r="I1014">
            <v>79.9126</v>
          </cell>
          <cell r="J1014">
            <v>7.0219</v>
          </cell>
        </row>
        <row r="1014">
          <cell r="AA1014" t="str">
            <v>4T4R</v>
          </cell>
        </row>
        <row r="1015">
          <cell r="E1015" t="str">
            <v>LGM028</v>
          </cell>
        </row>
        <row r="1015">
          <cell r="G1015" t="str">
            <v>LGM028H</v>
          </cell>
        </row>
        <row r="1015">
          <cell r="I1015">
            <v>79.9126</v>
          </cell>
          <cell r="J1015">
            <v>7.0219</v>
          </cell>
        </row>
        <row r="1015">
          <cell r="AA1015" t="str">
            <v>4T4R</v>
          </cell>
        </row>
        <row r="1016">
          <cell r="E1016" t="str">
            <v>LGM028</v>
          </cell>
        </row>
        <row r="1016">
          <cell r="G1016" t="str">
            <v>LGM028G</v>
          </cell>
        </row>
        <row r="1016">
          <cell r="I1016">
            <v>79.9126</v>
          </cell>
          <cell r="J1016">
            <v>7.0219</v>
          </cell>
        </row>
        <row r="1016">
          <cell r="AA1016" t="str">
            <v>4T4R</v>
          </cell>
        </row>
        <row r="1017">
          <cell r="E1017" t="str">
            <v>ZWAT28</v>
          </cell>
        </row>
        <row r="1017">
          <cell r="G1017" t="str">
            <v>ZWAT28G</v>
          </cell>
        </row>
        <row r="1017">
          <cell r="I1017">
            <v>79.9128</v>
          </cell>
          <cell r="J1017">
            <v>6.99204</v>
          </cell>
        </row>
        <row r="1017">
          <cell r="AA1017" t="str">
            <v>4T4R</v>
          </cell>
        </row>
        <row r="1018">
          <cell r="E1018" t="str">
            <v>ZWAT28</v>
          </cell>
        </row>
        <row r="1018">
          <cell r="G1018" t="str">
            <v>ZWAT28H</v>
          </cell>
        </row>
        <row r="1018">
          <cell r="I1018">
            <v>79.9128</v>
          </cell>
          <cell r="J1018">
            <v>6.99204</v>
          </cell>
        </row>
        <row r="1018">
          <cell r="AA1018" t="str">
            <v>4T4R</v>
          </cell>
        </row>
        <row r="1019">
          <cell r="E1019" t="str">
            <v>ZWAT28</v>
          </cell>
        </row>
        <row r="1019">
          <cell r="G1019" t="str">
            <v>ZWAT28I</v>
          </cell>
        </row>
        <row r="1019">
          <cell r="I1019">
            <v>79.9128</v>
          </cell>
          <cell r="J1019">
            <v>6.99204</v>
          </cell>
        </row>
        <row r="1019">
          <cell r="AA1019" t="str">
            <v>4T4R</v>
          </cell>
        </row>
        <row r="1020">
          <cell r="E1020" t="str">
            <v>GMHIN1</v>
          </cell>
        </row>
        <row r="1020">
          <cell r="G1020" t="str">
            <v>GMHIN1I</v>
          </cell>
        </row>
        <row r="1020">
          <cell r="I1020">
            <v>79.9134</v>
          </cell>
          <cell r="J1020">
            <v>7.15458</v>
          </cell>
        </row>
        <row r="1020">
          <cell r="AA1020" t="str">
            <v>2T2R</v>
          </cell>
        </row>
        <row r="1021">
          <cell r="E1021" t="str">
            <v>GMHIN1</v>
          </cell>
        </row>
        <row r="1021">
          <cell r="G1021" t="str">
            <v>GMHIN1H</v>
          </cell>
        </row>
        <row r="1021">
          <cell r="I1021">
            <v>79.9134</v>
          </cell>
          <cell r="J1021">
            <v>7.15458</v>
          </cell>
        </row>
        <row r="1021">
          <cell r="AA1021" t="str">
            <v>4T4R</v>
          </cell>
        </row>
        <row r="1022">
          <cell r="E1022" t="str">
            <v>GMHIN1</v>
          </cell>
        </row>
        <row r="1022">
          <cell r="G1022" t="str">
            <v>GMHIN1G</v>
          </cell>
        </row>
        <row r="1022">
          <cell r="I1022">
            <v>79.9134</v>
          </cell>
          <cell r="J1022">
            <v>7.15458</v>
          </cell>
        </row>
        <row r="1022">
          <cell r="AA1022" t="str">
            <v>2T2R</v>
          </cell>
        </row>
        <row r="1023">
          <cell r="E1023" t="str">
            <v>GMHIN1</v>
          </cell>
        </row>
        <row r="1023">
          <cell r="G1023" t="str">
            <v>GMHIN1-M-L85-C1</v>
          </cell>
        </row>
        <row r="1023">
          <cell r="I1023">
            <v>79.9134</v>
          </cell>
          <cell r="J1023">
            <v>7.15458</v>
          </cell>
        </row>
        <row r="1023">
          <cell r="AA1023" t="str">
            <v>2T2R</v>
          </cell>
        </row>
        <row r="1024">
          <cell r="E1024" t="str">
            <v>GMHIN1</v>
          </cell>
        </row>
        <row r="1024">
          <cell r="G1024" t="str">
            <v>GMHIN1-M-L85-B1</v>
          </cell>
        </row>
        <row r="1024">
          <cell r="I1024">
            <v>79.9134</v>
          </cell>
          <cell r="J1024">
            <v>7.15458</v>
          </cell>
        </row>
        <row r="1024">
          <cell r="AA1024" t="str">
            <v>2T2R</v>
          </cell>
        </row>
        <row r="1025">
          <cell r="E1025" t="str">
            <v>GMHIN1</v>
          </cell>
        </row>
        <row r="1025">
          <cell r="G1025" t="str">
            <v>GMHIN1-M-L85-A1</v>
          </cell>
        </row>
        <row r="1025">
          <cell r="I1025">
            <v>79.9134</v>
          </cell>
          <cell r="J1025">
            <v>7.15458</v>
          </cell>
        </row>
        <row r="1025">
          <cell r="AA1025" t="str">
            <v>2T2R</v>
          </cell>
        </row>
        <row r="1026">
          <cell r="E1026" t="str">
            <v>GMHIN1</v>
          </cell>
        </row>
        <row r="1026">
          <cell r="G1026" t="str">
            <v>GMHIN1-M-L21-B2</v>
          </cell>
        </row>
        <row r="1026">
          <cell r="I1026">
            <v>79.9134</v>
          </cell>
          <cell r="J1026">
            <v>7.15458</v>
          </cell>
        </row>
        <row r="1026">
          <cell r="AA1026" t="str">
            <v>4T4R</v>
          </cell>
        </row>
        <row r="1027">
          <cell r="E1027" t="str">
            <v>GMKTA3</v>
          </cell>
        </row>
        <row r="1027">
          <cell r="G1027" t="str">
            <v>GMKTA3-M-L85-C1</v>
          </cell>
        </row>
        <row r="1027">
          <cell r="I1027">
            <v>79.9134</v>
          </cell>
          <cell r="J1027">
            <v>7.25474</v>
          </cell>
        </row>
        <row r="1027">
          <cell r="AA1027" t="str">
            <v>2T2R</v>
          </cell>
        </row>
        <row r="1028">
          <cell r="E1028" t="str">
            <v>GMKTA3</v>
          </cell>
        </row>
        <row r="1028">
          <cell r="G1028" t="str">
            <v>GMKTA3-M-L85-B1</v>
          </cell>
        </row>
        <row r="1028">
          <cell r="I1028">
            <v>79.9134</v>
          </cell>
          <cell r="J1028">
            <v>7.25474</v>
          </cell>
        </row>
        <row r="1028">
          <cell r="AA1028" t="str">
            <v>2T2R</v>
          </cell>
        </row>
        <row r="1029">
          <cell r="E1029" t="str">
            <v>GMKTA3</v>
          </cell>
        </row>
        <row r="1029">
          <cell r="G1029" t="str">
            <v>GMKTA3-M-L85-A1</v>
          </cell>
        </row>
        <row r="1029">
          <cell r="I1029">
            <v>79.9134</v>
          </cell>
          <cell r="J1029">
            <v>7.25474</v>
          </cell>
        </row>
        <row r="1029">
          <cell r="AA1029" t="str">
            <v>2T2R</v>
          </cell>
        </row>
        <row r="1030">
          <cell r="E1030" t="str">
            <v>GMKTA3</v>
          </cell>
        </row>
        <row r="1030">
          <cell r="G1030" t="str">
            <v>GMKTA3I</v>
          </cell>
        </row>
        <row r="1030">
          <cell r="I1030">
            <v>79.9134</v>
          </cell>
          <cell r="J1030">
            <v>7.25474</v>
          </cell>
        </row>
        <row r="1030">
          <cell r="AA1030" t="str">
            <v>2T2R</v>
          </cell>
        </row>
        <row r="1031">
          <cell r="E1031" t="str">
            <v>GMKTA3</v>
          </cell>
        </row>
        <row r="1031">
          <cell r="G1031" t="str">
            <v>GMKTA3H</v>
          </cell>
        </row>
        <row r="1031">
          <cell r="I1031">
            <v>79.9134</v>
          </cell>
          <cell r="J1031">
            <v>7.25474</v>
          </cell>
        </row>
        <row r="1031">
          <cell r="AA1031" t="str">
            <v>4T4R</v>
          </cell>
        </row>
        <row r="1032">
          <cell r="E1032" t="str">
            <v>GMKTA3</v>
          </cell>
        </row>
        <row r="1032">
          <cell r="G1032" t="str">
            <v>GMKTA3G</v>
          </cell>
        </row>
        <row r="1032">
          <cell r="I1032">
            <v>79.9134</v>
          </cell>
          <cell r="J1032">
            <v>7.25474</v>
          </cell>
        </row>
        <row r="1032">
          <cell r="AA1032" t="str">
            <v>4T4R</v>
          </cell>
        </row>
        <row r="1033">
          <cell r="E1033" t="str">
            <v>ZKEL28</v>
          </cell>
        </row>
        <row r="1033">
          <cell r="G1033" t="str">
            <v>ZKEL28-M-L85-C1</v>
          </cell>
        </row>
        <row r="1033">
          <cell r="I1033">
            <v>79.9136</v>
          </cell>
          <cell r="J1033">
            <v>6.9508</v>
          </cell>
        </row>
        <row r="1033">
          <cell r="AA1033" t="str">
            <v>2T2R</v>
          </cell>
        </row>
        <row r="1034">
          <cell r="E1034" t="str">
            <v>ZKEL28</v>
          </cell>
        </row>
        <row r="1034">
          <cell r="G1034" t="str">
            <v>ZKEL28-M-L85-B1</v>
          </cell>
        </row>
        <row r="1034">
          <cell r="I1034">
            <v>79.9136</v>
          </cell>
          <cell r="J1034">
            <v>6.9508</v>
          </cell>
        </row>
        <row r="1034">
          <cell r="AA1034" t="str">
            <v>2T2R</v>
          </cell>
        </row>
        <row r="1035">
          <cell r="E1035" t="str">
            <v>ZKEL28</v>
          </cell>
        </row>
        <row r="1035">
          <cell r="G1035" t="str">
            <v>ZKEL28-M-L85-A1</v>
          </cell>
        </row>
        <row r="1035">
          <cell r="I1035">
            <v>79.9136</v>
          </cell>
          <cell r="J1035">
            <v>6.9508</v>
          </cell>
        </row>
        <row r="1035">
          <cell r="AA1035" t="str">
            <v>2T2R</v>
          </cell>
        </row>
        <row r="1036">
          <cell r="E1036" t="str">
            <v>ZKEL28</v>
          </cell>
        </row>
        <row r="1036">
          <cell r="G1036" t="str">
            <v>ZKEL28I</v>
          </cell>
        </row>
        <row r="1036">
          <cell r="I1036">
            <v>79.9136</v>
          </cell>
          <cell r="J1036">
            <v>6.9508</v>
          </cell>
        </row>
        <row r="1036">
          <cell r="AA1036" t="str">
            <v>2T2R</v>
          </cell>
        </row>
        <row r="1037">
          <cell r="E1037" t="str">
            <v>ZKEL28</v>
          </cell>
        </row>
        <row r="1037">
          <cell r="G1037" t="str">
            <v>ZKEL28H</v>
          </cell>
        </row>
        <row r="1037">
          <cell r="I1037">
            <v>79.9136</v>
          </cell>
          <cell r="J1037">
            <v>6.9508</v>
          </cell>
        </row>
        <row r="1037">
          <cell r="AA1037" t="str">
            <v>2T2R</v>
          </cell>
        </row>
        <row r="1038">
          <cell r="E1038" t="str">
            <v>ZKEL28</v>
          </cell>
        </row>
        <row r="1038">
          <cell r="G1038" t="str">
            <v>ZKEL28G</v>
          </cell>
        </row>
        <row r="1038">
          <cell r="I1038">
            <v>79.9136</v>
          </cell>
          <cell r="J1038">
            <v>6.9508</v>
          </cell>
        </row>
        <row r="1038">
          <cell r="AA1038" t="str">
            <v>2T2R</v>
          </cell>
        </row>
        <row r="1039">
          <cell r="E1039" t="str">
            <v>ZKEL23</v>
          </cell>
        </row>
        <row r="1039">
          <cell r="G1039" t="str">
            <v>ZKEL23I</v>
          </cell>
        </row>
        <row r="1039">
          <cell r="I1039">
            <v>79.9137</v>
          </cell>
          <cell r="J1039">
            <v>6.96429</v>
          </cell>
        </row>
        <row r="1039">
          <cell r="AA1039" t="str">
            <v>2T2R</v>
          </cell>
        </row>
        <row r="1040">
          <cell r="E1040" t="str">
            <v>ZKEL23</v>
          </cell>
        </row>
        <row r="1040">
          <cell r="G1040" t="str">
            <v>ZKEL23H</v>
          </cell>
        </row>
        <row r="1040">
          <cell r="I1040">
            <v>79.9137</v>
          </cell>
          <cell r="J1040">
            <v>6.96429</v>
          </cell>
        </row>
        <row r="1040">
          <cell r="AA1040" t="str">
            <v>2T2R</v>
          </cell>
        </row>
        <row r="1041">
          <cell r="E1041" t="str">
            <v>ZKEL23</v>
          </cell>
        </row>
        <row r="1041">
          <cell r="G1041" t="str">
            <v>ZKEL23G</v>
          </cell>
        </row>
        <row r="1041">
          <cell r="I1041">
            <v>79.9137</v>
          </cell>
          <cell r="J1041">
            <v>6.96429</v>
          </cell>
        </row>
        <row r="1041">
          <cell r="AA1041" t="str">
            <v>2T2R</v>
          </cell>
        </row>
        <row r="1042">
          <cell r="E1042" t="str">
            <v>ZWAT63</v>
          </cell>
        </row>
        <row r="1042">
          <cell r="G1042" t="str">
            <v>ZWAT63I</v>
          </cell>
        </row>
        <row r="1042">
          <cell r="I1042">
            <v>79.914206</v>
          </cell>
          <cell r="J1042">
            <v>7.027702</v>
          </cell>
        </row>
        <row r="1042">
          <cell r="AA1042" t="str">
            <v>4T4R</v>
          </cell>
        </row>
        <row r="1043">
          <cell r="E1043" t="str">
            <v>ZWAT63</v>
          </cell>
        </row>
        <row r="1043">
          <cell r="G1043" t="str">
            <v>ZWAT63H</v>
          </cell>
        </row>
        <row r="1043">
          <cell r="I1043">
            <v>79.914206</v>
          </cell>
          <cell r="J1043">
            <v>7.027702</v>
          </cell>
        </row>
        <row r="1043">
          <cell r="AA1043" t="str">
            <v>4T4R</v>
          </cell>
        </row>
        <row r="1044">
          <cell r="E1044" t="str">
            <v>ZWAT63</v>
          </cell>
        </row>
        <row r="1044">
          <cell r="G1044" t="str">
            <v>ZWAT63G</v>
          </cell>
        </row>
        <row r="1044">
          <cell r="I1044">
            <v>79.914206</v>
          </cell>
          <cell r="J1044">
            <v>7.027702</v>
          </cell>
        </row>
        <row r="1044">
          <cell r="AA1044" t="str">
            <v>4T4R</v>
          </cell>
        </row>
        <row r="1045">
          <cell r="E1045" t="str">
            <v>GMKTG3</v>
          </cell>
        </row>
        <row r="1045">
          <cell r="G1045" t="str">
            <v>GMKTG3-M-L85-C1</v>
          </cell>
        </row>
        <row r="1045">
          <cell r="I1045">
            <v>79.914619</v>
          </cell>
          <cell r="J1045">
            <v>7.122707</v>
          </cell>
        </row>
        <row r="1045">
          <cell r="AA1045" t="str">
            <v>2T2R</v>
          </cell>
        </row>
        <row r="1046">
          <cell r="E1046" t="str">
            <v>GMKTG3</v>
          </cell>
        </row>
        <row r="1046">
          <cell r="G1046" t="str">
            <v>GMKTG3-M-L85-B1</v>
          </cell>
        </row>
        <row r="1046">
          <cell r="I1046">
            <v>79.914619</v>
          </cell>
          <cell r="J1046">
            <v>7.122707</v>
          </cell>
        </row>
        <row r="1046">
          <cell r="AA1046" t="str">
            <v>2T2R</v>
          </cell>
        </row>
        <row r="1047">
          <cell r="E1047" t="str">
            <v>GMKTG3</v>
          </cell>
        </row>
        <row r="1047">
          <cell r="G1047" t="str">
            <v>GMKTG3-M-L85-A1</v>
          </cell>
        </row>
        <row r="1047">
          <cell r="I1047">
            <v>79.914619</v>
          </cell>
          <cell r="J1047">
            <v>7.122707</v>
          </cell>
        </row>
        <row r="1047">
          <cell r="AA1047" t="str">
            <v>2T2R</v>
          </cell>
        </row>
        <row r="1048">
          <cell r="E1048" t="str">
            <v>GMKTG3</v>
          </cell>
        </row>
        <row r="1048">
          <cell r="G1048" t="str">
            <v>GMKTG3-M-L18-G1</v>
          </cell>
        </row>
        <row r="1048">
          <cell r="I1048">
            <v>79.914619</v>
          </cell>
          <cell r="J1048">
            <v>7.122707</v>
          </cell>
        </row>
        <row r="1048">
          <cell r="AA1048" t="str">
            <v>2T2R</v>
          </cell>
        </row>
        <row r="1049">
          <cell r="E1049" t="str">
            <v>GMKTG3</v>
          </cell>
        </row>
        <row r="1049">
          <cell r="G1049" t="str">
            <v>GMKTG3I</v>
          </cell>
        </row>
        <row r="1049">
          <cell r="I1049">
            <v>79.914619</v>
          </cell>
          <cell r="J1049">
            <v>7.122707</v>
          </cell>
        </row>
        <row r="1049">
          <cell r="AA1049" t="str">
            <v>2T2R</v>
          </cell>
        </row>
        <row r="1050">
          <cell r="E1050" t="str">
            <v>GMKTG3</v>
          </cell>
        </row>
        <row r="1050">
          <cell r="G1050" t="str">
            <v>GMKTG3H</v>
          </cell>
        </row>
        <row r="1050">
          <cell r="I1050">
            <v>79.914619</v>
          </cell>
          <cell r="J1050">
            <v>7.122707</v>
          </cell>
        </row>
        <row r="1050">
          <cell r="AA1050" t="str">
            <v>2T2R</v>
          </cell>
        </row>
        <row r="1051">
          <cell r="E1051" t="str">
            <v>GMKTG3</v>
          </cell>
        </row>
        <row r="1051">
          <cell r="G1051" t="str">
            <v>GMKTG3G</v>
          </cell>
        </row>
        <row r="1051">
          <cell r="I1051">
            <v>79.914619</v>
          </cell>
          <cell r="J1051">
            <v>7.122707</v>
          </cell>
        </row>
        <row r="1051">
          <cell r="AA1051" t="str">
            <v>2T2R</v>
          </cell>
        </row>
        <row r="1052">
          <cell r="E1052" t="str">
            <v>ZKEL03</v>
          </cell>
        </row>
        <row r="1052">
          <cell r="G1052" t="str">
            <v>ZKEL03E</v>
          </cell>
        </row>
        <row r="1052">
          <cell r="I1052">
            <v>79.9156</v>
          </cell>
          <cell r="J1052">
            <v>6.95766</v>
          </cell>
        </row>
        <row r="1052">
          <cell r="AA1052" t="str">
            <v>4T4R</v>
          </cell>
        </row>
        <row r="1053">
          <cell r="E1053" t="str">
            <v>ZKEL03</v>
          </cell>
        </row>
        <row r="1053">
          <cell r="G1053" t="str">
            <v>ZKEL03F</v>
          </cell>
        </row>
        <row r="1053">
          <cell r="I1053">
            <v>79.9156</v>
          </cell>
          <cell r="J1053">
            <v>6.95766</v>
          </cell>
        </row>
        <row r="1053">
          <cell r="AA1053" t="str">
            <v>4T4R</v>
          </cell>
        </row>
        <row r="1054">
          <cell r="E1054" t="str">
            <v>ZKEL03</v>
          </cell>
        </row>
        <row r="1054">
          <cell r="G1054" t="str">
            <v>ZKEL03-M-L85-C1</v>
          </cell>
        </row>
        <row r="1054">
          <cell r="I1054">
            <v>79.9156</v>
          </cell>
          <cell r="J1054">
            <v>6.95766</v>
          </cell>
        </row>
        <row r="1054">
          <cell r="AA1054" t="str">
            <v>2T2R</v>
          </cell>
        </row>
        <row r="1055">
          <cell r="E1055" t="str">
            <v>ZKEL03</v>
          </cell>
        </row>
        <row r="1055">
          <cell r="G1055" t="str">
            <v>ZKEL03-M-L85-B1</v>
          </cell>
        </row>
        <row r="1055">
          <cell r="I1055">
            <v>79.9156</v>
          </cell>
          <cell r="J1055">
            <v>6.95766</v>
          </cell>
        </row>
        <row r="1055">
          <cell r="AA1055" t="str">
            <v>2T2R</v>
          </cell>
        </row>
        <row r="1056">
          <cell r="E1056" t="str">
            <v>ZKEL03</v>
          </cell>
        </row>
        <row r="1056">
          <cell r="G1056" t="str">
            <v>ZKEL03-M-L85-A1</v>
          </cell>
        </row>
        <row r="1056">
          <cell r="I1056">
            <v>79.9156</v>
          </cell>
          <cell r="J1056">
            <v>6.95766</v>
          </cell>
        </row>
        <row r="1056">
          <cell r="AA1056" t="str">
            <v>2T2R</v>
          </cell>
        </row>
        <row r="1057">
          <cell r="E1057" t="str">
            <v>ZKEL03</v>
          </cell>
        </row>
        <row r="1057">
          <cell r="G1057" t="str">
            <v>ZKEL03-M-L21-C2</v>
          </cell>
        </row>
        <row r="1057">
          <cell r="I1057">
            <v>79.9156</v>
          </cell>
          <cell r="J1057">
            <v>6.95766</v>
          </cell>
        </row>
        <row r="1057">
          <cell r="AA1057" t="str">
            <v>2T2R</v>
          </cell>
        </row>
        <row r="1058">
          <cell r="E1058" t="str">
            <v>ZKEL03</v>
          </cell>
        </row>
        <row r="1058">
          <cell r="G1058" t="str">
            <v>ZKEL03-M-L21-B2</v>
          </cell>
        </row>
        <row r="1058">
          <cell r="I1058">
            <v>79.9156</v>
          </cell>
          <cell r="J1058">
            <v>6.95766</v>
          </cell>
        </row>
        <row r="1058">
          <cell r="AA1058" t="str">
            <v>4T4R</v>
          </cell>
        </row>
        <row r="1059">
          <cell r="E1059" t="str">
            <v>ZKEL03</v>
          </cell>
        </row>
        <row r="1059">
          <cell r="G1059" t="str">
            <v>ZKEL03-M-L21-A2</v>
          </cell>
        </row>
        <row r="1059">
          <cell r="I1059">
            <v>79.9156</v>
          </cell>
          <cell r="J1059">
            <v>6.95766</v>
          </cell>
        </row>
        <row r="1059">
          <cell r="AA1059" t="str">
            <v>2T2R</v>
          </cell>
        </row>
        <row r="1060">
          <cell r="E1060" t="str">
            <v>ZKEL03</v>
          </cell>
        </row>
        <row r="1060">
          <cell r="G1060" t="str">
            <v>ZKEL03-M-L18-G1</v>
          </cell>
        </row>
        <row r="1060">
          <cell r="I1060">
            <v>79.9156</v>
          </cell>
          <cell r="J1060">
            <v>6.95766</v>
          </cell>
        </row>
        <row r="1060">
          <cell r="AA1060" t="str">
            <v>4T4R</v>
          </cell>
        </row>
        <row r="1061">
          <cell r="E1061" t="str">
            <v>ZKEL03</v>
          </cell>
        </row>
        <row r="1061">
          <cell r="G1061" t="str">
            <v>ZKEL03G</v>
          </cell>
        </row>
        <row r="1061">
          <cell r="I1061">
            <v>79.9156</v>
          </cell>
          <cell r="J1061">
            <v>6.95766</v>
          </cell>
        </row>
        <row r="1061">
          <cell r="AA1061" t="str">
            <v>4T4R</v>
          </cell>
        </row>
        <row r="1062">
          <cell r="E1062" t="str">
            <v>ZKEL03</v>
          </cell>
        </row>
        <row r="1062">
          <cell r="G1062" t="str">
            <v>ZKEL03H</v>
          </cell>
        </row>
        <row r="1062">
          <cell r="I1062">
            <v>79.9156</v>
          </cell>
          <cell r="J1062">
            <v>6.95766</v>
          </cell>
        </row>
        <row r="1062">
          <cell r="AA1062" t="str">
            <v>4T4R</v>
          </cell>
        </row>
        <row r="1063">
          <cell r="E1063" t="str">
            <v>ZKEL03</v>
          </cell>
        </row>
        <row r="1063">
          <cell r="G1063" t="str">
            <v>ZKEL03I</v>
          </cell>
        </row>
        <row r="1063">
          <cell r="I1063">
            <v>79.9156</v>
          </cell>
          <cell r="J1063">
            <v>6.95766</v>
          </cell>
        </row>
        <row r="1063">
          <cell r="AA1063" t="str">
            <v>4T4R</v>
          </cell>
        </row>
        <row r="1064">
          <cell r="E1064" t="str">
            <v>ZKEL20</v>
          </cell>
        </row>
        <row r="1064">
          <cell r="G1064" t="str">
            <v>ZKEL20G</v>
          </cell>
        </row>
        <row r="1064">
          <cell r="I1064">
            <v>79.9167</v>
          </cell>
          <cell r="J1064">
            <v>6.97533</v>
          </cell>
        </row>
        <row r="1064">
          <cell r="AA1064" t="str">
            <v>2T2R</v>
          </cell>
        </row>
        <row r="1065">
          <cell r="E1065" t="str">
            <v>ZKEL20</v>
          </cell>
        </row>
        <row r="1065">
          <cell r="G1065" t="str">
            <v>ZKEL20H</v>
          </cell>
        </row>
        <row r="1065">
          <cell r="I1065">
            <v>79.9167</v>
          </cell>
          <cell r="J1065">
            <v>6.97533</v>
          </cell>
        </row>
        <row r="1065">
          <cell r="AA1065" t="str">
            <v>2T2R</v>
          </cell>
        </row>
        <row r="1066">
          <cell r="E1066" t="str">
            <v>ZKEL20</v>
          </cell>
        </row>
        <row r="1066">
          <cell r="G1066" t="str">
            <v>ZKEL20I</v>
          </cell>
        </row>
        <row r="1066">
          <cell r="I1066">
            <v>79.9167</v>
          </cell>
          <cell r="J1066">
            <v>6.97533</v>
          </cell>
        </row>
        <row r="1066">
          <cell r="AA1066" t="str">
            <v>2T2R</v>
          </cell>
        </row>
        <row r="1067">
          <cell r="E1067" t="str">
            <v>ZKEL20</v>
          </cell>
        </row>
        <row r="1067">
          <cell r="G1067" t="str">
            <v>ZKEL20-M-L21-C2</v>
          </cell>
        </row>
        <row r="1067">
          <cell r="I1067">
            <v>79.9167</v>
          </cell>
          <cell r="J1067">
            <v>6.97533</v>
          </cell>
        </row>
        <row r="1067">
          <cell r="AA1067" t="str">
            <v>2T2R</v>
          </cell>
        </row>
        <row r="1068">
          <cell r="E1068" t="str">
            <v>ZKEL20</v>
          </cell>
        </row>
        <row r="1068">
          <cell r="G1068" t="str">
            <v>ZKEL20-M-L21-B2</v>
          </cell>
        </row>
        <row r="1068">
          <cell r="I1068">
            <v>79.9167</v>
          </cell>
          <cell r="J1068">
            <v>6.97533</v>
          </cell>
        </row>
        <row r="1068">
          <cell r="AA1068" t="str">
            <v>2T2R</v>
          </cell>
        </row>
        <row r="1069">
          <cell r="E1069" t="str">
            <v>ZKEL20</v>
          </cell>
        </row>
        <row r="1069">
          <cell r="G1069" t="str">
            <v>ZKEL20-M-L21-A2</v>
          </cell>
        </row>
        <row r="1069">
          <cell r="I1069">
            <v>79.9167</v>
          </cell>
          <cell r="J1069">
            <v>6.97533</v>
          </cell>
        </row>
        <row r="1069">
          <cell r="AA1069" t="str">
            <v>2T2R</v>
          </cell>
        </row>
        <row r="1070">
          <cell r="E1070" t="str">
            <v>ZKEL20</v>
          </cell>
        </row>
        <row r="1070">
          <cell r="G1070" t="str">
            <v>ZKEL20-M-L23-C1</v>
          </cell>
        </row>
        <row r="1070">
          <cell r="I1070">
            <v>79.9167</v>
          </cell>
          <cell r="J1070">
            <v>6.97533</v>
          </cell>
        </row>
        <row r="1070">
          <cell r="AA1070" t="str">
            <v>4T4R</v>
          </cell>
        </row>
        <row r="1071">
          <cell r="E1071" t="str">
            <v>ZKEL20</v>
          </cell>
        </row>
        <row r="1071">
          <cell r="G1071" t="str">
            <v>ZKEL20-M-L23-B1</v>
          </cell>
        </row>
        <row r="1071">
          <cell r="I1071">
            <v>79.9167</v>
          </cell>
          <cell r="J1071">
            <v>6.97533</v>
          </cell>
        </row>
        <row r="1071">
          <cell r="AA1071" t="str">
            <v>4T4R</v>
          </cell>
        </row>
        <row r="1072">
          <cell r="E1072" t="str">
            <v>ZKEL20</v>
          </cell>
        </row>
        <row r="1072">
          <cell r="G1072" t="str">
            <v>ZKEL20-M-L23-A1</v>
          </cell>
        </row>
        <row r="1072">
          <cell r="I1072">
            <v>79.9167</v>
          </cell>
          <cell r="J1072">
            <v>6.97533</v>
          </cell>
        </row>
        <row r="1072">
          <cell r="AA1072" t="str">
            <v>4T4R</v>
          </cell>
        </row>
        <row r="1073">
          <cell r="E1073" t="str">
            <v>ZJAL28</v>
          </cell>
        </row>
        <row r="1073">
          <cell r="G1073" t="str">
            <v>ZJAL28-M-L18-B1</v>
          </cell>
        </row>
        <row r="1073">
          <cell r="I1073">
            <v>79.9169</v>
          </cell>
          <cell r="J1073">
            <v>7.05944</v>
          </cell>
        </row>
        <row r="1073">
          <cell r="AA1073" t="str">
            <v>2T2R</v>
          </cell>
        </row>
        <row r="1074">
          <cell r="E1074" t="str">
            <v>ZJAL28</v>
          </cell>
        </row>
        <row r="1074">
          <cell r="G1074" t="str">
            <v>ZJAL28I</v>
          </cell>
        </row>
        <row r="1074">
          <cell r="I1074">
            <v>79.9169</v>
          </cell>
          <cell r="J1074">
            <v>7.05944</v>
          </cell>
        </row>
        <row r="1074">
          <cell r="AA1074" t="str">
            <v>4T4R</v>
          </cell>
        </row>
        <row r="1075">
          <cell r="E1075" t="str">
            <v>ZJAL28</v>
          </cell>
        </row>
        <row r="1075">
          <cell r="G1075" t="str">
            <v>ZJAL28H</v>
          </cell>
        </row>
        <row r="1075">
          <cell r="I1075">
            <v>79.9169</v>
          </cell>
          <cell r="J1075">
            <v>7.05944</v>
          </cell>
        </row>
        <row r="1075">
          <cell r="AA1075" t="str">
            <v>2T2R</v>
          </cell>
        </row>
        <row r="1076">
          <cell r="E1076" t="str">
            <v>ZJAL28</v>
          </cell>
        </row>
        <row r="1076">
          <cell r="G1076" t="str">
            <v>ZJAL28G</v>
          </cell>
        </row>
        <row r="1076">
          <cell r="I1076">
            <v>79.9169</v>
          </cell>
          <cell r="J1076">
            <v>7.05944</v>
          </cell>
        </row>
        <row r="1076">
          <cell r="AA1076" t="str">
            <v>4T4R</v>
          </cell>
        </row>
        <row r="1077">
          <cell r="E1077" t="str">
            <v>ZKEL38</v>
          </cell>
        </row>
        <row r="1077">
          <cell r="G1077" t="str">
            <v>ZKEL38I</v>
          </cell>
        </row>
        <row r="1077">
          <cell r="I1077">
            <v>79.916944</v>
          </cell>
          <cell r="J1077">
            <v>6.966944</v>
          </cell>
        </row>
        <row r="1077">
          <cell r="AA1077" t="str">
            <v>2T2R</v>
          </cell>
        </row>
        <row r="1078">
          <cell r="E1078" t="str">
            <v>ZKEL38</v>
          </cell>
        </row>
        <row r="1078">
          <cell r="G1078" t="str">
            <v>ZKEL38H</v>
          </cell>
        </row>
        <row r="1078">
          <cell r="I1078">
            <v>79.916944</v>
          </cell>
          <cell r="J1078">
            <v>6.966944</v>
          </cell>
        </row>
        <row r="1078">
          <cell r="AA1078" t="str">
            <v>2T2R</v>
          </cell>
        </row>
        <row r="1079">
          <cell r="E1079" t="str">
            <v>ZKEL38</v>
          </cell>
        </row>
        <row r="1079">
          <cell r="G1079" t="str">
            <v>ZKEL38G</v>
          </cell>
        </row>
        <row r="1079">
          <cell r="I1079">
            <v>79.916944</v>
          </cell>
          <cell r="J1079">
            <v>6.966944</v>
          </cell>
        </row>
        <row r="1079">
          <cell r="AA1079" t="str">
            <v>2T2R</v>
          </cell>
        </row>
        <row r="1080">
          <cell r="E1080" t="str">
            <v>GMDAG1</v>
          </cell>
        </row>
        <row r="1080">
          <cell r="G1080" t="str">
            <v>GMDAG1I</v>
          </cell>
        </row>
        <row r="1080">
          <cell r="I1080">
            <v>79.917</v>
          </cell>
          <cell r="J1080">
            <v>7.20806</v>
          </cell>
        </row>
        <row r="1080">
          <cell r="AA1080" t="str">
            <v>2T2R</v>
          </cell>
        </row>
        <row r="1081">
          <cell r="E1081" t="str">
            <v>GMDAG1</v>
          </cell>
        </row>
        <row r="1081">
          <cell r="G1081" t="str">
            <v>GMDAG1H</v>
          </cell>
        </row>
        <row r="1081">
          <cell r="I1081">
            <v>79.917</v>
          </cell>
          <cell r="J1081">
            <v>7.20806</v>
          </cell>
        </row>
        <row r="1081">
          <cell r="AA1081" t="str">
            <v>2T2R</v>
          </cell>
        </row>
        <row r="1082">
          <cell r="E1082" t="str">
            <v>GMDAG1</v>
          </cell>
        </row>
        <row r="1082">
          <cell r="G1082" t="str">
            <v>GMDAG1G</v>
          </cell>
        </row>
        <row r="1082">
          <cell r="I1082">
            <v>79.917</v>
          </cell>
          <cell r="J1082">
            <v>7.20806</v>
          </cell>
        </row>
        <row r="1082">
          <cell r="AA1082" t="str">
            <v>2T2R</v>
          </cell>
        </row>
        <row r="1083">
          <cell r="E1083" t="str">
            <v>ZWAT06</v>
          </cell>
        </row>
        <row r="1083">
          <cell r="G1083" t="str">
            <v>ZWAT06-M-L21-C2</v>
          </cell>
        </row>
        <row r="1083">
          <cell r="I1083">
            <v>79.917</v>
          </cell>
          <cell r="J1083">
            <v>6.99586</v>
          </cell>
        </row>
        <row r="1083">
          <cell r="AA1083" t="str">
            <v>2T2R</v>
          </cell>
        </row>
        <row r="1084">
          <cell r="E1084" t="str">
            <v>ZWAT06</v>
          </cell>
        </row>
        <row r="1084">
          <cell r="G1084" t="str">
            <v>ZWAT06-M-L21-B2</v>
          </cell>
        </row>
        <row r="1084">
          <cell r="I1084">
            <v>79.917</v>
          </cell>
          <cell r="J1084">
            <v>6.99586</v>
          </cell>
        </row>
        <row r="1084">
          <cell r="AA1084" t="str">
            <v>2T2R</v>
          </cell>
        </row>
        <row r="1085">
          <cell r="E1085" t="str">
            <v>ZWAT06</v>
          </cell>
        </row>
        <row r="1085">
          <cell r="G1085" t="str">
            <v>ZWAT06-M-L21-A2</v>
          </cell>
        </row>
        <row r="1085">
          <cell r="I1085">
            <v>79.917</v>
          </cell>
          <cell r="J1085">
            <v>6.99586</v>
          </cell>
        </row>
        <row r="1085">
          <cell r="AA1085" t="str">
            <v>2T2R</v>
          </cell>
        </row>
        <row r="1086">
          <cell r="E1086" t="str">
            <v>ZWAT06</v>
          </cell>
        </row>
        <row r="1086">
          <cell r="G1086" t="str">
            <v>ZWAT06-M-L18-B1</v>
          </cell>
        </row>
        <row r="1086">
          <cell r="I1086">
            <v>79.917</v>
          </cell>
          <cell r="J1086">
            <v>6.99586</v>
          </cell>
        </row>
        <row r="1086">
          <cell r="AA1086" t="str">
            <v>2T2R</v>
          </cell>
        </row>
        <row r="1087">
          <cell r="E1087" t="str">
            <v>ZWAT06</v>
          </cell>
        </row>
        <row r="1087">
          <cell r="G1087" t="str">
            <v>ZWAT06-M-L18-A1</v>
          </cell>
        </row>
        <row r="1087">
          <cell r="I1087">
            <v>79.917</v>
          </cell>
          <cell r="J1087">
            <v>6.99586</v>
          </cell>
        </row>
        <row r="1087">
          <cell r="AA1087" t="str">
            <v>2T2R</v>
          </cell>
        </row>
        <row r="1088">
          <cell r="E1088" t="str">
            <v>GMDAG1</v>
          </cell>
        </row>
        <row r="1088">
          <cell r="G1088" t="str">
            <v>GMDAG1-M-L85-C1</v>
          </cell>
        </row>
        <row r="1088">
          <cell r="I1088">
            <v>79.917</v>
          </cell>
          <cell r="J1088">
            <v>7.20806</v>
          </cell>
        </row>
        <row r="1088">
          <cell r="AA1088" t="str">
            <v>2T2R</v>
          </cell>
        </row>
        <row r="1089">
          <cell r="E1089" t="str">
            <v>GMDAG1</v>
          </cell>
        </row>
        <row r="1089">
          <cell r="G1089" t="str">
            <v>GMDAG1-M-L85-B1</v>
          </cell>
        </row>
        <row r="1089">
          <cell r="I1089">
            <v>79.917</v>
          </cell>
          <cell r="J1089">
            <v>7.20806</v>
          </cell>
        </row>
        <row r="1089">
          <cell r="AA1089" t="str">
            <v>2T2R</v>
          </cell>
        </row>
        <row r="1090">
          <cell r="E1090" t="str">
            <v>GMDAG1</v>
          </cell>
        </row>
        <row r="1090">
          <cell r="G1090" t="str">
            <v>GMDAG1-M-L85-A1</v>
          </cell>
        </row>
        <row r="1090">
          <cell r="I1090">
            <v>79.917</v>
          </cell>
          <cell r="J1090">
            <v>7.20806</v>
          </cell>
        </row>
        <row r="1090">
          <cell r="AA1090" t="str">
            <v>2T2R</v>
          </cell>
        </row>
        <row r="1091">
          <cell r="E1091" t="str">
            <v>GMDAG1</v>
          </cell>
        </row>
        <row r="1091">
          <cell r="G1091" t="str">
            <v>GMDAG1-M-L21-C2</v>
          </cell>
        </row>
        <row r="1091">
          <cell r="I1091">
            <v>79.917</v>
          </cell>
          <cell r="J1091">
            <v>7.20806</v>
          </cell>
        </row>
        <row r="1091">
          <cell r="AA1091" t="str">
            <v>2T2R</v>
          </cell>
        </row>
        <row r="1092">
          <cell r="E1092" t="str">
            <v>GMDAG1</v>
          </cell>
        </row>
        <row r="1092">
          <cell r="G1092" t="str">
            <v>GMDAG1-M-L21-B2</v>
          </cell>
        </row>
        <row r="1092">
          <cell r="I1092">
            <v>79.917</v>
          </cell>
          <cell r="J1092">
            <v>7.20806</v>
          </cell>
        </row>
        <row r="1092">
          <cell r="AA1092" t="str">
            <v>2T2R</v>
          </cell>
        </row>
        <row r="1093">
          <cell r="E1093" t="str">
            <v>GMDAG1</v>
          </cell>
        </row>
        <row r="1093">
          <cell r="G1093" t="str">
            <v>GMDAG1-M-L21-A2</v>
          </cell>
        </row>
        <row r="1093">
          <cell r="I1093">
            <v>79.917</v>
          </cell>
          <cell r="J1093">
            <v>7.20806</v>
          </cell>
        </row>
        <row r="1093">
          <cell r="AA1093" t="str">
            <v>2T2R</v>
          </cell>
        </row>
        <row r="1094">
          <cell r="E1094" t="str">
            <v>ZWAT06</v>
          </cell>
        </row>
        <row r="1094">
          <cell r="G1094" t="str">
            <v>ZWAT06G</v>
          </cell>
        </row>
        <row r="1094">
          <cell r="I1094">
            <v>79.917</v>
          </cell>
          <cell r="J1094">
            <v>6.99586</v>
          </cell>
        </row>
        <row r="1094">
          <cell r="AA1094" t="str">
            <v>2T2R</v>
          </cell>
        </row>
        <row r="1095">
          <cell r="E1095" t="str">
            <v>ZWAT06</v>
          </cell>
        </row>
        <row r="1095">
          <cell r="G1095" t="str">
            <v>ZWAT06H</v>
          </cell>
        </row>
        <row r="1095">
          <cell r="I1095">
            <v>79.917</v>
          </cell>
          <cell r="J1095">
            <v>6.99586</v>
          </cell>
        </row>
        <row r="1095">
          <cell r="AA1095" t="str">
            <v>2T2R</v>
          </cell>
        </row>
        <row r="1096">
          <cell r="E1096" t="str">
            <v>ZWAT06</v>
          </cell>
        </row>
        <row r="1096">
          <cell r="G1096" t="str">
            <v>ZWAT06I</v>
          </cell>
        </row>
        <row r="1096">
          <cell r="I1096">
            <v>79.917</v>
          </cell>
          <cell r="J1096">
            <v>6.99586</v>
          </cell>
        </row>
        <row r="1096">
          <cell r="AA1096" t="str">
            <v>4T4R</v>
          </cell>
        </row>
        <row r="1097">
          <cell r="E1097" t="str">
            <v>ZWAT06</v>
          </cell>
        </row>
        <row r="1097">
          <cell r="G1097" t="str">
            <v>ZWAT06-M-L85-C1</v>
          </cell>
        </row>
        <row r="1097">
          <cell r="I1097">
            <v>79.917</v>
          </cell>
          <cell r="J1097">
            <v>6.99586</v>
          </cell>
        </row>
        <row r="1097">
          <cell r="AA1097" t="str">
            <v>2T2R</v>
          </cell>
        </row>
        <row r="1098">
          <cell r="E1098" t="str">
            <v>ZWAT06</v>
          </cell>
        </row>
        <row r="1098">
          <cell r="G1098" t="str">
            <v>ZWAT06-M-L85-B1</v>
          </cell>
        </row>
        <row r="1098">
          <cell r="I1098">
            <v>79.917</v>
          </cell>
          <cell r="J1098">
            <v>6.99586</v>
          </cell>
        </row>
        <row r="1098">
          <cell r="AA1098" t="str">
            <v>2T2R</v>
          </cell>
        </row>
        <row r="1099">
          <cell r="E1099" t="str">
            <v>ZWAT06</v>
          </cell>
        </row>
        <row r="1099">
          <cell r="G1099" t="str">
            <v>ZWAT06-M-L85-A1</v>
          </cell>
        </row>
        <row r="1099">
          <cell r="I1099">
            <v>79.917</v>
          </cell>
          <cell r="J1099">
            <v>6.99586</v>
          </cell>
        </row>
        <row r="1099">
          <cell r="AA1099" t="str">
            <v>2T2R</v>
          </cell>
        </row>
        <row r="1100">
          <cell r="E1100" t="str">
            <v>ZKEL32</v>
          </cell>
        </row>
        <row r="1100">
          <cell r="G1100" t="str">
            <v>ZKEL32-M-L18-D1</v>
          </cell>
        </row>
        <row r="1100">
          <cell r="I1100">
            <v>79.9173</v>
          </cell>
          <cell r="J1100">
            <v>6.97958</v>
          </cell>
        </row>
        <row r="1100">
          <cell r="AA1100" t="str">
            <v>2T2R</v>
          </cell>
        </row>
        <row r="1101">
          <cell r="E1101" t="str">
            <v>ZKEL32</v>
          </cell>
        </row>
        <row r="1101">
          <cell r="G1101" t="str">
            <v>ZKEL32I</v>
          </cell>
        </row>
        <row r="1101">
          <cell r="I1101">
            <v>79.9173</v>
          </cell>
          <cell r="J1101">
            <v>6.97958</v>
          </cell>
        </row>
        <row r="1101">
          <cell r="AA1101" t="str">
            <v>4T4R</v>
          </cell>
        </row>
        <row r="1102">
          <cell r="E1102" t="str">
            <v>ZKEL32</v>
          </cell>
        </row>
        <row r="1102">
          <cell r="G1102" t="str">
            <v>ZKEL32H</v>
          </cell>
        </row>
        <row r="1102">
          <cell r="I1102">
            <v>79.9173</v>
          </cell>
          <cell r="J1102">
            <v>6.97958</v>
          </cell>
        </row>
        <row r="1102">
          <cell r="AA1102" t="str">
            <v>4T4R</v>
          </cell>
        </row>
        <row r="1103">
          <cell r="E1103" t="str">
            <v>ZKEL32</v>
          </cell>
        </row>
        <row r="1103">
          <cell r="G1103" t="str">
            <v>ZKEL32G</v>
          </cell>
        </row>
        <row r="1103">
          <cell r="I1103">
            <v>79.9173</v>
          </cell>
          <cell r="J1103">
            <v>6.97958</v>
          </cell>
        </row>
        <row r="1103">
          <cell r="AA1103" t="str">
            <v>2T2R</v>
          </cell>
        </row>
        <row r="1104">
          <cell r="E1104" t="str">
            <v>ZKEL01</v>
          </cell>
        </row>
        <row r="1104">
          <cell r="G1104" t="str">
            <v>ZKEL01I</v>
          </cell>
        </row>
        <row r="1104">
          <cell r="I1104">
            <v>79.9176</v>
          </cell>
          <cell r="J1104">
            <v>6.9728</v>
          </cell>
        </row>
        <row r="1104">
          <cell r="AA1104" t="str">
            <v>4T4R</v>
          </cell>
        </row>
        <row r="1105">
          <cell r="E1105" t="str">
            <v>ZKEL01</v>
          </cell>
        </row>
        <row r="1105">
          <cell r="G1105" t="str">
            <v>ZKEL01H</v>
          </cell>
        </row>
        <row r="1105">
          <cell r="I1105">
            <v>79.9176</v>
          </cell>
          <cell r="J1105">
            <v>6.9728</v>
          </cell>
        </row>
        <row r="1105">
          <cell r="AA1105" t="str">
            <v>4T4R</v>
          </cell>
        </row>
        <row r="1106">
          <cell r="E1106" t="str">
            <v>ZKEL01</v>
          </cell>
        </row>
        <row r="1106">
          <cell r="G1106" t="str">
            <v>ZKEL01G</v>
          </cell>
        </row>
        <row r="1106">
          <cell r="I1106">
            <v>79.9176</v>
          </cell>
          <cell r="J1106">
            <v>6.9728</v>
          </cell>
        </row>
        <row r="1106">
          <cell r="AA1106" t="str">
            <v>4T4R</v>
          </cell>
        </row>
        <row r="1107">
          <cell r="E1107" t="str">
            <v>ZKEL01</v>
          </cell>
        </row>
        <row r="1107">
          <cell r="G1107" t="str">
            <v>ZKEL01-M-L21-C2</v>
          </cell>
        </row>
        <row r="1107">
          <cell r="I1107">
            <v>79.9176</v>
          </cell>
          <cell r="J1107">
            <v>6.9728</v>
          </cell>
        </row>
        <row r="1107">
          <cell r="AA1107" t="str">
            <v>2T2R</v>
          </cell>
        </row>
        <row r="1108">
          <cell r="E1108" t="str">
            <v>ZKEL01</v>
          </cell>
        </row>
        <row r="1108">
          <cell r="G1108" t="str">
            <v>ZKEL01-M-L21-B2</v>
          </cell>
        </row>
        <row r="1108">
          <cell r="I1108">
            <v>79.9176</v>
          </cell>
          <cell r="J1108">
            <v>6.9728</v>
          </cell>
        </row>
        <row r="1108">
          <cell r="AA1108" t="str">
            <v>2T2R</v>
          </cell>
        </row>
        <row r="1109">
          <cell r="E1109" t="str">
            <v>ZKEL01</v>
          </cell>
        </row>
        <row r="1109">
          <cell r="G1109" t="str">
            <v>ZKEL01-M-L21-A2</v>
          </cell>
        </row>
        <row r="1109">
          <cell r="I1109">
            <v>79.9176</v>
          </cell>
          <cell r="J1109">
            <v>6.9728</v>
          </cell>
        </row>
        <row r="1109">
          <cell r="AA1109" t="str">
            <v>2T2R</v>
          </cell>
        </row>
        <row r="1110">
          <cell r="E1110" t="str">
            <v>ZKEL01</v>
          </cell>
        </row>
        <row r="1110">
          <cell r="G1110" t="str">
            <v>ZKEL01-M-L18-I1</v>
          </cell>
        </row>
        <row r="1110">
          <cell r="I1110">
            <v>79.9176</v>
          </cell>
          <cell r="J1110">
            <v>6.9728</v>
          </cell>
        </row>
        <row r="1110">
          <cell r="AA1110" t="str">
            <v>4T4R</v>
          </cell>
        </row>
        <row r="1111">
          <cell r="E1111" t="str">
            <v>ZKEL01</v>
          </cell>
        </row>
        <row r="1111">
          <cell r="G1111" t="str">
            <v>ZKEL01-M-L18-H1</v>
          </cell>
        </row>
        <row r="1111">
          <cell r="I1111">
            <v>79.9176</v>
          </cell>
          <cell r="J1111">
            <v>6.9728</v>
          </cell>
        </row>
        <row r="1111">
          <cell r="AA1111" t="str">
            <v>4T4R</v>
          </cell>
        </row>
        <row r="1112">
          <cell r="E1112" t="str">
            <v>ZKEL01</v>
          </cell>
        </row>
        <row r="1112">
          <cell r="G1112" t="str">
            <v>ZKEL01-M-L23-C1</v>
          </cell>
        </row>
        <row r="1112">
          <cell r="I1112">
            <v>79.9176</v>
          </cell>
          <cell r="J1112">
            <v>6.9728</v>
          </cell>
        </row>
        <row r="1112">
          <cell r="AA1112" t="str">
            <v>2T2R</v>
          </cell>
        </row>
        <row r="1113">
          <cell r="E1113" t="str">
            <v>ZKEL01</v>
          </cell>
        </row>
        <row r="1113">
          <cell r="G1113" t="str">
            <v>ZKEL01-M-L23-B1</v>
          </cell>
        </row>
        <row r="1113">
          <cell r="I1113">
            <v>79.9176</v>
          </cell>
          <cell r="J1113">
            <v>6.9728</v>
          </cell>
        </row>
        <row r="1113">
          <cell r="AA1113" t="str">
            <v>2T2R</v>
          </cell>
        </row>
        <row r="1114">
          <cell r="E1114" t="str">
            <v>ZKEL01</v>
          </cell>
        </row>
        <row r="1114">
          <cell r="G1114" t="str">
            <v>ZKEL01-M-L23-A1</v>
          </cell>
        </row>
        <row r="1114">
          <cell r="I1114">
            <v>79.9176</v>
          </cell>
          <cell r="J1114">
            <v>6.9728</v>
          </cell>
        </row>
        <row r="1114">
          <cell r="AA1114" t="str">
            <v>2T2R</v>
          </cell>
        </row>
        <row r="1115">
          <cell r="E1115" t="str">
            <v>ZKEL07</v>
          </cell>
        </row>
        <row r="1115">
          <cell r="G1115" t="str">
            <v>ZKEL07G</v>
          </cell>
        </row>
        <row r="1115">
          <cell r="I1115">
            <v>79.9192</v>
          </cell>
          <cell r="J1115">
            <v>6.98667</v>
          </cell>
        </row>
        <row r="1115">
          <cell r="AA1115" t="str">
            <v>2T2R</v>
          </cell>
        </row>
        <row r="1116">
          <cell r="E1116" t="str">
            <v>ZKEL07</v>
          </cell>
        </row>
        <row r="1116">
          <cell r="G1116" t="str">
            <v>ZKEL07H</v>
          </cell>
        </row>
        <row r="1116">
          <cell r="I1116">
            <v>79.9192</v>
          </cell>
          <cell r="J1116">
            <v>6.98667</v>
          </cell>
        </row>
        <row r="1116">
          <cell r="AA1116" t="str">
            <v>4T4R</v>
          </cell>
        </row>
        <row r="1117">
          <cell r="E1117" t="str">
            <v>ZKEL07</v>
          </cell>
        </row>
        <row r="1117">
          <cell r="G1117" t="str">
            <v>ZKEL07I</v>
          </cell>
        </row>
        <row r="1117">
          <cell r="I1117">
            <v>79.9192</v>
          </cell>
          <cell r="J1117">
            <v>6.98667</v>
          </cell>
        </row>
        <row r="1117">
          <cell r="AA1117" t="str">
            <v>4T4R</v>
          </cell>
        </row>
        <row r="1118">
          <cell r="E1118" t="str">
            <v>ZWAT37</v>
          </cell>
        </row>
        <row r="1118">
          <cell r="G1118" t="str">
            <v>ZWAT37I</v>
          </cell>
        </row>
        <row r="1118">
          <cell r="I1118">
            <v>79.9192</v>
          </cell>
          <cell r="J1118">
            <v>7.0181</v>
          </cell>
        </row>
        <row r="1118">
          <cell r="AA1118" t="str">
            <v>4T4R</v>
          </cell>
        </row>
        <row r="1119">
          <cell r="E1119" t="str">
            <v>ZWAT37</v>
          </cell>
        </row>
        <row r="1119">
          <cell r="G1119" t="str">
            <v>ZWAT37H</v>
          </cell>
        </row>
        <row r="1119">
          <cell r="I1119">
            <v>79.9192</v>
          </cell>
          <cell r="J1119">
            <v>7.0181</v>
          </cell>
        </row>
        <row r="1119">
          <cell r="AA1119" t="str">
            <v>4T4R</v>
          </cell>
        </row>
        <row r="1120">
          <cell r="E1120" t="str">
            <v>ZWAT37</v>
          </cell>
        </row>
        <row r="1120">
          <cell r="G1120" t="str">
            <v>ZWAT37G</v>
          </cell>
        </row>
        <row r="1120">
          <cell r="I1120">
            <v>79.9192</v>
          </cell>
          <cell r="J1120">
            <v>7.0181</v>
          </cell>
        </row>
        <row r="1120">
          <cell r="AA1120" t="str">
            <v>4T4R</v>
          </cell>
        </row>
        <row r="1121">
          <cell r="E1121" t="str">
            <v>ZKEL07</v>
          </cell>
        </row>
        <row r="1121">
          <cell r="G1121" t="str">
            <v>ZKEL07F</v>
          </cell>
        </row>
        <row r="1121">
          <cell r="I1121">
            <v>79.9192</v>
          </cell>
          <cell r="J1121">
            <v>6.98667</v>
          </cell>
        </row>
        <row r="1121">
          <cell r="AA1121" t="str">
            <v>2T2R</v>
          </cell>
        </row>
        <row r="1122">
          <cell r="E1122" t="str">
            <v>ZKEL07</v>
          </cell>
        </row>
        <row r="1122">
          <cell r="G1122" t="str">
            <v>ZKEL07-M-L18-A1</v>
          </cell>
        </row>
        <row r="1122">
          <cell r="I1122">
            <v>79.9192</v>
          </cell>
          <cell r="J1122">
            <v>6.98667</v>
          </cell>
        </row>
        <row r="1122">
          <cell r="AA1122" t="str">
            <v>2T2R</v>
          </cell>
        </row>
        <row r="1123">
          <cell r="E1123" t="str">
            <v>ZKEL07</v>
          </cell>
        </row>
        <row r="1123">
          <cell r="G1123" t="str">
            <v>ZKEL07-M-L21-C2</v>
          </cell>
        </row>
        <row r="1123">
          <cell r="I1123">
            <v>79.9192</v>
          </cell>
          <cell r="J1123">
            <v>6.98667</v>
          </cell>
        </row>
        <row r="1123">
          <cell r="AA1123" t="str">
            <v>4T4R</v>
          </cell>
        </row>
        <row r="1124">
          <cell r="E1124" t="str">
            <v>ZKEL07</v>
          </cell>
        </row>
        <row r="1124">
          <cell r="G1124" t="str">
            <v>ZKEL07-M-L21-B2</v>
          </cell>
        </row>
        <row r="1124">
          <cell r="I1124">
            <v>79.9192</v>
          </cell>
          <cell r="J1124">
            <v>6.98667</v>
          </cell>
        </row>
        <row r="1124">
          <cell r="AA1124" t="str">
            <v>4T4R</v>
          </cell>
        </row>
        <row r="1125">
          <cell r="E1125" t="str">
            <v>ZKEL07</v>
          </cell>
        </row>
        <row r="1125">
          <cell r="G1125" t="str">
            <v>ZKEL07-M-L21-A2</v>
          </cell>
        </row>
        <row r="1125">
          <cell r="I1125">
            <v>79.9192</v>
          </cell>
          <cell r="J1125">
            <v>6.98667</v>
          </cell>
        </row>
        <row r="1125">
          <cell r="AA1125" t="str">
            <v>2T2R</v>
          </cell>
        </row>
        <row r="1126">
          <cell r="E1126" t="str">
            <v>ZKEL07</v>
          </cell>
        </row>
        <row r="1126">
          <cell r="G1126" t="str">
            <v>ZKEL07-M-L85-C1</v>
          </cell>
        </row>
        <row r="1126">
          <cell r="I1126">
            <v>79.9192</v>
          </cell>
          <cell r="J1126">
            <v>6.98667</v>
          </cell>
        </row>
        <row r="1126">
          <cell r="AA1126" t="str">
            <v>2T2R</v>
          </cell>
        </row>
        <row r="1127">
          <cell r="E1127" t="str">
            <v>ZKEL07</v>
          </cell>
        </row>
        <row r="1127">
          <cell r="G1127" t="str">
            <v>ZKEL07-M-L85-B1</v>
          </cell>
        </row>
        <row r="1127">
          <cell r="I1127">
            <v>79.9192</v>
          </cell>
          <cell r="J1127">
            <v>6.98667</v>
          </cell>
        </row>
        <row r="1127">
          <cell r="AA1127" t="str">
            <v>2T2R</v>
          </cell>
        </row>
        <row r="1128">
          <cell r="E1128" t="str">
            <v>ZKEL07</v>
          </cell>
        </row>
        <row r="1128">
          <cell r="G1128" t="str">
            <v>ZKEL07-M-L85-A1</v>
          </cell>
        </row>
        <row r="1128">
          <cell r="I1128">
            <v>79.9192</v>
          </cell>
          <cell r="J1128">
            <v>6.98667</v>
          </cell>
        </row>
        <row r="1128">
          <cell r="AA1128" t="str">
            <v>2T2R</v>
          </cell>
        </row>
        <row r="1129">
          <cell r="E1129" t="str">
            <v>ZWAT37</v>
          </cell>
        </row>
        <row r="1129">
          <cell r="G1129" t="str">
            <v>ZWAT37-M-L21-C2</v>
          </cell>
        </row>
        <row r="1129">
          <cell r="I1129">
            <v>79.9192</v>
          </cell>
          <cell r="J1129">
            <v>7.0181</v>
          </cell>
        </row>
        <row r="1129">
          <cell r="AA1129" t="str">
            <v>2T2R</v>
          </cell>
        </row>
        <row r="1130">
          <cell r="E1130" t="str">
            <v>ZWAT37</v>
          </cell>
        </row>
        <row r="1130">
          <cell r="G1130" t="str">
            <v>ZWAT37-M-L21-B2</v>
          </cell>
        </row>
        <row r="1130">
          <cell r="I1130">
            <v>79.9192</v>
          </cell>
          <cell r="J1130">
            <v>7.0181</v>
          </cell>
        </row>
        <row r="1130">
          <cell r="AA1130" t="str">
            <v>2T2R</v>
          </cell>
        </row>
        <row r="1131">
          <cell r="E1131" t="str">
            <v>ZWAT37</v>
          </cell>
        </row>
        <row r="1131">
          <cell r="G1131" t="str">
            <v>ZWAT37-M-L21-A2</v>
          </cell>
        </row>
        <row r="1131">
          <cell r="I1131">
            <v>79.9192</v>
          </cell>
          <cell r="J1131">
            <v>7.0181</v>
          </cell>
        </row>
        <row r="1131">
          <cell r="AA1131" t="str">
            <v>2T2R</v>
          </cell>
        </row>
        <row r="1132">
          <cell r="E1132" t="str">
            <v>GMPEE1</v>
          </cell>
        </row>
        <row r="1132">
          <cell r="G1132" t="str">
            <v>GMPEE1-M-L85-C1</v>
          </cell>
        </row>
        <row r="1132">
          <cell r="I1132">
            <v>79.9193</v>
          </cell>
          <cell r="J1132">
            <v>7.18067</v>
          </cell>
        </row>
        <row r="1132">
          <cell r="AA1132" t="str">
            <v>2T2R</v>
          </cell>
        </row>
        <row r="1133">
          <cell r="E1133" t="str">
            <v>GMPEE1</v>
          </cell>
        </row>
        <row r="1133">
          <cell r="G1133" t="str">
            <v>GMPEE1-M-L85-B1</v>
          </cell>
        </row>
        <row r="1133">
          <cell r="I1133">
            <v>79.9193</v>
          </cell>
          <cell r="J1133">
            <v>7.18067</v>
          </cell>
        </row>
        <row r="1133">
          <cell r="AA1133" t="str">
            <v>2T2R</v>
          </cell>
        </row>
        <row r="1134">
          <cell r="E1134" t="str">
            <v>GMPEE1</v>
          </cell>
        </row>
        <row r="1134">
          <cell r="G1134" t="str">
            <v>GMPEE1-M-L85-A1</v>
          </cell>
        </row>
        <row r="1134">
          <cell r="I1134">
            <v>79.9193</v>
          </cell>
          <cell r="J1134">
            <v>7.18067</v>
          </cell>
        </row>
        <row r="1134">
          <cell r="AA1134" t="str">
            <v>2T2R</v>
          </cell>
        </row>
        <row r="1135">
          <cell r="E1135" t="str">
            <v>GMPEE1</v>
          </cell>
        </row>
        <row r="1135">
          <cell r="G1135" t="str">
            <v>GMPEE1-M-L21-C2</v>
          </cell>
        </row>
        <row r="1135">
          <cell r="I1135">
            <v>79.9193</v>
          </cell>
          <cell r="J1135">
            <v>7.18067</v>
          </cell>
        </row>
        <row r="1135">
          <cell r="AA1135" t="str">
            <v>2T2R</v>
          </cell>
        </row>
        <row r="1136">
          <cell r="E1136" t="str">
            <v>GMPEE1</v>
          </cell>
        </row>
        <row r="1136">
          <cell r="G1136" t="str">
            <v>GMPEE1-M-L18-G1</v>
          </cell>
        </row>
        <row r="1136">
          <cell r="I1136">
            <v>79.9193</v>
          </cell>
          <cell r="J1136">
            <v>7.18067</v>
          </cell>
        </row>
        <row r="1136">
          <cell r="AA1136" t="str">
            <v>2T2R</v>
          </cell>
        </row>
        <row r="1137">
          <cell r="E1137" t="str">
            <v>GMPEE1</v>
          </cell>
        </row>
        <row r="1137">
          <cell r="G1137" t="str">
            <v>GMPEE1I</v>
          </cell>
        </row>
        <row r="1137">
          <cell r="I1137">
            <v>79.9193</v>
          </cell>
          <cell r="J1137">
            <v>7.18067</v>
          </cell>
        </row>
        <row r="1137">
          <cell r="AA1137" t="str">
            <v>4T4R</v>
          </cell>
        </row>
        <row r="1138">
          <cell r="E1138" t="str">
            <v>GMPEE1</v>
          </cell>
        </row>
        <row r="1138">
          <cell r="G1138" t="str">
            <v>GMPEE1H</v>
          </cell>
        </row>
        <row r="1138">
          <cell r="I1138">
            <v>79.9193</v>
          </cell>
          <cell r="J1138">
            <v>7.18067</v>
          </cell>
        </row>
        <row r="1138">
          <cell r="AA1138" t="str">
            <v>4T4R</v>
          </cell>
        </row>
        <row r="1139">
          <cell r="E1139" t="str">
            <v>GMPEE1</v>
          </cell>
        </row>
        <row r="1139">
          <cell r="G1139" t="str">
            <v>GMPEE1G</v>
          </cell>
        </row>
        <row r="1139">
          <cell r="I1139">
            <v>79.9193</v>
          </cell>
          <cell r="J1139">
            <v>7.18067</v>
          </cell>
        </row>
        <row r="1139">
          <cell r="AA1139" t="str">
            <v>2T2R</v>
          </cell>
        </row>
        <row r="1140">
          <cell r="E1140" t="str">
            <v>ZKEL16</v>
          </cell>
        </row>
        <row r="1140">
          <cell r="G1140" t="str">
            <v>ZKEL16I</v>
          </cell>
        </row>
        <row r="1140">
          <cell r="I1140">
            <v>79.9211</v>
          </cell>
          <cell r="J1140">
            <v>6.97038</v>
          </cell>
        </row>
        <row r="1140">
          <cell r="AA1140" t="str">
            <v>2T2R</v>
          </cell>
        </row>
        <row r="1141">
          <cell r="E1141" t="str">
            <v>ZKEL16</v>
          </cell>
        </row>
        <row r="1141">
          <cell r="G1141" t="str">
            <v>ZKEL16H</v>
          </cell>
        </row>
        <row r="1141">
          <cell r="I1141">
            <v>79.9211</v>
          </cell>
          <cell r="J1141">
            <v>6.97038</v>
          </cell>
        </row>
        <row r="1141">
          <cell r="AA1141" t="str">
            <v>2T2R</v>
          </cell>
        </row>
        <row r="1142">
          <cell r="E1142" t="str">
            <v>ZKEL16</v>
          </cell>
        </row>
        <row r="1142">
          <cell r="G1142" t="str">
            <v>ZKEL16G</v>
          </cell>
        </row>
        <row r="1142">
          <cell r="I1142">
            <v>79.9211</v>
          </cell>
          <cell r="J1142">
            <v>6.97038</v>
          </cell>
        </row>
        <row r="1142">
          <cell r="AA1142" t="str">
            <v>2T2R</v>
          </cell>
        </row>
        <row r="1143">
          <cell r="E1143" t="str">
            <v>ZKEL16</v>
          </cell>
        </row>
        <row r="1143">
          <cell r="G1143" t="str">
            <v>ZKEL16-M-L21-B2</v>
          </cell>
        </row>
        <row r="1143">
          <cell r="I1143">
            <v>79.9211</v>
          </cell>
          <cell r="J1143">
            <v>6.97038</v>
          </cell>
        </row>
        <row r="1143">
          <cell r="AA1143" t="str">
            <v>2T2R</v>
          </cell>
        </row>
        <row r="1144">
          <cell r="E1144" t="str">
            <v>ZKEL35</v>
          </cell>
        </row>
        <row r="1144">
          <cell r="G1144" t="str">
            <v>ZKEL35I</v>
          </cell>
        </row>
        <row r="1144">
          <cell r="I1144">
            <v>79.92115</v>
          </cell>
          <cell r="J1144">
            <v>6.960173</v>
          </cell>
        </row>
        <row r="1144">
          <cell r="AA1144" t="str">
            <v>2T2R</v>
          </cell>
        </row>
        <row r="1145">
          <cell r="E1145" t="str">
            <v>ZKEL35</v>
          </cell>
        </row>
        <row r="1145">
          <cell r="G1145" t="str">
            <v>ZKEL35H</v>
          </cell>
        </row>
        <row r="1145">
          <cell r="I1145">
            <v>79.92115</v>
          </cell>
          <cell r="J1145">
            <v>6.960173</v>
          </cell>
        </row>
        <row r="1145">
          <cell r="AA1145" t="str">
            <v>2T2R</v>
          </cell>
        </row>
        <row r="1146">
          <cell r="E1146" t="str">
            <v>ZKEL35</v>
          </cell>
        </row>
        <row r="1146">
          <cell r="G1146" t="str">
            <v>ZKEL35G</v>
          </cell>
        </row>
        <row r="1146">
          <cell r="I1146">
            <v>79.92115</v>
          </cell>
          <cell r="J1146">
            <v>6.960173</v>
          </cell>
        </row>
        <row r="1146">
          <cell r="AA1146" t="str">
            <v>2T2R</v>
          </cell>
        </row>
        <row r="1147">
          <cell r="E1147" t="str">
            <v>ZWAT32</v>
          </cell>
        </row>
        <row r="1147">
          <cell r="G1147" t="str">
            <v>ZWAT32I</v>
          </cell>
        </row>
        <row r="1147">
          <cell r="I1147">
            <v>79.921422</v>
          </cell>
          <cell r="J1147">
            <v>7.040662</v>
          </cell>
        </row>
        <row r="1147">
          <cell r="AA1147" t="str">
            <v>2T2R</v>
          </cell>
        </row>
        <row r="1148">
          <cell r="E1148" t="str">
            <v>ZWAT32</v>
          </cell>
        </row>
        <row r="1148">
          <cell r="G1148" t="str">
            <v>ZWAT32H</v>
          </cell>
        </row>
        <row r="1148">
          <cell r="I1148">
            <v>79.921422</v>
          </cell>
          <cell r="J1148">
            <v>7.040662</v>
          </cell>
        </row>
        <row r="1148">
          <cell r="AA1148" t="str">
            <v>2T2R</v>
          </cell>
        </row>
        <row r="1149">
          <cell r="E1149" t="str">
            <v>ZWAT32</v>
          </cell>
        </row>
        <row r="1149">
          <cell r="G1149" t="str">
            <v>ZWAT32G</v>
          </cell>
        </row>
        <row r="1149">
          <cell r="I1149">
            <v>79.921422</v>
          </cell>
          <cell r="J1149">
            <v>7.040662</v>
          </cell>
        </row>
        <row r="1149">
          <cell r="AA1149" t="str">
            <v>2T2R</v>
          </cell>
        </row>
        <row r="1150">
          <cell r="E1150" t="str">
            <v>ZWAT32</v>
          </cell>
        </row>
        <row r="1150">
          <cell r="G1150" t="str">
            <v>ZWAT32-M-L23-B1</v>
          </cell>
        </row>
        <row r="1150">
          <cell r="I1150">
            <v>79.921422</v>
          </cell>
          <cell r="J1150">
            <v>7.040662</v>
          </cell>
        </row>
        <row r="1150">
          <cell r="AA1150" t="str">
            <v>4T4R</v>
          </cell>
        </row>
        <row r="1151">
          <cell r="E1151" t="str">
            <v>ZWAT32</v>
          </cell>
        </row>
        <row r="1151">
          <cell r="G1151" t="str">
            <v>ZWAT32-M-L23-A1</v>
          </cell>
        </row>
        <row r="1151">
          <cell r="I1151">
            <v>79.921422</v>
          </cell>
          <cell r="J1151">
            <v>7.040662</v>
          </cell>
        </row>
        <row r="1151">
          <cell r="AA1151" t="str">
            <v>4T4R</v>
          </cell>
        </row>
        <row r="1152">
          <cell r="E1152" t="str">
            <v>ZWAT32</v>
          </cell>
        </row>
        <row r="1152">
          <cell r="G1152" t="str">
            <v>ZWAT32-M-L23-C1</v>
          </cell>
        </row>
        <row r="1152">
          <cell r="I1152">
            <v>79.921422</v>
          </cell>
          <cell r="J1152">
            <v>7.040662</v>
          </cell>
        </row>
        <row r="1152">
          <cell r="AA1152" t="str">
            <v>4T4R</v>
          </cell>
        </row>
        <row r="1153">
          <cell r="E1153" t="str">
            <v>QGZLH1</v>
          </cell>
        </row>
        <row r="1153">
          <cell r="G1153" t="str">
            <v>QGZLH1G</v>
          </cell>
        </row>
        <row r="1153">
          <cell r="I1153">
            <v>79.922003</v>
          </cell>
          <cell r="J1153">
            <v>7.031761</v>
          </cell>
        </row>
        <row r="1153">
          <cell r="AA1153" t="str">
            <v>1T1R</v>
          </cell>
        </row>
        <row r="1154">
          <cell r="E1154" t="str">
            <v>ZWAT16</v>
          </cell>
        </row>
        <row r="1154">
          <cell r="G1154" t="str">
            <v>ZWAT16-M-L21-C2</v>
          </cell>
        </row>
        <row r="1154">
          <cell r="I1154">
            <v>79.9224</v>
          </cell>
          <cell r="J1154">
            <v>7.02752</v>
          </cell>
        </row>
        <row r="1154">
          <cell r="AA1154" t="str">
            <v>2T2R</v>
          </cell>
        </row>
        <row r="1155">
          <cell r="E1155" t="str">
            <v>ZWAT16</v>
          </cell>
        </row>
        <row r="1155">
          <cell r="G1155" t="str">
            <v>ZWAT16-M-L21-B2</v>
          </cell>
        </row>
        <row r="1155">
          <cell r="I1155">
            <v>79.9224</v>
          </cell>
          <cell r="J1155">
            <v>7.02752</v>
          </cell>
        </row>
        <row r="1155">
          <cell r="AA1155" t="str">
            <v>2T2R</v>
          </cell>
        </row>
        <row r="1156">
          <cell r="E1156" t="str">
            <v>ZWAT16</v>
          </cell>
        </row>
        <row r="1156">
          <cell r="G1156" t="str">
            <v>ZWAT16-M-L21-A2</v>
          </cell>
        </row>
        <row r="1156">
          <cell r="I1156">
            <v>79.9224</v>
          </cell>
          <cell r="J1156">
            <v>7.02752</v>
          </cell>
        </row>
        <row r="1156">
          <cell r="AA1156" t="str">
            <v>2T2R</v>
          </cell>
        </row>
        <row r="1157">
          <cell r="E1157" t="str">
            <v>ZWAT16</v>
          </cell>
        </row>
        <row r="1157">
          <cell r="G1157" t="str">
            <v>ZWAT16G</v>
          </cell>
        </row>
        <row r="1157">
          <cell r="I1157">
            <v>79.9224</v>
          </cell>
          <cell r="J1157">
            <v>7.02752</v>
          </cell>
        </row>
        <row r="1157">
          <cell r="AA1157" t="str">
            <v>4T4R</v>
          </cell>
        </row>
        <row r="1158">
          <cell r="E1158" t="str">
            <v>ZWAT16</v>
          </cell>
        </row>
        <row r="1158">
          <cell r="G1158" t="str">
            <v>ZWAT16H</v>
          </cell>
        </row>
        <row r="1158">
          <cell r="I1158">
            <v>79.9224</v>
          </cell>
          <cell r="J1158">
            <v>7.02752</v>
          </cell>
        </row>
        <row r="1158">
          <cell r="AA1158" t="str">
            <v>4T4R</v>
          </cell>
        </row>
        <row r="1159">
          <cell r="E1159" t="str">
            <v>ZWAT16</v>
          </cell>
        </row>
        <row r="1159">
          <cell r="G1159" t="str">
            <v>ZWAT16I</v>
          </cell>
        </row>
        <row r="1159">
          <cell r="I1159">
            <v>79.9224</v>
          </cell>
          <cell r="J1159">
            <v>7.02752</v>
          </cell>
        </row>
        <row r="1159">
          <cell r="AA1159" t="str">
            <v>2T2R</v>
          </cell>
        </row>
        <row r="1160">
          <cell r="E1160" t="str">
            <v>ZWAT16</v>
          </cell>
        </row>
        <row r="1160">
          <cell r="G1160" t="str">
            <v>ZWAT16F</v>
          </cell>
        </row>
        <row r="1160">
          <cell r="I1160">
            <v>79.9224</v>
          </cell>
          <cell r="J1160">
            <v>7.02752</v>
          </cell>
        </row>
        <row r="1160">
          <cell r="AA1160" t="str">
            <v>4T4R</v>
          </cell>
        </row>
        <row r="1161">
          <cell r="E1161" t="str">
            <v>ZWAT16</v>
          </cell>
        </row>
        <row r="1161">
          <cell r="G1161" t="str">
            <v>ZWAT16-M-L21-D2</v>
          </cell>
        </row>
        <row r="1161">
          <cell r="I1161">
            <v>79.9224</v>
          </cell>
          <cell r="J1161">
            <v>7.02752</v>
          </cell>
        </row>
        <row r="1161">
          <cell r="AA1161" t="str">
            <v>2T2R</v>
          </cell>
        </row>
        <row r="1162">
          <cell r="E1162" t="str">
            <v>ZJAL26</v>
          </cell>
        </row>
        <row r="1162">
          <cell r="G1162" t="str">
            <v>ZJAL26-M-L21-C2</v>
          </cell>
        </row>
        <row r="1162">
          <cell r="I1162">
            <v>79.9228</v>
          </cell>
          <cell r="J1162">
            <v>7.08873</v>
          </cell>
        </row>
        <row r="1162">
          <cell r="AA1162" t="str">
            <v>4T4R</v>
          </cell>
        </row>
        <row r="1163">
          <cell r="E1163" t="str">
            <v>ZJAL26</v>
          </cell>
        </row>
        <row r="1163">
          <cell r="G1163" t="str">
            <v>ZJAL26-M-L21-A2</v>
          </cell>
        </row>
        <row r="1163">
          <cell r="I1163">
            <v>79.9228</v>
          </cell>
          <cell r="J1163">
            <v>7.08873</v>
          </cell>
        </row>
        <row r="1163">
          <cell r="AA1163" t="str">
            <v>4T4R</v>
          </cell>
        </row>
        <row r="1164">
          <cell r="E1164" t="str">
            <v>ZJAL26</v>
          </cell>
        </row>
        <row r="1164">
          <cell r="G1164" t="str">
            <v>ZJAL26-M-L21-B2</v>
          </cell>
        </row>
        <row r="1164">
          <cell r="I1164">
            <v>79.9228</v>
          </cell>
          <cell r="J1164">
            <v>7.08873</v>
          </cell>
        </row>
        <row r="1164">
          <cell r="AA1164" t="str">
            <v>4T4R</v>
          </cell>
        </row>
        <row r="1165">
          <cell r="E1165" t="str">
            <v>ZJAL26</v>
          </cell>
        </row>
        <row r="1165">
          <cell r="G1165" t="str">
            <v>ZJAL26I</v>
          </cell>
        </row>
        <row r="1165">
          <cell r="I1165">
            <v>79.9228</v>
          </cell>
          <cell r="J1165">
            <v>7.08873</v>
          </cell>
        </row>
        <row r="1165">
          <cell r="AA1165" t="str">
            <v>4T4R</v>
          </cell>
        </row>
        <row r="1166">
          <cell r="E1166" t="str">
            <v>ZJAL26</v>
          </cell>
        </row>
        <row r="1166">
          <cell r="G1166" t="str">
            <v>ZJAL26H</v>
          </cell>
        </row>
        <row r="1166">
          <cell r="I1166">
            <v>79.9228</v>
          </cell>
          <cell r="J1166">
            <v>7.08873</v>
          </cell>
        </row>
        <row r="1166">
          <cell r="AA1166" t="str">
            <v>4T4R</v>
          </cell>
        </row>
        <row r="1167">
          <cell r="E1167" t="str">
            <v>ZJAL26</v>
          </cell>
        </row>
        <row r="1167">
          <cell r="G1167" t="str">
            <v>ZJAL26G</v>
          </cell>
        </row>
        <row r="1167">
          <cell r="I1167">
            <v>79.9228</v>
          </cell>
          <cell r="J1167">
            <v>7.08873</v>
          </cell>
        </row>
        <row r="1167">
          <cell r="AA1167" t="str">
            <v>4T4R</v>
          </cell>
        </row>
        <row r="1168">
          <cell r="E1168" t="str">
            <v>ZJAL30</v>
          </cell>
        </row>
        <row r="1168">
          <cell r="G1168" t="str">
            <v>ZJAL30I</v>
          </cell>
        </row>
        <row r="1168">
          <cell r="I1168">
            <v>79.9231</v>
          </cell>
          <cell r="J1168">
            <v>7.07105</v>
          </cell>
        </row>
        <row r="1168">
          <cell r="AA1168" t="str">
            <v>2T2R</v>
          </cell>
        </row>
        <row r="1169">
          <cell r="E1169" t="str">
            <v>ZJAL30</v>
          </cell>
        </row>
        <row r="1169">
          <cell r="G1169" t="str">
            <v>ZJAL30H</v>
          </cell>
        </row>
        <row r="1169">
          <cell r="I1169">
            <v>79.9231</v>
          </cell>
          <cell r="J1169">
            <v>7.07105</v>
          </cell>
        </row>
        <row r="1169">
          <cell r="AA1169" t="str">
            <v>2T2R</v>
          </cell>
        </row>
        <row r="1170">
          <cell r="E1170" t="str">
            <v>ZJAL30</v>
          </cell>
        </row>
        <row r="1170">
          <cell r="G1170" t="str">
            <v>ZJAL30G</v>
          </cell>
        </row>
        <row r="1170">
          <cell r="I1170">
            <v>79.9231</v>
          </cell>
          <cell r="J1170">
            <v>7.07105</v>
          </cell>
        </row>
        <row r="1170">
          <cell r="AA1170" t="str">
            <v>2T2R</v>
          </cell>
        </row>
        <row r="1171">
          <cell r="E1171" t="str">
            <v>ZKAD18</v>
          </cell>
        </row>
        <row r="1171">
          <cell r="G1171" t="str">
            <v>ZKAD18I</v>
          </cell>
        </row>
        <row r="1171">
          <cell r="I1171">
            <v>79.923628</v>
          </cell>
          <cell r="J1171">
            <v>6.992339</v>
          </cell>
        </row>
        <row r="1171">
          <cell r="AA1171" t="str">
            <v>4T4R</v>
          </cell>
        </row>
        <row r="1172">
          <cell r="E1172" t="str">
            <v>ZKAD18</v>
          </cell>
        </row>
        <row r="1172">
          <cell r="G1172" t="str">
            <v>ZKAD18H</v>
          </cell>
        </row>
        <row r="1172">
          <cell r="I1172">
            <v>79.923628</v>
          </cell>
          <cell r="J1172">
            <v>6.992339</v>
          </cell>
        </row>
        <row r="1172">
          <cell r="AA1172" t="str">
            <v>4T4R</v>
          </cell>
        </row>
        <row r="1173">
          <cell r="E1173" t="str">
            <v>ZKAD18</v>
          </cell>
        </row>
        <row r="1173">
          <cell r="G1173" t="str">
            <v>ZKAD18G</v>
          </cell>
        </row>
        <row r="1173">
          <cell r="I1173">
            <v>79.923628</v>
          </cell>
          <cell r="J1173">
            <v>6.992339</v>
          </cell>
        </row>
        <row r="1173">
          <cell r="AA1173" t="str">
            <v>4T4R</v>
          </cell>
        </row>
        <row r="1174">
          <cell r="E1174" t="str">
            <v>ZKEL31</v>
          </cell>
        </row>
        <row r="1174">
          <cell r="G1174" t="str">
            <v>ZKEL31I</v>
          </cell>
        </row>
        <row r="1174">
          <cell r="I1174">
            <v>79.924204</v>
          </cell>
          <cell r="J1174">
            <v>6.975073</v>
          </cell>
        </row>
        <row r="1174">
          <cell r="AA1174" t="str">
            <v>2T2R</v>
          </cell>
        </row>
        <row r="1175">
          <cell r="E1175" t="str">
            <v>ZKEL31</v>
          </cell>
        </row>
        <row r="1175">
          <cell r="G1175" t="str">
            <v>ZKEL31H</v>
          </cell>
        </row>
        <row r="1175">
          <cell r="I1175">
            <v>79.924204</v>
          </cell>
          <cell r="J1175">
            <v>6.975073</v>
          </cell>
        </row>
        <row r="1175">
          <cell r="AA1175" t="str">
            <v>2T2R</v>
          </cell>
        </row>
        <row r="1176">
          <cell r="E1176" t="str">
            <v>ZKEL31</v>
          </cell>
        </row>
        <row r="1176">
          <cell r="G1176" t="str">
            <v>ZKEL31G</v>
          </cell>
        </row>
        <row r="1176">
          <cell r="I1176">
            <v>79.924204</v>
          </cell>
          <cell r="J1176">
            <v>6.975073</v>
          </cell>
        </row>
        <row r="1176">
          <cell r="AA1176" t="str">
            <v>2T2R</v>
          </cell>
        </row>
        <row r="1177">
          <cell r="E1177" t="str">
            <v>ZKEL27</v>
          </cell>
        </row>
        <row r="1177">
          <cell r="G1177" t="str">
            <v>ZKEL27I</v>
          </cell>
        </row>
        <row r="1177">
          <cell r="I1177">
            <v>79.9245</v>
          </cell>
          <cell r="J1177">
            <v>6.95289</v>
          </cell>
        </row>
        <row r="1177">
          <cell r="AA1177" t="str">
            <v>2T2R</v>
          </cell>
        </row>
        <row r="1178">
          <cell r="E1178" t="str">
            <v>ZKEL27</v>
          </cell>
        </row>
        <row r="1178">
          <cell r="G1178" t="str">
            <v>ZKEL27H</v>
          </cell>
        </row>
        <row r="1178">
          <cell r="I1178">
            <v>79.9245</v>
          </cell>
          <cell r="J1178">
            <v>6.95289</v>
          </cell>
        </row>
        <row r="1178">
          <cell r="AA1178" t="str">
            <v>2T2R</v>
          </cell>
        </row>
        <row r="1179">
          <cell r="E1179" t="str">
            <v>ZKEL27</v>
          </cell>
        </row>
        <row r="1179">
          <cell r="G1179" t="str">
            <v>ZKEL27G</v>
          </cell>
        </row>
        <row r="1179">
          <cell r="I1179">
            <v>79.9245</v>
          </cell>
          <cell r="J1179">
            <v>6.95289</v>
          </cell>
        </row>
        <row r="1179">
          <cell r="AA1179" t="str">
            <v>2T2R</v>
          </cell>
        </row>
        <row r="1180">
          <cell r="E1180" t="str">
            <v>GMHIN2</v>
          </cell>
        </row>
        <row r="1180">
          <cell r="G1180" t="str">
            <v>GMHIN2I</v>
          </cell>
        </row>
        <row r="1180">
          <cell r="I1180">
            <v>79.9253</v>
          </cell>
          <cell r="J1180">
            <v>7.15931</v>
          </cell>
        </row>
        <row r="1180">
          <cell r="AA1180" t="str">
            <v>4T4R</v>
          </cell>
        </row>
        <row r="1181">
          <cell r="E1181" t="str">
            <v>GMHIN2</v>
          </cell>
        </row>
        <row r="1181">
          <cell r="G1181" t="str">
            <v>GMHIN2H</v>
          </cell>
        </row>
        <row r="1181">
          <cell r="I1181">
            <v>79.9253</v>
          </cell>
          <cell r="J1181">
            <v>7.15931</v>
          </cell>
        </row>
        <row r="1181">
          <cell r="AA1181" t="str">
            <v>4T4R</v>
          </cell>
        </row>
        <row r="1182">
          <cell r="E1182" t="str">
            <v>GMHIN2</v>
          </cell>
        </row>
        <row r="1182">
          <cell r="G1182" t="str">
            <v>GMHIN2G</v>
          </cell>
        </row>
        <row r="1182">
          <cell r="I1182">
            <v>79.9253</v>
          </cell>
          <cell r="J1182">
            <v>7.15931</v>
          </cell>
        </row>
        <row r="1182">
          <cell r="AA1182" t="str">
            <v>4T4R</v>
          </cell>
        </row>
        <row r="1183">
          <cell r="E1183" t="str">
            <v>ZJAL17</v>
          </cell>
        </row>
        <row r="1183">
          <cell r="G1183" t="str">
            <v>ZJAL17I</v>
          </cell>
        </row>
        <row r="1183">
          <cell r="I1183">
            <v>79.9267</v>
          </cell>
          <cell r="J1183">
            <v>7.06219</v>
          </cell>
        </row>
        <row r="1183">
          <cell r="AA1183" t="str">
            <v>4T4R</v>
          </cell>
        </row>
        <row r="1184">
          <cell r="E1184" t="str">
            <v>ZJAL17</v>
          </cell>
        </row>
        <row r="1184">
          <cell r="G1184" t="str">
            <v>ZJAL17H</v>
          </cell>
        </row>
        <row r="1184">
          <cell r="I1184">
            <v>79.9267</v>
          </cell>
          <cell r="J1184">
            <v>7.06219</v>
          </cell>
        </row>
        <row r="1184">
          <cell r="AA1184" t="str">
            <v>2T2R</v>
          </cell>
        </row>
        <row r="1185">
          <cell r="E1185" t="str">
            <v>ZJAL17</v>
          </cell>
        </row>
        <row r="1185">
          <cell r="G1185" t="str">
            <v>ZJAL17G</v>
          </cell>
        </row>
        <row r="1185">
          <cell r="I1185">
            <v>79.9267</v>
          </cell>
          <cell r="J1185">
            <v>7.06219</v>
          </cell>
        </row>
        <row r="1185">
          <cell r="AA1185" t="str">
            <v>4T4R</v>
          </cell>
        </row>
        <row r="1186">
          <cell r="E1186" t="str">
            <v>ZJAL17</v>
          </cell>
        </row>
        <row r="1186">
          <cell r="G1186" t="str">
            <v>ZJAL17-M-L85-C1</v>
          </cell>
        </row>
        <row r="1186">
          <cell r="I1186">
            <v>79.9267</v>
          </cell>
          <cell r="J1186">
            <v>7.06219</v>
          </cell>
        </row>
        <row r="1186">
          <cell r="AA1186" t="str">
            <v>2T2R</v>
          </cell>
        </row>
        <row r="1187">
          <cell r="E1187" t="str">
            <v>ZJAL17</v>
          </cell>
        </row>
        <row r="1187">
          <cell r="G1187" t="str">
            <v>ZJAL17-M-L85-B1</v>
          </cell>
        </row>
        <row r="1187">
          <cell r="I1187">
            <v>79.9267</v>
          </cell>
          <cell r="J1187">
            <v>7.06219</v>
          </cell>
        </row>
        <row r="1187">
          <cell r="AA1187" t="str">
            <v>2T2R</v>
          </cell>
        </row>
        <row r="1188">
          <cell r="E1188" t="str">
            <v>ZJAL17</v>
          </cell>
        </row>
        <row r="1188">
          <cell r="G1188" t="str">
            <v>ZJAL17-M-L85-A1</v>
          </cell>
        </row>
        <row r="1188">
          <cell r="I1188">
            <v>79.9267</v>
          </cell>
          <cell r="J1188">
            <v>7.06219</v>
          </cell>
        </row>
        <row r="1188">
          <cell r="AA1188" t="str">
            <v>2T2R</v>
          </cell>
        </row>
        <row r="1189">
          <cell r="E1189" t="str">
            <v>ZKAD36</v>
          </cell>
        </row>
        <row r="1189">
          <cell r="G1189" t="str">
            <v>ZKAD36I</v>
          </cell>
        </row>
        <row r="1189">
          <cell r="I1189">
            <v>79.926917</v>
          </cell>
          <cell r="J1189">
            <v>6.997361</v>
          </cell>
        </row>
        <row r="1189">
          <cell r="AA1189" t="str">
            <v>4T4R</v>
          </cell>
        </row>
        <row r="1190">
          <cell r="E1190" t="str">
            <v>ZKAD36</v>
          </cell>
        </row>
        <row r="1190">
          <cell r="G1190" t="str">
            <v>ZKAD36H</v>
          </cell>
        </row>
        <row r="1190">
          <cell r="I1190">
            <v>79.926917</v>
          </cell>
          <cell r="J1190">
            <v>6.997361</v>
          </cell>
        </row>
        <row r="1190">
          <cell r="AA1190" t="str">
            <v>4T4R</v>
          </cell>
        </row>
        <row r="1191">
          <cell r="E1191" t="str">
            <v>ZKAD36</v>
          </cell>
        </row>
        <row r="1191">
          <cell r="G1191" t="str">
            <v>ZKAD36G</v>
          </cell>
        </row>
        <row r="1191">
          <cell r="I1191">
            <v>79.926917</v>
          </cell>
          <cell r="J1191">
            <v>6.997361</v>
          </cell>
        </row>
        <row r="1191">
          <cell r="AA1191" t="str">
            <v>4T4R</v>
          </cell>
        </row>
        <row r="1192">
          <cell r="E1192" t="str">
            <v>ZWAT08</v>
          </cell>
        </row>
        <row r="1192">
          <cell r="G1192" t="str">
            <v>ZWAT08I</v>
          </cell>
        </row>
        <row r="1192">
          <cell r="I1192">
            <v>79.9271</v>
          </cell>
          <cell r="J1192">
            <v>7.01764</v>
          </cell>
        </row>
        <row r="1192">
          <cell r="AA1192" t="str">
            <v>2T2R</v>
          </cell>
        </row>
        <row r="1193">
          <cell r="E1193" t="str">
            <v>ZWAT08</v>
          </cell>
        </row>
        <row r="1193">
          <cell r="G1193" t="str">
            <v>ZWAT08H</v>
          </cell>
        </row>
        <row r="1193">
          <cell r="I1193">
            <v>79.9271</v>
          </cell>
          <cell r="J1193">
            <v>7.01764</v>
          </cell>
        </row>
        <row r="1193">
          <cell r="AA1193" t="str">
            <v>4T4R</v>
          </cell>
        </row>
        <row r="1194">
          <cell r="E1194" t="str">
            <v>ZWAT08</v>
          </cell>
        </row>
        <row r="1194">
          <cell r="G1194" t="str">
            <v>ZWAT08G</v>
          </cell>
        </row>
        <row r="1194">
          <cell r="I1194">
            <v>79.9271</v>
          </cell>
          <cell r="J1194">
            <v>7.01764</v>
          </cell>
        </row>
        <row r="1194">
          <cell r="AA1194" t="str">
            <v>4T4R</v>
          </cell>
        </row>
        <row r="1195">
          <cell r="E1195" t="str">
            <v>ZWAT08</v>
          </cell>
        </row>
        <row r="1195">
          <cell r="G1195" t="str">
            <v>ZWAT08-M-L85-C1</v>
          </cell>
        </row>
        <row r="1195">
          <cell r="I1195">
            <v>79.9271</v>
          </cell>
          <cell r="J1195">
            <v>7.01764</v>
          </cell>
        </row>
        <row r="1195">
          <cell r="AA1195" t="str">
            <v>2T2R</v>
          </cell>
        </row>
        <row r="1196">
          <cell r="E1196" t="str">
            <v>ZWAT08</v>
          </cell>
        </row>
        <row r="1196">
          <cell r="G1196" t="str">
            <v>ZWAT08-M-L85-B1</v>
          </cell>
        </row>
        <row r="1196">
          <cell r="I1196">
            <v>79.9271</v>
          </cell>
          <cell r="J1196">
            <v>7.01764</v>
          </cell>
        </row>
        <row r="1196">
          <cell r="AA1196" t="str">
            <v>2T2R</v>
          </cell>
        </row>
        <row r="1197">
          <cell r="E1197" t="str">
            <v>ZWAT08</v>
          </cell>
        </row>
        <row r="1197">
          <cell r="G1197" t="str">
            <v>ZWAT08-M-L85-A1</v>
          </cell>
        </row>
        <row r="1197">
          <cell r="I1197">
            <v>79.9271</v>
          </cell>
          <cell r="J1197">
            <v>7.01764</v>
          </cell>
        </row>
        <row r="1197">
          <cell r="AA1197" t="str">
            <v>2T2R</v>
          </cell>
        </row>
        <row r="1198">
          <cell r="E1198" t="str">
            <v>ZWAT08</v>
          </cell>
        </row>
        <row r="1198">
          <cell r="G1198" t="str">
            <v>ZWAT08-M-L18-C1</v>
          </cell>
        </row>
        <row r="1198">
          <cell r="I1198">
            <v>79.9271</v>
          </cell>
          <cell r="J1198">
            <v>7.01764</v>
          </cell>
        </row>
        <row r="1198">
          <cell r="AA1198" t="str">
            <v>2T2R</v>
          </cell>
        </row>
        <row r="1199">
          <cell r="E1199" t="str">
            <v>ZWAT08</v>
          </cell>
        </row>
        <row r="1199">
          <cell r="G1199" t="str">
            <v>ZWAT08-M-L21-C2</v>
          </cell>
        </row>
        <row r="1199">
          <cell r="I1199">
            <v>79.9271</v>
          </cell>
          <cell r="J1199">
            <v>7.01764</v>
          </cell>
        </row>
        <row r="1199">
          <cell r="AA1199" t="str">
            <v>2T2R</v>
          </cell>
        </row>
        <row r="1200">
          <cell r="E1200" t="str">
            <v>ZWAT08</v>
          </cell>
        </row>
        <row r="1200">
          <cell r="G1200" t="str">
            <v>ZWAT08-M-L21-B2</v>
          </cell>
        </row>
        <row r="1200">
          <cell r="I1200">
            <v>79.9271</v>
          </cell>
          <cell r="J1200">
            <v>7.01764</v>
          </cell>
        </row>
        <row r="1200">
          <cell r="AA1200" t="str">
            <v>2T2R</v>
          </cell>
        </row>
        <row r="1201">
          <cell r="E1201" t="str">
            <v>ZWAT08</v>
          </cell>
        </row>
        <row r="1201">
          <cell r="G1201" t="str">
            <v>ZWAT08-M-L21-A2</v>
          </cell>
        </row>
        <row r="1201">
          <cell r="I1201">
            <v>79.9271</v>
          </cell>
          <cell r="J1201">
            <v>7.01764</v>
          </cell>
        </row>
        <row r="1201">
          <cell r="AA1201" t="str">
            <v>2T2R</v>
          </cell>
        </row>
        <row r="1202">
          <cell r="E1202" t="str">
            <v>ZJAL07</v>
          </cell>
        </row>
        <row r="1202">
          <cell r="G1202" t="str">
            <v>ZJAL07I</v>
          </cell>
        </row>
        <row r="1202">
          <cell r="I1202">
            <v>79.9277</v>
          </cell>
          <cell r="J1202">
            <v>7.04589</v>
          </cell>
        </row>
        <row r="1202">
          <cell r="AA1202" t="str">
            <v>4T4R</v>
          </cell>
        </row>
        <row r="1203">
          <cell r="E1203" t="str">
            <v>ZJAL07</v>
          </cell>
        </row>
        <row r="1203">
          <cell r="G1203" t="str">
            <v>ZJAL07H</v>
          </cell>
        </row>
        <row r="1203">
          <cell r="I1203">
            <v>79.9277</v>
          </cell>
          <cell r="J1203">
            <v>7.04589</v>
          </cell>
        </row>
        <row r="1203">
          <cell r="AA1203" t="str">
            <v>4T4R</v>
          </cell>
        </row>
        <row r="1204">
          <cell r="E1204" t="str">
            <v>ZJAL07</v>
          </cell>
        </row>
        <row r="1204">
          <cell r="G1204" t="str">
            <v>ZJAL07G</v>
          </cell>
        </row>
        <row r="1204">
          <cell r="I1204">
            <v>79.9277</v>
          </cell>
          <cell r="J1204">
            <v>7.04589</v>
          </cell>
        </row>
        <row r="1204">
          <cell r="AA1204" t="str">
            <v>4T4R</v>
          </cell>
        </row>
        <row r="1205">
          <cell r="E1205" t="str">
            <v>ZJAL07</v>
          </cell>
        </row>
        <row r="1205">
          <cell r="G1205" t="str">
            <v>ZJAL07F</v>
          </cell>
        </row>
        <row r="1205">
          <cell r="I1205">
            <v>79.9277</v>
          </cell>
          <cell r="J1205">
            <v>7.04589</v>
          </cell>
        </row>
        <row r="1205">
          <cell r="AA1205" t="str">
            <v>4T4R</v>
          </cell>
        </row>
        <row r="1206">
          <cell r="E1206" t="str">
            <v>ZJAL07</v>
          </cell>
        </row>
        <row r="1206">
          <cell r="G1206" t="str">
            <v>ZJAL07-M-L21-D2</v>
          </cell>
        </row>
        <row r="1206">
          <cell r="I1206">
            <v>79.9277</v>
          </cell>
          <cell r="J1206">
            <v>7.04589</v>
          </cell>
        </row>
        <row r="1206">
          <cell r="AA1206" t="str">
            <v>2T2R</v>
          </cell>
        </row>
        <row r="1207">
          <cell r="E1207" t="str">
            <v>ZJAL07</v>
          </cell>
        </row>
        <row r="1207">
          <cell r="G1207" t="str">
            <v>ZJAL07-M-L21-C2</v>
          </cell>
        </row>
        <row r="1207">
          <cell r="I1207">
            <v>79.9277</v>
          </cell>
          <cell r="J1207">
            <v>7.04589</v>
          </cell>
        </row>
        <row r="1207">
          <cell r="AA1207" t="str">
            <v>2T2R</v>
          </cell>
        </row>
        <row r="1208">
          <cell r="E1208" t="str">
            <v>ZJAL07</v>
          </cell>
        </row>
        <row r="1208">
          <cell r="G1208" t="str">
            <v>ZJAL07-M-L21-B2</v>
          </cell>
        </row>
        <row r="1208">
          <cell r="I1208">
            <v>79.9277</v>
          </cell>
          <cell r="J1208">
            <v>7.04589</v>
          </cell>
        </row>
        <row r="1208">
          <cell r="AA1208" t="str">
            <v>2T2R</v>
          </cell>
        </row>
        <row r="1209">
          <cell r="E1209" t="str">
            <v>ZJAL07</v>
          </cell>
        </row>
        <row r="1209">
          <cell r="G1209" t="str">
            <v>ZJAL07-M-L21-A2</v>
          </cell>
        </row>
        <row r="1209">
          <cell r="I1209">
            <v>79.9277</v>
          </cell>
          <cell r="J1209">
            <v>7.04589</v>
          </cell>
        </row>
        <row r="1209">
          <cell r="AA1209" t="str">
            <v>2T2R</v>
          </cell>
        </row>
        <row r="1210">
          <cell r="E1210" t="str">
            <v>ZKEL10</v>
          </cell>
        </row>
        <row r="1210">
          <cell r="G1210" t="str">
            <v>ZKEL10-M-L21-C2</v>
          </cell>
        </row>
        <row r="1210">
          <cell r="I1210">
            <v>79.9278</v>
          </cell>
          <cell r="J1210">
            <v>6.97783</v>
          </cell>
        </row>
        <row r="1210">
          <cell r="AA1210" t="str">
            <v>2T2R</v>
          </cell>
        </row>
        <row r="1211">
          <cell r="E1211" t="str">
            <v>ZKEL10</v>
          </cell>
        </row>
        <row r="1211">
          <cell r="G1211" t="str">
            <v>ZKEL10-M-L21-B2</v>
          </cell>
        </row>
        <row r="1211">
          <cell r="I1211">
            <v>79.9278</v>
          </cell>
          <cell r="J1211">
            <v>6.97783</v>
          </cell>
        </row>
        <row r="1211">
          <cell r="AA1211" t="str">
            <v>2T2R</v>
          </cell>
        </row>
        <row r="1212">
          <cell r="E1212" t="str">
            <v>ZKEL10</v>
          </cell>
        </row>
        <row r="1212">
          <cell r="G1212" t="str">
            <v>ZKEL10-M-L21-A2</v>
          </cell>
        </row>
        <row r="1212">
          <cell r="I1212">
            <v>79.9278</v>
          </cell>
          <cell r="J1212">
            <v>6.97783</v>
          </cell>
        </row>
        <row r="1212">
          <cell r="AA1212" t="str">
            <v>2T2R</v>
          </cell>
        </row>
        <row r="1213">
          <cell r="E1213" t="str">
            <v>ZKEL10</v>
          </cell>
        </row>
        <row r="1213">
          <cell r="G1213" t="str">
            <v>ZKEL10-M-L23-C1</v>
          </cell>
        </row>
        <row r="1213">
          <cell r="I1213">
            <v>79.9278</v>
          </cell>
          <cell r="J1213">
            <v>6.97783</v>
          </cell>
        </row>
        <row r="1213">
          <cell r="AA1213" t="str">
            <v>4T4R</v>
          </cell>
        </row>
        <row r="1214">
          <cell r="E1214" t="str">
            <v>ZKEL10</v>
          </cell>
        </row>
        <row r="1214">
          <cell r="G1214" t="str">
            <v>ZKEL10-M-L23-B1</v>
          </cell>
        </row>
        <row r="1214">
          <cell r="I1214">
            <v>79.9278</v>
          </cell>
          <cell r="J1214">
            <v>6.97783</v>
          </cell>
        </row>
        <row r="1214">
          <cell r="AA1214" t="str">
            <v>4T4R</v>
          </cell>
        </row>
        <row r="1215">
          <cell r="E1215" t="str">
            <v>ZKEL10</v>
          </cell>
        </row>
        <row r="1215">
          <cell r="G1215" t="str">
            <v>ZKEL10-M-L23-A1</v>
          </cell>
        </row>
        <row r="1215">
          <cell r="I1215">
            <v>79.9278</v>
          </cell>
          <cell r="J1215">
            <v>6.97783</v>
          </cell>
        </row>
        <row r="1215">
          <cell r="AA1215" t="str">
            <v>4T4R</v>
          </cell>
        </row>
        <row r="1216">
          <cell r="E1216" t="str">
            <v>ZKEL10</v>
          </cell>
        </row>
        <row r="1216">
          <cell r="G1216" t="str">
            <v>ZKEL10G</v>
          </cell>
        </row>
        <row r="1216">
          <cell r="I1216">
            <v>79.9278</v>
          </cell>
          <cell r="J1216">
            <v>6.97783</v>
          </cell>
        </row>
        <row r="1216">
          <cell r="AA1216" t="str">
            <v>2T2R</v>
          </cell>
        </row>
        <row r="1217">
          <cell r="E1217" t="str">
            <v>ZKEL10</v>
          </cell>
        </row>
        <row r="1217">
          <cell r="G1217" t="str">
            <v>ZKEL10H</v>
          </cell>
        </row>
        <row r="1217">
          <cell r="I1217">
            <v>79.9278</v>
          </cell>
          <cell r="J1217">
            <v>6.97783</v>
          </cell>
        </row>
        <row r="1217">
          <cell r="AA1217" t="str">
            <v>2T2R</v>
          </cell>
        </row>
        <row r="1218">
          <cell r="E1218" t="str">
            <v>ZKEL10</v>
          </cell>
        </row>
        <row r="1218">
          <cell r="G1218" t="str">
            <v>ZKEL10I</v>
          </cell>
        </row>
        <row r="1218">
          <cell r="I1218">
            <v>79.9278</v>
          </cell>
          <cell r="J1218">
            <v>6.97783</v>
          </cell>
        </row>
        <row r="1218">
          <cell r="AA1218" t="str">
            <v>4T4R</v>
          </cell>
        </row>
        <row r="1219">
          <cell r="E1219" t="str">
            <v>ZWAT09</v>
          </cell>
        </row>
        <row r="1219">
          <cell r="G1219" t="str">
            <v>ZWAT09-M-L85-C1</v>
          </cell>
        </row>
        <row r="1219">
          <cell r="I1219">
            <v>79.9281</v>
          </cell>
          <cell r="J1219">
            <v>7.03003</v>
          </cell>
        </row>
        <row r="1219">
          <cell r="AA1219" t="str">
            <v>2T2R</v>
          </cell>
        </row>
        <row r="1220">
          <cell r="E1220" t="str">
            <v>ZWAT09</v>
          </cell>
        </row>
        <row r="1220">
          <cell r="G1220" t="str">
            <v>ZWAT09-M-L85-B1</v>
          </cell>
        </row>
        <row r="1220">
          <cell r="I1220">
            <v>79.9281</v>
          </cell>
          <cell r="J1220">
            <v>7.03003</v>
          </cell>
        </row>
        <row r="1220">
          <cell r="AA1220" t="str">
            <v>2T2R</v>
          </cell>
        </row>
        <row r="1221">
          <cell r="E1221" t="str">
            <v>ZWAT09</v>
          </cell>
        </row>
        <row r="1221">
          <cell r="G1221" t="str">
            <v>ZWAT09-M-L85-A1</v>
          </cell>
        </row>
        <row r="1221">
          <cell r="I1221">
            <v>79.9281</v>
          </cell>
          <cell r="J1221">
            <v>7.03003</v>
          </cell>
        </row>
        <row r="1221">
          <cell r="AA1221" t="str">
            <v>2T2R</v>
          </cell>
        </row>
        <row r="1222">
          <cell r="E1222" t="str">
            <v>ZWAT09</v>
          </cell>
        </row>
        <row r="1222">
          <cell r="G1222" t="str">
            <v>ZWAT09-M-L18-B1</v>
          </cell>
        </row>
        <row r="1222">
          <cell r="I1222">
            <v>79.9281</v>
          </cell>
          <cell r="J1222">
            <v>7.03003</v>
          </cell>
        </row>
        <row r="1222">
          <cell r="AA1222" t="str">
            <v>2T2R</v>
          </cell>
        </row>
        <row r="1223">
          <cell r="E1223" t="str">
            <v>ZWAT09</v>
          </cell>
        </row>
        <row r="1223">
          <cell r="G1223" t="str">
            <v>ZWAT09G</v>
          </cell>
        </row>
        <row r="1223">
          <cell r="I1223">
            <v>79.9281</v>
          </cell>
          <cell r="J1223">
            <v>7.03003</v>
          </cell>
        </row>
        <row r="1223">
          <cell r="AA1223" t="str">
            <v>2T2R</v>
          </cell>
        </row>
        <row r="1224">
          <cell r="E1224" t="str">
            <v>ZWAT09</v>
          </cell>
        </row>
        <row r="1224">
          <cell r="G1224" t="str">
            <v>ZWAT09H</v>
          </cell>
        </row>
        <row r="1224">
          <cell r="I1224">
            <v>79.9281</v>
          </cell>
          <cell r="J1224">
            <v>7.03003</v>
          </cell>
        </row>
        <row r="1224">
          <cell r="AA1224" t="str">
            <v>2T2R</v>
          </cell>
        </row>
        <row r="1225">
          <cell r="E1225" t="str">
            <v>ZWAT09</v>
          </cell>
        </row>
        <row r="1225">
          <cell r="G1225" t="str">
            <v>ZWAT09I</v>
          </cell>
        </row>
        <row r="1225">
          <cell r="I1225">
            <v>79.9281</v>
          </cell>
          <cell r="J1225">
            <v>7.03003</v>
          </cell>
        </row>
        <row r="1225">
          <cell r="AA1225" t="str">
            <v>4T4R</v>
          </cell>
        </row>
        <row r="1226">
          <cell r="E1226" t="str">
            <v>ZWAT09</v>
          </cell>
        </row>
        <row r="1226">
          <cell r="G1226" t="str">
            <v>ZWAT09-M-L21-B2</v>
          </cell>
        </row>
        <row r="1226">
          <cell r="I1226">
            <v>79.9281</v>
          </cell>
          <cell r="J1226">
            <v>7.03003</v>
          </cell>
        </row>
        <row r="1226">
          <cell r="AA1226" t="str">
            <v>2T2R</v>
          </cell>
        </row>
        <row r="1227">
          <cell r="E1227" t="str">
            <v>ZBIY12</v>
          </cell>
        </row>
        <row r="1227">
          <cell r="G1227" t="str">
            <v>ZBIY12-M-L85-C1</v>
          </cell>
        </row>
        <row r="1227">
          <cell r="I1227">
            <v>79.9281</v>
          </cell>
          <cell r="J1227">
            <v>6.9667</v>
          </cell>
        </row>
        <row r="1227">
          <cell r="AA1227" t="str">
            <v>2T2R</v>
          </cell>
        </row>
        <row r="1228">
          <cell r="E1228" t="str">
            <v>ZBIY12</v>
          </cell>
        </row>
        <row r="1228">
          <cell r="G1228" t="str">
            <v>ZBIY12-M-L85-B1</v>
          </cell>
        </row>
        <row r="1228">
          <cell r="I1228">
            <v>79.9281</v>
          </cell>
          <cell r="J1228">
            <v>6.9667</v>
          </cell>
        </row>
        <row r="1228">
          <cell r="AA1228" t="str">
            <v>2T2R</v>
          </cell>
        </row>
        <row r="1229">
          <cell r="E1229" t="str">
            <v>ZBIY12</v>
          </cell>
        </row>
        <row r="1229">
          <cell r="G1229" t="str">
            <v>ZBIY12-M-L85-A1</v>
          </cell>
        </row>
        <row r="1229">
          <cell r="I1229">
            <v>79.9281</v>
          </cell>
          <cell r="J1229">
            <v>6.9667</v>
          </cell>
        </row>
        <row r="1229">
          <cell r="AA1229" t="str">
            <v>2T2R</v>
          </cell>
        </row>
        <row r="1230">
          <cell r="E1230" t="str">
            <v>ZBIY12</v>
          </cell>
        </row>
        <row r="1230">
          <cell r="G1230" t="str">
            <v>ZBIY12-M-L21-C2</v>
          </cell>
        </row>
        <row r="1230">
          <cell r="I1230">
            <v>79.9281</v>
          </cell>
          <cell r="J1230">
            <v>6.9667</v>
          </cell>
        </row>
        <row r="1230">
          <cell r="AA1230" t="str">
            <v>2T2R</v>
          </cell>
        </row>
        <row r="1231">
          <cell r="E1231" t="str">
            <v>ZBIY12</v>
          </cell>
        </row>
        <row r="1231">
          <cell r="G1231" t="str">
            <v>ZBIY12-M-L21-B2</v>
          </cell>
        </row>
        <row r="1231">
          <cell r="I1231">
            <v>79.9281</v>
          </cell>
          <cell r="J1231">
            <v>6.9667</v>
          </cell>
        </row>
        <row r="1231">
          <cell r="AA1231" t="str">
            <v>2T2R</v>
          </cell>
        </row>
        <row r="1232">
          <cell r="E1232" t="str">
            <v>ZBIY12</v>
          </cell>
        </row>
        <row r="1232">
          <cell r="G1232" t="str">
            <v>ZBIY12-M-L21-A2</v>
          </cell>
        </row>
        <row r="1232">
          <cell r="I1232">
            <v>79.9281</v>
          </cell>
          <cell r="J1232">
            <v>6.9667</v>
          </cell>
        </row>
        <row r="1232">
          <cell r="AA1232" t="str">
            <v>2T2R</v>
          </cell>
        </row>
        <row r="1233">
          <cell r="E1233" t="str">
            <v>ZBIY12</v>
          </cell>
        </row>
        <row r="1233">
          <cell r="G1233" t="str">
            <v>ZBIY12-M-L18-I1</v>
          </cell>
        </row>
        <row r="1233">
          <cell r="I1233">
            <v>79.9281</v>
          </cell>
          <cell r="J1233">
            <v>6.9667</v>
          </cell>
        </row>
        <row r="1233">
          <cell r="AA1233" t="str">
            <v>2T2R</v>
          </cell>
        </row>
        <row r="1234">
          <cell r="E1234" t="str">
            <v>ZBIY12</v>
          </cell>
        </row>
        <row r="1234">
          <cell r="G1234" t="str">
            <v>ZBIY12G</v>
          </cell>
        </row>
        <row r="1234">
          <cell r="I1234">
            <v>79.9281</v>
          </cell>
          <cell r="J1234">
            <v>6.9667</v>
          </cell>
        </row>
        <row r="1234">
          <cell r="AA1234" t="str">
            <v>4T4R</v>
          </cell>
        </row>
        <row r="1235">
          <cell r="E1235" t="str">
            <v>ZBIY12</v>
          </cell>
        </row>
        <row r="1235">
          <cell r="G1235" t="str">
            <v>ZBIY12H</v>
          </cell>
        </row>
        <row r="1235">
          <cell r="I1235">
            <v>79.9281</v>
          </cell>
          <cell r="J1235">
            <v>6.9667</v>
          </cell>
        </row>
        <row r="1235">
          <cell r="AA1235" t="str">
            <v>4T4R</v>
          </cell>
        </row>
        <row r="1236">
          <cell r="E1236" t="str">
            <v>ZBIY12</v>
          </cell>
        </row>
        <row r="1236">
          <cell r="G1236" t="str">
            <v>ZBIY12I</v>
          </cell>
        </row>
        <row r="1236">
          <cell r="I1236">
            <v>79.9281</v>
          </cell>
          <cell r="J1236">
            <v>6.9667</v>
          </cell>
        </row>
        <row r="1236">
          <cell r="AA1236" t="str">
            <v>2T2R</v>
          </cell>
        </row>
        <row r="1237">
          <cell r="E1237" t="str">
            <v>GMKGD1</v>
          </cell>
        </row>
        <row r="1237">
          <cell r="G1237" t="str">
            <v>GMKGD1I</v>
          </cell>
        </row>
        <row r="1237">
          <cell r="I1237">
            <v>79.9283</v>
          </cell>
          <cell r="J1237">
            <v>7.12003</v>
          </cell>
        </row>
        <row r="1237">
          <cell r="AA1237" t="str">
            <v>4T4R</v>
          </cell>
        </row>
        <row r="1238">
          <cell r="E1238" t="str">
            <v>GMKGD1</v>
          </cell>
        </row>
        <row r="1238">
          <cell r="G1238" t="str">
            <v>GMKGD1H</v>
          </cell>
        </row>
        <row r="1238">
          <cell r="I1238">
            <v>79.9283</v>
          </cell>
          <cell r="J1238">
            <v>7.12003</v>
          </cell>
        </row>
        <row r="1238">
          <cell r="AA1238" t="str">
            <v>4T4R</v>
          </cell>
        </row>
        <row r="1239">
          <cell r="E1239" t="str">
            <v>GMKGD1</v>
          </cell>
        </row>
        <row r="1239">
          <cell r="G1239" t="str">
            <v>GMKGD1G</v>
          </cell>
        </row>
        <row r="1239">
          <cell r="I1239">
            <v>79.9283</v>
          </cell>
          <cell r="J1239">
            <v>7.12003</v>
          </cell>
        </row>
        <row r="1239">
          <cell r="AA1239" t="str">
            <v>4T4R</v>
          </cell>
        </row>
        <row r="1240">
          <cell r="E1240" t="str">
            <v>GMKGD1</v>
          </cell>
        </row>
        <row r="1240">
          <cell r="G1240" t="str">
            <v>GMKGD1-M-L85-C1</v>
          </cell>
        </row>
        <row r="1240">
          <cell r="I1240">
            <v>79.9283</v>
          </cell>
          <cell r="J1240">
            <v>7.12003</v>
          </cell>
        </row>
        <row r="1240">
          <cell r="AA1240" t="str">
            <v>2T2R</v>
          </cell>
        </row>
        <row r="1241">
          <cell r="E1241" t="str">
            <v>GMKGD1</v>
          </cell>
        </row>
        <row r="1241">
          <cell r="G1241" t="str">
            <v>GMKGD1-M-L85-B1</v>
          </cell>
        </row>
        <row r="1241">
          <cell r="I1241">
            <v>79.9283</v>
          </cell>
          <cell r="J1241">
            <v>7.12003</v>
          </cell>
        </row>
        <row r="1241">
          <cell r="AA1241" t="str">
            <v>2T2R</v>
          </cell>
        </row>
        <row r="1242">
          <cell r="E1242" t="str">
            <v>GMKGD1</v>
          </cell>
        </row>
        <row r="1242">
          <cell r="G1242" t="str">
            <v>GMKGD1-M-L85-A1</v>
          </cell>
        </row>
        <row r="1242">
          <cell r="I1242">
            <v>79.9283</v>
          </cell>
          <cell r="J1242">
            <v>7.12003</v>
          </cell>
        </row>
        <row r="1242">
          <cell r="AA1242" t="str">
            <v>2T2R</v>
          </cell>
        </row>
        <row r="1243">
          <cell r="E1243" t="str">
            <v>GMKGD1</v>
          </cell>
        </row>
        <row r="1243">
          <cell r="G1243" t="str">
            <v>GMKGD1-M-L21-C2</v>
          </cell>
        </row>
        <row r="1243">
          <cell r="I1243">
            <v>79.9283</v>
          </cell>
          <cell r="J1243">
            <v>7.12003</v>
          </cell>
        </row>
        <row r="1243">
          <cell r="AA1243" t="str">
            <v>4T4R</v>
          </cell>
        </row>
        <row r="1244">
          <cell r="E1244" t="str">
            <v>GMKGD1</v>
          </cell>
        </row>
        <row r="1244">
          <cell r="G1244" t="str">
            <v>GMKGD1-M-L21-B2</v>
          </cell>
        </row>
        <row r="1244">
          <cell r="I1244">
            <v>79.9283</v>
          </cell>
          <cell r="J1244">
            <v>7.12003</v>
          </cell>
        </row>
        <row r="1244">
          <cell r="AA1244" t="str">
            <v>2T2R</v>
          </cell>
        </row>
        <row r="1245">
          <cell r="E1245" t="str">
            <v>GMKGD1</v>
          </cell>
        </row>
        <row r="1245">
          <cell r="G1245" t="str">
            <v>GMKGD1-M-L21-A2</v>
          </cell>
        </row>
        <row r="1245">
          <cell r="I1245">
            <v>79.9283</v>
          </cell>
          <cell r="J1245">
            <v>7.12003</v>
          </cell>
        </row>
        <row r="1245">
          <cell r="AA1245" t="str">
            <v>2T2R</v>
          </cell>
        </row>
        <row r="1246">
          <cell r="E1246" t="str">
            <v>ZKEL02</v>
          </cell>
        </row>
        <row r="1246">
          <cell r="G1246" t="str">
            <v>ZKEL02-M-L18-A1</v>
          </cell>
        </row>
        <row r="1246">
          <cell r="I1246">
            <v>79.9292</v>
          </cell>
          <cell r="J1246">
            <v>6.98241</v>
          </cell>
        </row>
        <row r="1246">
          <cell r="AA1246" t="str">
            <v>2T2R</v>
          </cell>
        </row>
        <row r="1247">
          <cell r="E1247" t="str">
            <v>ZKEL02</v>
          </cell>
        </row>
        <row r="1247">
          <cell r="G1247" t="str">
            <v>ZKEL02F</v>
          </cell>
        </row>
        <row r="1247">
          <cell r="I1247">
            <v>79.9292</v>
          </cell>
          <cell r="J1247">
            <v>6.98241</v>
          </cell>
        </row>
        <row r="1247">
          <cell r="AA1247" t="str">
            <v>2T2R</v>
          </cell>
        </row>
        <row r="1248">
          <cell r="E1248" t="str">
            <v>ZKEL02</v>
          </cell>
        </row>
        <row r="1248">
          <cell r="G1248" t="str">
            <v>ZKEL02-M-L21-C2</v>
          </cell>
        </row>
        <row r="1248">
          <cell r="I1248">
            <v>79.9292</v>
          </cell>
          <cell r="J1248">
            <v>6.98241</v>
          </cell>
        </row>
        <row r="1248">
          <cell r="AA1248" t="str">
            <v>2T2R</v>
          </cell>
        </row>
        <row r="1249">
          <cell r="E1249" t="str">
            <v>ZKEL02</v>
          </cell>
        </row>
        <row r="1249">
          <cell r="G1249" t="str">
            <v>ZKEL02-M-L21-B2</v>
          </cell>
        </row>
        <row r="1249">
          <cell r="I1249">
            <v>79.9292</v>
          </cell>
          <cell r="J1249">
            <v>6.98241</v>
          </cell>
        </row>
        <row r="1249">
          <cell r="AA1249" t="str">
            <v>2T2R</v>
          </cell>
        </row>
        <row r="1250">
          <cell r="E1250" t="str">
            <v>ZKEL02</v>
          </cell>
        </row>
        <row r="1250">
          <cell r="G1250" t="str">
            <v>ZKEL02-M-L21-A2</v>
          </cell>
        </row>
        <row r="1250">
          <cell r="I1250">
            <v>79.9292</v>
          </cell>
          <cell r="J1250">
            <v>6.98241</v>
          </cell>
        </row>
        <row r="1250">
          <cell r="AA1250" t="str">
            <v>2T2R</v>
          </cell>
        </row>
        <row r="1251">
          <cell r="E1251" t="str">
            <v>ZKEL02</v>
          </cell>
        </row>
        <row r="1251">
          <cell r="G1251" t="str">
            <v>ZKEL02-M-L23-C1</v>
          </cell>
        </row>
        <row r="1251">
          <cell r="I1251">
            <v>79.9292</v>
          </cell>
          <cell r="J1251">
            <v>6.98241</v>
          </cell>
        </row>
        <row r="1251">
          <cell r="AA1251" t="str">
            <v>4T4R</v>
          </cell>
        </row>
        <row r="1252">
          <cell r="E1252" t="str">
            <v>ZKEL02</v>
          </cell>
        </row>
        <row r="1252">
          <cell r="G1252" t="str">
            <v>ZKEL02-M-L23-B1</v>
          </cell>
        </row>
        <row r="1252">
          <cell r="I1252">
            <v>79.9292</v>
          </cell>
          <cell r="J1252">
            <v>6.98241</v>
          </cell>
        </row>
        <row r="1252">
          <cell r="AA1252" t="str">
            <v>4T4R</v>
          </cell>
        </row>
        <row r="1253">
          <cell r="E1253" t="str">
            <v>ZKEL02</v>
          </cell>
        </row>
        <row r="1253">
          <cell r="G1253" t="str">
            <v>ZKEL02-M-L23-A1</v>
          </cell>
        </row>
        <row r="1253">
          <cell r="I1253">
            <v>79.9292</v>
          </cell>
          <cell r="J1253">
            <v>6.98241</v>
          </cell>
        </row>
        <row r="1253">
          <cell r="AA1253" t="str">
            <v>4T4R</v>
          </cell>
        </row>
        <row r="1254">
          <cell r="E1254" t="str">
            <v>ZKEL02</v>
          </cell>
        </row>
        <row r="1254">
          <cell r="G1254" t="str">
            <v>ZKEL02G</v>
          </cell>
        </row>
        <row r="1254">
          <cell r="I1254">
            <v>79.9292</v>
          </cell>
          <cell r="J1254">
            <v>6.98241</v>
          </cell>
        </row>
        <row r="1254">
          <cell r="AA1254" t="str">
            <v>2T2R</v>
          </cell>
        </row>
        <row r="1255">
          <cell r="E1255" t="str">
            <v>ZKEL02</v>
          </cell>
        </row>
        <row r="1255">
          <cell r="G1255" t="str">
            <v>ZKEL02H</v>
          </cell>
        </row>
        <row r="1255">
          <cell r="I1255">
            <v>79.9292</v>
          </cell>
          <cell r="J1255">
            <v>6.98241</v>
          </cell>
        </row>
        <row r="1255">
          <cell r="AA1255" t="str">
            <v>2T2R</v>
          </cell>
        </row>
        <row r="1256">
          <cell r="E1256" t="str">
            <v>ZKEL02</v>
          </cell>
        </row>
        <row r="1256">
          <cell r="G1256" t="str">
            <v>ZKEL02I</v>
          </cell>
        </row>
        <row r="1256">
          <cell r="I1256">
            <v>79.9292</v>
          </cell>
          <cell r="J1256">
            <v>6.98241</v>
          </cell>
        </row>
        <row r="1256">
          <cell r="AA1256" t="str">
            <v>2T2R</v>
          </cell>
        </row>
        <row r="1257">
          <cell r="E1257" t="str">
            <v>ZKEL02</v>
          </cell>
        </row>
        <row r="1257">
          <cell r="G1257" t="str">
            <v>ZKEL02-M-L85-C1</v>
          </cell>
        </row>
        <row r="1257">
          <cell r="I1257">
            <v>79.9292</v>
          </cell>
          <cell r="J1257">
            <v>6.98241</v>
          </cell>
        </row>
        <row r="1257">
          <cell r="AA1257" t="str">
            <v>2T2R</v>
          </cell>
        </row>
        <row r="1258">
          <cell r="E1258" t="str">
            <v>ZKEL02</v>
          </cell>
        </row>
        <row r="1258">
          <cell r="G1258" t="str">
            <v>ZKEL02-M-L85-B1</v>
          </cell>
        </row>
        <row r="1258">
          <cell r="I1258">
            <v>79.9292</v>
          </cell>
          <cell r="J1258">
            <v>6.98241</v>
          </cell>
        </row>
        <row r="1258">
          <cell r="AA1258" t="str">
            <v>2T2R</v>
          </cell>
        </row>
        <row r="1259">
          <cell r="E1259" t="str">
            <v>ZKEL02</v>
          </cell>
        </row>
        <row r="1259">
          <cell r="G1259" t="str">
            <v>ZKEL02-M-L85-A1</v>
          </cell>
        </row>
        <row r="1259">
          <cell r="I1259">
            <v>79.9292</v>
          </cell>
          <cell r="J1259">
            <v>6.98241</v>
          </cell>
        </row>
        <row r="1259">
          <cell r="AA1259" t="str">
            <v>2T2R</v>
          </cell>
        </row>
        <row r="1260">
          <cell r="E1260" t="str">
            <v>ZJAL04</v>
          </cell>
        </row>
        <row r="1260">
          <cell r="G1260" t="str">
            <v>ZJAL04-M-L18-B1</v>
          </cell>
        </row>
        <row r="1260">
          <cell r="I1260">
            <v>79.9295</v>
          </cell>
          <cell r="J1260">
            <v>7.08128</v>
          </cell>
        </row>
        <row r="1260">
          <cell r="AA1260" t="str">
            <v>2T2R</v>
          </cell>
        </row>
        <row r="1261">
          <cell r="E1261" t="str">
            <v>ZJAL04</v>
          </cell>
        </row>
        <row r="1261">
          <cell r="G1261" t="str">
            <v>ZJAL04-M-L21-B2</v>
          </cell>
        </row>
        <row r="1261">
          <cell r="I1261">
            <v>79.9295</v>
          </cell>
          <cell r="J1261">
            <v>7.08128</v>
          </cell>
        </row>
        <row r="1261">
          <cell r="AA1261" t="str">
            <v>2T2R</v>
          </cell>
        </row>
        <row r="1262">
          <cell r="E1262" t="str">
            <v>ZJAL04</v>
          </cell>
        </row>
        <row r="1262">
          <cell r="G1262" t="str">
            <v>ZJAL04-M-L21-A2</v>
          </cell>
        </row>
        <row r="1262">
          <cell r="I1262">
            <v>79.9295</v>
          </cell>
          <cell r="J1262">
            <v>7.08128</v>
          </cell>
        </row>
        <row r="1262">
          <cell r="AA1262" t="str">
            <v>2T2R</v>
          </cell>
        </row>
        <row r="1263">
          <cell r="E1263" t="str">
            <v>ZJAL04</v>
          </cell>
        </row>
        <row r="1263">
          <cell r="G1263" t="str">
            <v>ZJAL04I</v>
          </cell>
        </row>
        <row r="1263">
          <cell r="I1263">
            <v>79.9295</v>
          </cell>
          <cell r="J1263">
            <v>7.08128</v>
          </cell>
        </row>
        <row r="1263">
          <cell r="AA1263" t="str">
            <v>4T4R</v>
          </cell>
        </row>
        <row r="1264">
          <cell r="E1264" t="str">
            <v>ZJAL04</v>
          </cell>
        </row>
        <row r="1264">
          <cell r="G1264" t="str">
            <v>ZJAL04H</v>
          </cell>
        </row>
        <row r="1264">
          <cell r="I1264">
            <v>79.9295</v>
          </cell>
          <cell r="J1264">
            <v>7.08128</v>
          </cell>
        </row>
        <row r="1264">
          <cell r="AA1264" t="str">
            <v>2T2R</v>
          </cell>
        </row>
        <row r="1265">
          <cell r="E1265" t="str">
            <v>ZJAL04</v>
          </cell>
        </row>
        <row r="1265">
          <cell r="G1265" t="str">
            <v>ZJAL04G</v>
          </cell>
        </row>
        <row r="1265">
          <cell r="I1265">
            <v>79.9295</v>
          </cell>
          <cell r="J1265">
            <v>7.08128</v>
          </cell>
        </row>
        <row r="1265">
          <cell r="AA1265" t="str">
            <v>4T4R</v>
          </cell>
        </row>
        <row r="1266">
          <cell r="E1266" t="str">
            <v>ZJAL04</v>
          </cell>
        </row>
        <row r="1266">
          <cell r="G1266" t="str">
            <v>ZJAL04-M-L85-C1</v>
          </cell>
        </row>
        <row r="1266">
          <cell r="I1266">
            <v>79.9295</v>
          </cell>
          <cell r="J1266">
            <v>7.08128</v>
          </cell>
        </row>
        <row r="1266">
          <cell r="AA1266" t="str">
            <v>2T2R</v>
          </cell>
        </row>
        <row r="1267">
          <cell r="E1267" t="str">
            <v>ZJAL04</v>
          </cell>
        </row>
        <row r="1267">
          <cell r="G1267" t="str">
            <v>ZJAL04-M-L85-B1</v>
          </cell>
        </row>
        <row r="1267">
          <cell r="I1267">
            <v>79.9295</v>
          </cell>
          <cell r="J1267">
            <v>7.08128</v>
          </cell>
        </row>
        <row r="1267">
          <cell r="AA1267" t="str">
            <v>2T2R</v>
          </cell>
        </row>
        <row r="1268">
          <cell r="E1268" t="str">
            <v>ZJAL04</v>
          </cell>
        </row>
        <row r="1268">
          <cell r="G1268" t="str">
            <v>ZJAL04-M-L85-A1</v>
          </cell>
        </row>
        <row r="1268">
          <cell r="I1268">
            <v>79.9295</v>
          </cell>
          <cell r="J1268">
            <v>7.08128</v>
          </cell>
        </row>
        <row r="1268">
          <cell r="AA1268" t="str">
            <v>2T2R</v>
          </cell>
        </row>
        <row r="1269">
          <cell r="E1269" t="str">
            <v>ZKEL25</v>
          </cell>
        </row>
        <row r="1269">
          <cell r="G1269" t="str">
            <v>ZKEL25I</v>
          </cell>
        </row>
        <row r="1269">
          <cell r="I1269">
            <v>79.9317</v>
          </cell>
          <cell r="J1269">
            <v>6.95905</v>
          </cell>
        </row>
        <row r="1269">
          <cell r="AA1269" t="str">
            <v>2T2R</v>
          </cell>
        </row>
        <row r="1270">
          <cell r="E1270" t="str">
            <v>ZKEL25</v>
          </cell>
        </row>
        <row r="1270">
          <cell r="G1270" t="str">
            <v>ZKEL25H</v>
          </cell>
        </row>
        <row r="1270">
          <cell r="I1270">
            <v>79.9317</v>
          </cell>
          <cell r="J1270">
            <v>6.95905</v>
          </cell>
        </row>
        <row r="1270">
          <cell r="AA1270" t="str">
            <v>2T2R</v>
          </cell>
        </row>
        <row r="1271">
          <cell r="E1271" t="str">
            <v>ZKEL25</v>
          </cell>
        </row>
        <row r="1271">
          <cell r="G1271" t="str">
            <v>ZKEL25G</v>
          </cell>
        </row>
        <row r="1271">
          <cell r="I1271">
            <v>79.9317</v>
          </cell>
          <cell r="J1271">
            <v>6.95905</v>
          </cell>
        </row>
        <row r="1271">
          <cell r="AA1271" t="str">
            <v>2T2R</v>
          </cell>
        </row>
        <row r="1272">
          <cell r="E1272" t="str">
            <v>ZJAL36</v>
          </cell>
        </row>
        <row r="1272">
          <cell r="G1272" t="str">
            <v>ZJAL36-M-L21-C2</v>
          </cell>
        </row>
        <row r="1272">
          <cell r="I1272">
            <v>79.9317</v>
          </cell>
          <cell r="J1272">
            <v>7.0867</v>
          </cell>
        </row>
        <row r="1272">
          <cell r="AA1272" t="str">
            <v>2T2R</v>
          </cell>
        </row>
        <row r="1273">
          <cell r="E1273" t="str">
            <v>ZJAL36</v>
          </cell>
        </row>
        <row r="1273">
          <cell r="G1273" t="str">
            <v>ZJAL36-M-L21-B2</v>
          </cell>
        </row>
        <row r="1273">
          <cell r="I1273">
            <v>79.9317</v>
          </cell>
          <cell r="J1273">
            <v>7.0867</v>
          </cell>
        </row>
        <row r="1273">
          <cell r="AA1273" t="str">
            <v>2T2R</v>
          </cell>
        </row>
        <row r="1274">
          <cell r="E1274" t="str">
            <v>ZJAL36</v>
          </cell>
        </row>
        <row r="1274">
          <cell r="G1274" t="str">
            <v>ZJAL36-M-L21-A2</v>
          </cell>
        </row>
        <row r="1274">
          <cell r="I1274">
            <v>79.9317</v>
          </cell>
          <cell r="J1274">
            <v>7.0867</v>
          </cell>
        </row>
        <row r="1274">
          <cell r="AA1274" t="str">
            <v>2T2R</v>
          </cell>
        </row>
        <row r="1275">
          <cell r="E1275" t="str">
            <v>ZJAL12</v>
          </cell>
        </row>
        <row r="1275">
          <cell r="G1275" t="str">
            <v>ZJAL12-M-L21-C2</v>
          </cell>
        </row>
        <row r="1275">
          <cell r="I1275">
            <v>79.9324</v>
          </cell>
          <cell r="J1275">
            <v>7.04123</v>
          </cell>
        </row>
        <row r="1275">
          <cell r="AA1275" t="str">
            <v>2T2R</v>
          </cell>
        </row>
        <row r="1276">
          <cell r="E1276" t="str">
            <v>ZJAL12</v>
          </cell>
        </row>
        <row r="1276">
          <cell r="G1276" t="str">
            <v>ZJAL12-M-L21-B2</v>
          </cell>
        </row>
        <row r="1276">
          <cell r="I1276">
            <v>79.9324</v>
          </cell>
          <cell r="J1276">
            <v>7.04123</v>
          </cell>
        </row>
        <row r="1276">
          <cell r="AA1276" t="str">
            <v>2T2R</v>
          </cell>
        </row>
        <row r="1277">
          <cell r="E1277" t="str">
            <v>ZJAL12</v>
          </cell>
        </row>
        <row r="1277">
          <cell r="G1277" t="str">
            <v>ZJAL12I</v>
          </cell>
        </row>
        <row r="1277">
          <cell r="I1277">
            <v>79.9324</v>
          </cell>
          <cell r="J1277">
            <v>7.04123</v>
          </cell>
        </row>
        <row r="1277">
          <cell r="AA1277" t="str">
            <v>4T4R</v>
          </cell>
        </row>
        <row r="1278">
          <cell r="E1278" t="str">
            <v>ZJAL12</v>
          </cell>
        </row>
        <row r="1278">
          <cell r="G1278" t="str">
            <v>ZJAL12H</v>
          </cell>
        </row>
        <row r="1278">
          <cell r="I1278">
            <v>79.9324</v>
          </cell>
          <cell r="J1278">
            <v>7.04123</v>
          </cell>
        </row>
        <row r="1278">
          <cell r="AA1278" t="str">
            <v>4T4R</v>
          </cell>
        </row>
        <row r="1279">
          <cell r="E1279" t="str">
            <v>ZJAL12</v>
          </cell>
        </row>
        <row r="1279">
          <cell r="G1279" t="str">
            <v>ZJAL12G</v>
          </cell>
        </row>
        <row r="1279">
          <cell r="I1279">
            <v>79.9324</v>
          </cell>
          <cell r="J1279">
            <v>7.04123</v>
          </cell>
        </row>
        <row r="1279">
          <cell r="AA1279" t="str">
            <v>4T4R</v>
          </cell>
        </row>
        <row r="1280">
          <cell r="E1280" t="str">
            <v>GMYAG1</v>
          </cell>
        </row>
        <row r="1280">
          <cell r="G1280" t="str">
            <v>GMYAG1-M-L21-C2</v>
          </cell>
        </row>
        <row r="1280">
          <cell r="I1280">
            <v>79.932777</v>
          </cell>
          <cell r="J1280">
            <v>7.145833</v>
          </cell>
        </row>
        <row r="1280">
          <cell r="AA1280" t="str">
            <v>2T2R</v>
          </cell>
        </row>
        <row r="1281">
          <cell r="E1281" t="str">
            <v>GMYAG1</v>
          </cell>
        </row>
        <row r="1281">
          <cell r="G1281" t="str">
            <v>GMYAG1-M-L21-A2</v>
          </cell>
        </row>
        <row r="1281">
          <cell r="I1281">
            <v>79.932777</v>
          </cell>
          <cell r="J1281">
            <v>7.145833</v>
          </cell>
        </row>
        <row r="1281">
          <cell r="AA1281" t="str">
            <v>2T2R</v>
          </cell>
        </row>
        <row r="1282">
          <cell r="E1282" t="str">
            <v>GMYAG1</v>
          </cell>
        </row>
        <row r="1282">
          <cell r="G1282" t="str">
            <v>GMYAG1I</v>
          </cell>
        </row>
        <row r="1282">
          <cell r="I1282">
            <v>79.932777</v>
          </cell>
          <cell r="J1282">
            <v>7.145833</v>
          </cell>
        </row>
        <row r="1282">
          <cell r="AA1282" t="str">
            <v>4T4R</v>
          </cell>
        </row>
        <row r="1283">
          <cell r="E1283" t="str">
            <v>GMYAG1</v>
          </cell>
        </row>
        <row r="1283">
          <cell r="G1283" t="str">
            <v>GMYAG1H</v>
          </cell>
        </row>
        <row r="1283">
          <cell r="I1283">
            <v>79.932777</v>
          </cell>
          <cell r="J1283">
            <v>7.145833</v>
          </cell>
        </row>
        <row r="1283">
          <cell r="AA1283" t="str">
            <v>2T2R</v>
          </cell>
        </row>
        <row r="1284">
          <cell r="E1284" t="str">
            <v>GMYAG1</v>
          </cell>
        </row>
        <row r="1284">
          <cell r="G1284" t="str">
            <v>GMYAG1G</v>
          </cell>
        </row>
        <row r="1284">
          <cell r="I1284">
            <v>79.932777</v>
          </cell>
          <cell r="J1284">
            <v>7.145833</v>
          </cell>
        </row>
        <row r="1284">
          <cell r="AA1284" t="str">
            <v>2T2R</v>
          </cell>
        </row>
        <row r="1285">
          <cell r="E1285" t="str">
            <v>ZBIY07</v>
          </cell>
        </row>
        <row r="1285">
          <cell r="G1285" t="str">
            <v>ZBIY07I</v>
          </cell>
        </row>
        <row r="1285">
          <cell r="I1285">
            <v>79.9329</v>
          </cell>
          <cell r="J1285">
            <v>6.95272</v>
          </cell>
        </row>
        <row r="1285">
          <cell r="AA1285" t="str">
            <v>2T2R</v>
          </cell>
        </row>
        <row r="1286">
          <cell r="E1286" t="str">
            <v>ZBIY07</v>
          </cell>
        </row>
        <row r="1286">
          <cell r="G1286" t="str">
            <v>ZBIY07H</v>
          </cell>
        </row>
        <row r="1286">
          <cell r="I1286">
            <v>79.9329</v>
          </cell>
          <cell r="J1286">
            <v>6.95272</v>
          </cell>
        </row>
        <row r="1286">
          <cell r="AA1286" t="str">
            <v>2T2R</v>
          </cell>
        </row>
        <row r="1287">
          <cell r="E1287" t="str">
            <v>ZBIY07</v>
          </cell>
        </row>
        <row r="1287">
          <cell r="G1287" t="str">
            <v>ZBIY07G</v>
          </cell>
        </row>
        <row r="1287">
          <cell r="I1287">
            <v>79.9329</v>
          </cell>
          <cell r="J1287">
            <v>6.95272</v>
          </cell>
        </row>
        <row r="1287">
          <cell r="AA1287" t="str">
            <v>2T2R</v>
          </cell>
        </row>
        <row r="1288">
          <cell r="E1288" t="str">
            <v>ZBIY07</v>
          </cell>
        </row>
        <row r="1288">
          <cell r="G1288" t="str">
            <v>ZBIY07-M-L85-B1</v>
          </cell>
        </row>
        <row r="1288">
          <cell r="I1288">
            <v>79.9329</v>
          </cell>
          <cell r="J1288">
            <v>6.95272</v>
          </cell>
        </row>
        <row r="1288">
          <cell r="AA1288" t="str">
            <v>2T2R</v>
          </cell>
        </row>
        <row r="1289">
          <cell r="E1289" t="str">
            <v>ZBIY07</v>
          </cell>
        </row>
        <row r="1289">
          <cell r="G1289" t="str">
            <v>ZBIY07-M-L85-A1</v>
          </cell>
        </row>
        <row r="1289">
          <cell r="I1289">
            <v>79.9329</v>
          </cell>
          <cell r="J1289">
            <v>6.95272</v>
          </cell>
        </row>
        <row r="1289">
          <cell r="AA1289" t="str">
            <v>2T2R</v>
          </cell>
        </row>
        <row r="1290">
          <cell r="E1290" t="str">
            <v>ZBIY07</v>
          </cell>
        </row>
        <row r="1290">
          <cell r="G1290" t="str">
            <v>ZBIY07-M-L85-C1</v>
          </cell>
        </row>
        <row r="1290">
          <cell r="I1290">
            <v>79.9329</v>
          </cell>
          <cell r="J1290">
            <v>6.95272</v>
          </cell>
        </row>
        <row r="1290">
          <cell r="AA1290" t="str">
            <v>2T2R</v>
          </cell>
        </row>
        <row r="1291">
          <cell r="E1291" t="str">
            <v>ZBIY07</v>
          </cell>
        </row>
        <row r="1291">
          <cell r="G1291" t="str">
            <v>ZBIY07-M-L18-B1</v>
          </cell>
        </row>
        <row r="1291">
          <cell r="I1291">
            <v>79.9329</v>
          </cell>
          <cell r="J1291">
            <v>6.95272</v>
          </cell>
        </row>
        <row r="1291">
          <cell r="AA1291" t="str">
            <v>2T2R</v>
          </cell>
        </row>
        <row r="1292">
          <cell r="E1292" t="str">
            <v>ZBIY07</v>
          </cell>
        </row>
        <row r="1292">
          <cell r="G1292" t="str">
            <v>ZBIY07-M-L21-B2</v>
          </cell>
        </row>
        <row r="1292">
          <cell r="I1292">
            <v>79.9329</v>
          </cell>
          <cell r="J1292">
            <v>6.95272</v>
          </cell>
        </row>
        <row r="1292">
          <cell r="AA1292" t="str">
            <v>2T2R</v>
          </cell>
        </row>
        <row r="1293">
          <cell r="E1293" t="str">
            <v>ZBIY07</v>
          </cell>
        </row>
        <row r="1293">
          <cell r="G1293" t="str">
            <v>ZBIY07-M-L21-A2</v>
          </cell>
        </row>
        <row r="1293">
          <cell r="I1293">
            <v>79.9329</v>
          </cell>
          <cell r="J1293">
            <v>6.95272</v>
          </cell>
        </row>
        <row r="1293">
          <cell r="AA1293" t="str">
            <v>2T2R</v>
          </cell>
        </row>
        <row r="1294">
          <cell r="E1294" t="str">
            <v>ZBIY07</v>
          </cell>
        </row>
        <row r="1294">
          <cell r="G1294" t="str">
            <v>ZBIY07-M-L21-C2</v>
          </cell>
        </row>
        <row r="1294">
          <cell r="I1294">
            <v>79.9329</v>
          </cell>
          <cell r="J1294">
            <v>6.95272</v>
          </cell>
        </row>
        <row r="1294">
          <cell r="AA1294" t="str">
            <v>2T2R</v>
          </cell>
        </row>
        <row r="1295">
          <cell r="E1295" t="str">
            <v>ZBIY07</v>
          </cell>
        </row>
        <row r="1295">
          <cell r="G1295" t="str">
            <v>ZBIY07-M-L18-I1</v>
          </cell>
        </row>
        <row r="1295">
          <cell r="I1295">
            <v>79.9329</v>
          </cell>
          <cell r="J1295">
            <v>6.95272</v>
          </cell>
        </row>
        <row r="1295">
          <cell r="AA1295" t="str">
            <v>4T4R</v>
          </cell>
        </row>
        <row r="1296">
          <cell r="E1296" t="str">
            <v>ZKAD25</v>
          </cell>
        </row>
        <row r="1296">
          <cell r="G1296" t="str">
            <v>ZKAD25I</v>
          </cell>
        </row>
        <row r="1296">
          <cell r="I1296">
            <v>79.933585</v>
          </cell>
          <cell r="J1296">
            <v>7.008405</v>
          </cell>
        </row>
        <row r="1296">
          <cell r="AA1296" t="str">
            <v>4T4R</v>
          </cell>
        </row>
        <row r="1297">
          <cell r="E1297" t="str">
            <v>ZKAD25</v>
          </cell>
        </row>
        <row r="1297">
          <cell r="G1297" t="str">
            <v>ZKAD25H</v>
          </cell>
        </row>
        <row r="1297">
          <cell r="I1297">
            <v>79.933585</v>
          </cell>
          <cell r="J1297">
            <v>7.008405</v>
          </cell>
        </row>
        <row r="1297">
          <cell r="AA1297" t="str">
            <v>4T4R</v>
          </cell>
        </row>
        <row r="1298">
          <cell r="E1298" t="str">
            <v>ZKAD25</v>
          </cell>
        </row>
        <row r="1298">
          <cell r="G1298" t="str">
            <v>ZKAD25G</v>
          </cell>
        </row>
        <row r="1298">
          <cell r="I1298">
            <v>79.933585</v>
          </cell>
          <cell r="J1298">
            <v>7.008405</v>
          </cell>
        </row>
        <row r="1298">
          <cell r="AA1298" t="str">
            <v>4T4R</v>
          </cell>
        </row>
        <row r="1299">
          <cell r="E1299" t="str">
            <v>ZWAT41</v>
          </cell>
        </row>
        <row r="1299">
          <cell r="G1299" t="str">
            <v>ZWAT41I</v>
          </cell>
        </row>
        <row r="1299">
          <cell r="I1299">
            <v>79.935353</v>
          </cell>
          <cell r="J1299">
            <v>7.02005448</v>
          </cell>
        </row>
        <row r="1299">
          <cell r="AA1299" t="str">
            <v>4T4R</v>
          </cell>
        </row>
        <row r="1300">
          <cell r="E1300" t="str">
            <v>ZWAT41</v>
          </cell>
        </row>
        <row r="1300">
          <cell r="G1300" t="str">
            <v>ZWAT41H</v>
          </cell>
        </row>
        <row r="1300">
          <cell r="I1300">
            <v>79.935353</v>
          </cell>
          <cell r="J1300">
            <v>7.02005448</v>
          </cell>
        </row>
        <row r="1300">
          <cell r="AA1300" t="str">
            <v>4T4R</v>
          </cell>
        </row>
        <row r="1301">
          <cell r="E1301" t="str">
            <v>ZWAT41</v>
          </cell>
        </row>
        <row r="1301">
          <cell r="G1301" t="str">
            <v>ZWAT41G</v>
          </cell>
        </row>
        <row r="1301">
          <cell r="I1301">
            <v>79.935353</v>
          </cell>
          <cell r="J1301">
            <v>7.02005448</v>
          </cell>
        </row>
        <row r="1301">
          <cell r="AA1301" t="str">
            <v>4T4R</v>
          </cell>
        </row>
        <row r="1302">
          <cell r="E1302" t="str">
            <v>ZBIY31</v>
          </cell>
        </row>
        <row r="1302">
          <cell r="G1302" t="str">
            <v>ZBIY31I</v>
          </cell>
        </row>
        <row r="1302">
          <cell r="I1302">
            <v>79.9357</v>
          </cell>
          <cell r="J1302">
            <v>6.96826</v>
          </cell>
        </row>
        <row r="1302">
          <cell r="AA1302" t="str">
            <v>2T2R</v>
          </cell>
        </row>
        <row r="1303">
          <cell r="E1303" t="str">
            <v>ZBIY31</v>
          </cell>
        </row>
        <row r="1303">
          <cell r="G1303" t="str">
            <v>ZBIY31H</v>
          </cell>
        </row>
        <row r="1303">
          <cell r="I1303">
            <v>79.9357</v>
          </cell>
          <cell r="J1303">
            <v>6.96826</v>
          </cell>
        </row>
        <row r="1303">
          <cell r="AA1303" t="str">
            <v>2T2R</v>
          </cell>
        </row>
        <row r="1304">
          <cell r="E1304" t="str">
            <v>ZBIY31</v>
          </cell>
        </row>
        <row r="1304">
          <cell r="G1304" t="str">
            <v>ZBIY31G</v>
          </cell>
        </row>
        <row r="1304">
          <cell r="I1304">
            <v>79.9357</v>
          </cell>
          <cell r="J1304">
            <v>6.96826</v>
          </cell>
        </row>
        <row r="1304">
          <cell r="AA1304" t="str">
            <v>2T2R</v>
          </cell>
        </row>
        <row r="1305">
          <cell r="E1305" t="str">
            <v>ZBIY31</v>
          </cell>
        </row>
        <row r="1305">
          <cell r="G1305" t="str">
            <v>ZBIY31-M-L18-G1</v>
          </cell>
        </row>
        <row r="1305">
          <cell r="I1305">
            <v>79.9357</v>
          </cell>
          <cell r="J1305">
            <v>6.96826</v>
          </cell>
        </row>
        <row r="1305">
          <cell r="AA1305" t="str">
            <v>2T2R</v>
          </cell>
        </row>
        <row r="1306">
          <cell r="E1306" t="str">
            <v>ZKAD09</v>
          </cell>
        </row>
        <row r="1306">
          <cell r="G1306" t="str">
            <v>ZKAD09-M-L21-C2</v>
          </cell>
        </row>
        <row r="1306">
          <cell r="I1306">
            <v>79.936388</v>
          </cell>
          <cell r="J1306">
            <v>7.003888</v>
          </cell>
        </row>
        <row r="1306">
          <cell r="AA1306" t="str">
            <v>8T8R</v>
          </cell>
        </row>
        <row r="1307">
          <cell r="E1307" t="str">
            <v>ZKAD09</v>
          </cell>
        </row>
        <row r="1307">
          <cell r="G1307" t="str">
            <v>ZKAD09-M-L21-B2</v>
          </cell>
        </row>
        <row r="1307">
          <cell r="I1307">
            <v>79.936388</v>
          </cell>
          <cell r="J1307">
            <v>7.003888</v>
          </cell>
        </row>
        <row r="1307">
          <cell r="AA1307" t="str">
            <v>2T2R</v>
          </cell>
        </row>
        <row r="1308">
          <cell r="E1308" t="str">
            <v>ZKAD09</v>
          </cell>
        </row>
        <row r="1308">
          <cell r="G1308" t="str">
            <v>ZKAD09-M-L21-A2</v>
          </cell>
        </row>
        <row r="1308">
          <cell r="I1308">
            <v>79.936388</v>
          </cell>
          <cell r="J1308">
            <v>7.003888</v>
          </cell>
        </row>
        <row r="1308">
          <cell r="AA1308" t="str">
            <v>2T2R</v>
          </cell>
        </row>
        <row r="1309">
          <cell r="E1309" t="str">
            <v>ZKAD09</v>
          </cell>
        </row>
        <row r="1309">
          <cell r="G1309" t="str">
            <v>ZKAD09-M-L18-C1</v>
          </cell>
        </row>
        <row r="1309">
          <cell r="I1309">
            <v>79.936388</v>
          </cell>
          <cell r="J1309">
            <v>7.003888</v>
          </cell>
        </row>
        <row r="1309">
          <cell r="AA1309" t="str">
            <v>8T8R</v>
          </cell>
        </row>
        <row r="1310">
          <cell r="E1310" t="str">
            <v>ZKAD09</v>
          </cell>
        </row>
        <row r="1310">
          <cell r="G1310" t="str">
            <v>ZKAD09I</v>
          </cell>
        </row>
        <row r="1310">
          <cell r="I1310">
            <v>79.936388</v>
          </cell>
          <cell r="J1310">
            <v>7.003888</v>
          </cell>
        </row>
        <row r="1310">
          <cell r="AA1310" t="str">
            <v>8T8R</v>
          </cell>
        </row>
        <row r="1311">
          <cell r="E1311" t="str">
            <v>ZKAD09</v>
          </cell>
        </row>
        <row r="1311">
          <cell r="G1311" t="str">
            <v>ZKAD09H</v>
          </cell>
        </row>
        <row r="1311">
          <cell r="I1311">
            <v>79.936388</v>
          </cell>
          <cell r="J1311">
            <v>7.003888</v>
          </cell>
        </row>
        <row r="1311">
          <cell r="AA1311" t="str">
            <v>4T4R</v>
          </cell>
        </row>
        <row r="1312">
          <cell r="E1312" t="str">
            <v>ZKAD09</v>
          </cell>
        </row>
        <row r="1312">
          <cell r="G1312" t="str">
            <v>ZKAD09G</v>
          </cell>
        </row>
        <row r="1312">
          <cell r="I1312">
            <v>79.936388</v>
          </cell>
          <cell r="J1312">
            <v>7.003888</v>
          </cell>
        </row>
        <row r="1312">
          <cell r="AA1312" t="str">
            <v>4T4R</v>
          </cell>
        </row>
        <row r="1313">
          <cell r="E1313" t="str">
            <v>ZKAD09</v>
          </cell>
        </row>
        <row r="1313">
          <cell r="G1313" t="str">
            <v>ZKAD09-M-L85-C1</v>
          </cell>
        </row>
        <row r="1313">
          <cell r="I1313">
            <v>79.936388</v>
          </cell>
          <cell r="J1313">
            <v>7.003888</v>
          </cell>
        </row>
        <row r="1313">
          <cell r="AA1313" t="str">
            <v>2T2R</v>
          </cell>
        </row>
        <row r="1314">
          <cell r="E1314" t="str">
            <v>ZKAD09</v>
          </cell>
        </row>
        <row r="1314">
          <cell r="G1314" t="str">
            <v>ZKAD09-M-L85-B1</v>
          </cell>
        </row>
        <row r="1314">
          <cell r="I1314">
            <v>79.936388</v>
          </cell>
          <cell r="J1314">
            <v>7.003888</v>
          </cell>
        </row>
        <row r="1314">
          <cell r="AA1314" t="str">
            <v>2T2R</v>
          </cell>
        </row>
        <row r="1315">
          <cell r="E1315" t="str">
            <v>ZKAD09</v>
          </cell>
        </row>
        <row r="1315">
          <cell r="G1315" t="str">
            <v>ZKAD09-M-L85-A1</v>
          </cell>
        </row>
        <row r="1315">
          <cell r="I1315">
            <v>79.936388</v>
          </cell>
          <cell r="J1315">
            <v>7.003888</v>
          </cell>
        </row>
        <row r="1315">
          <cell r="AA1315" t="str">
            <v>2T2R</v>
          </cell>
        </row>
        <row r="1316">
          <cell r="E1316" t="str">
            <v>ZKAD11</v>
          </cell>
        </row>
        <row r="1316">
          <cell r="G1316" t="str">
            <v>ZKAD11I</v>
          </cell>
        </row>
        <row r="1316">
          <cell r="I1316">
            <v>79.9376</v>
          </cell>
          <cell r="J1316">
            <v>6.989</v>
          </cell>
        </row>
        <row r="1316">
          <cell r="AA1316" t="str">
            <v>4T4R</v>
          </cell>
        </row>
        <row r="1317">
          <cell r="E1317" t="str">
            <v>ZKAD11</v>
          </cell>
        </row>
        <row r="1317">
          <cell r="G1317" t="str">
            <v>ZKAD11H</v>
          </cell>
        </row>
        <row r="1317">
          <cell r="I1317">
            <v>79.9376</v>
          </cell>
          <cell r="J1317">
            <v>6.989</v>
          </cell>
        </row>
        <row r="1317">
          <cell r="AA1317" t="str">
            <v>4T4R</v>
          </cell>
        </row>
        <row r="1318">
          <cell r="E1318" t="str">
            <v>ZKAD11</v>
          </cell>
        </row>
        <row r="1318">
          <cell r="G1318" t="str">
            <v>ZKAD11G</v>
          </cell>
        </row>
        <row r="1318">
          <cell r="I1318">
            <v>79.9376</v>
          </cell>
          <cell r="J1318">
            <v>6.989</v>
          </cell>
        </row>
        <row r="1318">
          <cell r="AA1318" t="str">
            <v>4T4R</v>
          </cell>
        </row>
        <row r="1319">
          <cell r="E1319" t="str">
            <v>ZKAD11</v>
          </cell>
        </row>
        <row r="1319">
          <cell r="G1319" t="str">
            <v>ZKAD11-M-L21-C2</v>
          </cell>
        </row>
        <row r="1319">
          <cell r="I1319">
            <v>79.9376</v>
          </cell>
          <cell r="J1319">
            <v>6.989</v>
          </cell>
        </row>
        <row r="1319">
          <cell r="AA1319" t="str">
            <v>2T2R</v>
          </cell>
        </row>
        <row r="1320">
          <cell r="E1320" t="str">
            <v>ZKAD11</v>
          </cell>
        </row>
        <row r="1320">
          <cell r="G1320" t="str">
            <v>ZKAD11-M-L21-B2</v>
          </cell>
        </row>
        <row r="1320">
          <cell r="I1320">
            <v>79.9376</v>
          </cell>
          <cell r="J1320">
            <v>6.989</v>
          </cell>
        </row>
        <row r="1320">
          <cell r="AA1320" t="str">
            <v>2T2R</v>
          </cell>
        </row>
        <row r="1321">
          <cell r="E1321" t="str">
            <v>ZKAD11</v>
          </cell>
        </row>
        <row r="1321">
          <cell r="G1321" t="str">
            <v>ZKAD11-M-L21-A2</v>
          </cell>
        </row>
        <row r="1321">
          <cell r="I1321">
            <v>79.9376</v>
          </cell>
          <cell r="J1321">
            <v>6.989</v>
          </cell>
        </row>
        <row r="1321">
          <cell r="AA1321" t="str">
            <v>2T2R</v>
          </cell>
        </row>
        <row r="1322">
          <cell r="E1322" t="str">
            <v>GMGLO1</v>
          </cell>
        </row>
        <row r="1322">
          <cell r="G1322" t="str">
            <v>GMGLO1I</v>
          </cell>
        </row>
        <row r="1322">
          <cell r="I1322">
            <v>79.937742</v>
          </cell>
          <cell r="J1322">
            <v>7.15945</v>
          </cell>
        </row>
        <row r="1322">
          <cell r="AA1322" t="str">
            <v>2T2R</v>
          </cell>
        </row>
        <row r="1323">
          <cell r="E1323" t="str">
            <v>GMGLO1</v>
          </cell>
        </row>
        <row r="1323">
          <cell r="G1323" t="str">
            <v>GMGLO1H</v>
          </cell>
        </row>
        <row r="1323">
          <cell r="I1323">
            <v>79.937742</v>
          </cell>
          <cell r="J1323">
            <v>7.15945</v>
          </cell>
        </row>
        <row r="1323">
          <cell r="AA1323" t="str">
            <v>2T2R</v>
          </cell>
        </row>
        <row r="1324">
          <cell r="E1324" t="str">
            <v>GMGLO1</v>
          </cell>
        </row>
        <row r="1324">
          <cell r="G1324" t="str">
            <v>GMGLO1G</v>
          </cell>
        </row>
        <row r="1324">
          <cell r="I1324">
            <v>79.937742</v>
          </cell>
          <cell r="J1324">
            <v>7.15945</v>
          </cell>
        </row>
        <row r="1324">
          <cell r="AA1324" t="str">
            <v>4T4R</v>
          </cell>
        </row>
        <row r="1325">
          <cell r="E1325" t="str">
            <v>GMMAD1</v>
          </cell>
        </row>
        <row r="1325">
          <cell r="G1325" t="str">
            <v>GMMAD1I</v>
          </cell>
        </row>
        <row r="1325">
          <cell r="I1325">
            <v>79.9383</v>
          </cell>
          <cell r="J1325">
            <v>7.2632</v>
          </cell>
        </row>
        <row r="1325">
          <cell r="AA1325" t="str">
            <v>2T2R</v>
          </cell>
        </row>
        <row r="1326">
          <cell r="E1326" t="str">
            <v>GMMAD1</v>
          </cell>
        </row>
        <row r="1326">
          <cell r="G1326" t="str">
            <v>GMMAD1H</v>
          </cell>
        </row>
        <row r="1326">
          <cell r="I1326">
            <v>79.9383</v>
          </cell>
          <cell r="J1326">
            <v>7.2632</v>
          </cell>
        </row>
        <row r="1326">
          <cell r="AA1326" t="str">
            <v>2T2R</v>
          </cell>
        </row>
        <row r="1327">
          <cell r="E1327" t="str">
            <v>GMMAD1</v>
          </cell>
        </row>
        <row r="1327">
          <cell r="G1327" t="str">
            <v>GMMAD1G</v>
          </cell>
        </row>
        <row r="1327">
          <cell r="I1327">
            <v>79.9383</v>
          </cell>
          <cell r="J1327">
            <v>7.2632</v>
          </cell>
        </row>
        <row r="1327">
          <cell r="AA1327" t="str">
            <v>2T2R</v>
          </cell>
        </row>
        <row r="1328">
          <cell r="E1328" t="str">
            <v>GMMAD1</v>
          </cell>
        </row>
        <row r="1328">
          <cell r="G1328" t="str">
            <v>GMMAD1-M-L85-D1</v>
          </cell>
        </row>
        <row r="1328">
          <cell r="I1328">
            <v>79.9383</v>
          </cell>
          <cell r="J1328">
            <v>7.2632</v>
          </cell>
        </row>
        <row r="1328">
          <cell r="AA1328" t="str">
            <v>2T2R</v>
          </cell>
        </row>
        <row r="1329">
          <cell r="E1329" t="str">
            <v>GMMAD1</v>
          </cell>
        </row>
        <row r="1329">
          <cell r="G1329" t="str">
            <v>GMMAD1-M-L85-C1</v>
          </cell>
        </row>
        <row r="1329">
          <cell r="I1329">
            <v>79.9383</v>
          </cell>
          <cell r="J1329">
            <v>7.2632</v>
          </cell>
        </row>
        <row r="1329">
          <cell r="AA1329" t="str">
            <v>2T2R</v>
          </cell>
        </row>
        <row r="1330">
          <cell r="E1330" t="str">
            <v>GMMAD1</v>
          </cell>
        </row>
        <row r="1330">
          <cell r="G1330" t="str">
            <v>GMMAD1-M-L85-B1</v>
          </cell>
        </row>
        <row r="1330">
          <cell r="I1330">
            <v>79.9383</v>
          </cell>
          <cell r="J1330">
            <v>7.2632</v>
          </cell>
        </row>
        <row r="1330">
          <cell r="AA1330" t="str">
            <v>2T2R</v>
          </cell>
        </row>
        <row r="1331">
          <cell r="E1331" t="str">
            <v>GMMAD1</v>
          </cell>
        </row>
        <row r="1331">
          <cell r="G1331" t="str">
            <v>GMMAD1-M-L85-A1</v>
          </cell>
        </row>
        <row r="1331">
          <cell r="I1331">
            <v>79.9383</v>
          </cell>
          <cell r="J1331">
            <v>7.2632</v>
          </cell>
        </row>
        <row r="1331">
          <cell r="AA1331" t="str">
            <v>2T2R</v>
          </cell>
        </row>
        <row r="1332">
          <cell r="E1332" t="str">
            <v>ZBIY14</v>
          </cell>
        </row>
        <row r="1332">
          <cell r="G1332" t="str">
            <v>ZBIY14I</v>
          </cell>
        </row>
        <row r="1332">
          <cell r="I1332">
            <v>79.9391</v>
          </cell>
          <cell r="J1332">
            <v>6.97856</v>
          </cell>
        </row>
        <row r="1332">
          <cell r="AA1332" t="str">
            <v>4T4R</v>
          </cell>
        </row>
        <row r="1333">
          <cell r="E1333" t="str">
            <v>ZBIY14</v>
          </cell>
        </row>
        <row r="1333">
          <cell r="G1333" t="str">
            <v>ZBIY14H</v>
          </cell>
        </row>
        <row r="1333">
          <cell r="I1333">
            <v>79.9391</v>
          </cell>
          <cell r="J1333">
            <v>6.97856</v>
          </cell>
        </row>
        <row r="1333">
          <cell r="AA1333" t="str">
            <v>4T4R</v>
          </cell>
        </row>
        <row r="1334">
          <cell r="E1334" t="str">
            <v>ZBIY14</v>
          </cell>
        </row>
        <row r="1334">
          <cell r="G1334" t="str">
            <v>ZBIY14G</v>
          </cell>
        </row>
        <row r="1334">
          <cell r="I1334">
            <v>79.9391</v>
          </cell>
          <cell r="J1334">
            <v>6.97856</v>
          </cell>
        </row>
        <row r="1334">
          <cell r="AA1334" t="str">
            <v>4T4R</v>
          </cell>
        </row>
        <row r="1335">
          <cell r="E1335" t="str">
            <v>ZBIY14</v>
          </cell>
        </row>
        <row r="1335">
          <cell r="G1335" t="str">
            <v>ZBIY14F</v>
          </cell>
        </row>
        <row r="1335">
          <cell r="I1335">
            <v>79.9391</v>
          </cell>
          <cell r="J1335">
            <v>6.97856</v>
          </cell>
        </row>
        <row r="1335">
          <cell r="AA1335" t="str">
            <v>2T2R</v>
          </cell>
        </row>
        <row r="1336">
          <cell r="E1336" t="str">
            <v>ZBIY14</v>
          </cell>
        </row>
        <row r="1336">
          <cell r="G1336" t="str">
            <v>ZBIY14-M-L21-D2</v>
          </cell>
        </row>
        <row r="1336">
          <cell r="I1336">
            <v>79.9391</v>
          </cell>
          <cell r="J1336">
            <v>6.97856</v>
          </cell>
        </row>
        <row r="1336">
          <cell r="AA1336" t="str">
            <v>2T2R</v>
          </cell>
        </row>
        <row r="1337">
          <cell r="E1337" t="str">
            <v>ZBIY14</v>
          </cell>
        </row>
        <row r="1337">
          <cell r="G1337" t="str">
            <v>ZBIY14-M-L21-A2</v>
          </cell>
        </row>
        <row r="1337">
          <cell r="I1337">
            <v>79.9391</v>
          </cell>
          <cell r="J1337">
            <v>6.97856</v>
          </cell>
        </row>
        <row r="1337">
          <cell r="AA1337" t="str">
            <v>2T2R</v>
          </cell>
        </row>
        <row r="1338">
          <cell r="E1338" t="str">
            <v>ZBIY14</v>
          </cell>
        </row>
        <row r="1338">
          <cell r="G1338" t="str">
            <v>ZBIY14-M-L85-C1</v>
          </cell>
        </row>
        <row r="1338">
          <cell r="I1338">
            <v>79.9391</v>
          </cell>
          <cell r="J1338">
            <v>6.97856</v>
          </cell>
        </row>
        <row r="1338">
          <cell r="AA1338" t="str">
            <v>2T2R</v>
          </cell>
        </row>
        <row r="1339">
          <cell r="E1339" t="str">
            <v>ZBIY14</v>
          </cell>
        </row>
        <row r="1339">
          <cell r="G1339" t="str">
            <v>ZBIY14-M-L85-B1</v>
          </cell>
        </row>
        <row r="1339">
          <cell r="I1339">
            <v>79.9391</v>
          </cell>
          <cell r="J1339">
            <v>6.97856</v>
          </cell>
        </row>
        <row r="1339">
          <cell r="AA1339" t="str">
            <v>2T2R</v>
          </cell>
        </row>
        <row r="1340">
          <cell r="E1340" t="str">
            <v>ZBIY14</v>
          </cell>
        </row>
        <row r="1340">
          <cell r="G1340" t="str">
            <v>ZBIY14-M-L85-A1</v>
          </cell>
        </row>
        <row r="1340">
          <cell r="I1340">
            <v>79.9391</v>
          </cell>
          <cell r="J1340">
            <v>6.97856</v>
          </cell>
        </row>
        <row r="1340">
          <cell r="AA1340" t="str">
            <v>2T2R</v>
          </cell>
        </row>
        <row r="1341">
          <cell r="E1341" t="str">
            <v>ZJAL18</v>
          </cell>
        </row>
        <row r="1341">
          <cell r="G1341" t="str">
            <v>ZJAL18I</v>
          </cell>
        </row>
        <row r="1341">
          <cell r="I1341">
            <v>79.9395</v>
          </cell>
          <cell r="J1341">
            <v>7.03484</v>
          </cell>
        </row>
        <row r="1341">
          <cell r="AA1341" t="str">
            <v>2T2R</v>
          </cell>
        </row>
        <row r="1342">
          <cell r="E1342" t="str">
            <v>ZJAL18</v>
          </cell>
        </row>
        <row r="1342">
          <cell r="G1342" t="str">
            <v>ZJAL18H</v>
          </cell>
        </row>
        <row r="1342">
          <cell r="I1342">
            <v>79.9395</v>
          </cell>
          <cell r="J1342">
            <v>7.03484</v>
          </cell>
        </row>
        <row r="1342">
          <cell r="AA1342" t="str">
            <v>2T2R</v>
          </cell>
        </row>
        <row r="1343">
          <cell r="E1343" t="str">
            <v>ZJAL18</v>
          </cell>
        </row>
        <row r="1343">
          <cell r="G1343" t="str">
            <v>ZJAL18G</v>
          </cell>
        </row>
        <row r="1343">
          <cell r="I1343">
            <v>79.9395</v>
          </cell>
          <cell r="J1343">
            <v>7.03484</v>
          </cell>
        </row>
        <row r="1343">
          <cell r="AA1343" t="str">
            <v>2T2R</v>
          </cell>
        </row>
        <row r="1344">
          <cell r="E1344" t="str">
            <v>ZJAL18</v>
          </cell>
        </row>
        <row r="1344">
          <cell r="G1344" t="str">
            <v>ZJAL18-M-L21-C2</v>
          </cell>
        </row>
        <row r="1344">
          <cell r="I1344">
            <v>79.9395</v>
          </cell>
          <cell r="J1344">
            <v>7.03484</v>
          </cell>
        </row>
        <row r="1344">
          <cell r="AA1344" t="str">
            <v>2T2R</v>
          </cell>
        </row>
        <row r="1345">
          <cell r="E1345" t="str">
            <v>ZJAL18</v>
          </cell>
        </row>
        <row r="1345">
          <cell r="G1345" t="str">
            <v>ZJAL18-M-L21-B2</v>
          </cell>
        </row>
        <row r="1345">
          <cell r="I1345">
            <v>79.9395</v>
          </cell>
          <cell r="J1345">
            <v>7.03484</v>
          </cell>
        </row>
        <row r="1345">
          <cell r="AA1345" t="str">
            <v>2T2R</v>
          </cell>
        </row>
        <row r="1346">
          <cell r="E1346" t="str">
            <v>ZJAL18</v>
          </cell>
        </row>
        <row r="1346">
          <cell r="G1346" t="str">
            <v>ZJAL18-M-L21-A2</v>
          </cell>
        </row>
        <row r="1346">
          <cell r="I1346">
            <v>79.9395</v>
          </cell>
          <cell r="J1346">
            <v>7.03484</v>
          </cell>
        </row>
        <row r="1346">
          <cell r="AA1346" t="str">
            <v>2T2R</v>
          </cell>
        </row>
        <row r="1347">
          <cell r="E1347" t="str">
            <v>GMBAT2</v>
          </cell>
        </row>
        <row r="1347">
          <cell r="G1347" t="str">
            <v>GMBAT2-M-L21-C2</v>
          </cell>
        </row>
        <row r="1347">
          <cell r="I1347">
            <v>79.94</v>
          </cell>
          <cell r="J1347">
            <v>7.06444</v>
          </cell>
        </row>
        <row r="1347">
          <cell r="AA1347" t="str">
            <v>2T2R</v>
          </cell>
        </row>
        <row r="1348">
          <cell r="E1348" t="str">
            <v>GMBAT2</v>
          </cell>
        </row>
        <row r="1348">
          <cell r="G1348" t="str">
            <v>GMBAT2-M-L21-B2</v>
          </cell>
        </row>
        <row r="1348">
          <cell r="I1348">
            <v>79.94</v>
          </cell>
          <cell r="J1348">
            <v>7.06444</v>
          </cell>
        </row>
        <row r="1348">
          <cell r="AA1348" t="str">
            <v>2T2R</v>
          </cell>
        </row>
        <row r="1349">
          <cell r="E1349" t="str">
            <v>GMBAT2</v>
          </cell>
        </row>
        <row r="1349">
          <cell r="G1349" t="str">
            <v>GMBAT2-M-L21-A2</v>
          </cell>
        </row>
        <row r="1349">
          <cell r="I1349">
            <v>79.94</v>
          </cell>
          <cell r="J1349">
            <v>7.06444</v>
          </cell>
        </row>
        <row r="1349">
          <cell r="AA1349" t="str">
            <v>2T2R</v>
          </cell>
        </row>
        <row r="1350">
          <cell r="E1350" t="str">
            <v>GMBAT2</v>
          </cell>
        </row>
        <row r="1350">
          <cell r="G1350" t="str">
            <v>GMBAT2-M-L85-A1</v>
          </cell>
        </row>
        <row r="1350">
          <cell r="I1350">
            <v>79.94</v>
          </cell>
          <cell r="J1350">
            <v>7.06444</v>
          </cell>
        </row>
        <row r="1350">
          <cell r="AA1350" t="str">
            <v>2T2R</v>
          </cell>
        </row>
        <row r="1351">
          <cell r="E1351" t="str">
            <v>GMBAT2</v>
          </cell>
        </row>
        <row r="1351">
          <cell r="G1351" t="str">
            <v>GMBAT2-M-L85-B1</v>
          </cell>
        </row>
        <row r="1351">
          <cell r="I1351">
            <v>79.94</v>
          </cell>
          <cell r="J1351">
            <v>7.06444</v>
          </cell>
        </row>
        <row r="1351">
          <cell r="AA1351" t="str">
            <v>2T2R</v>
          </cell>
        </row>
        <row r="1352">
          <cell r="E1352" t="str">
            <v>GMBAT2</v>
          </cell>
        </row>
        <row r="1352">
          <cell r="G1352" t="str">
            <v>GMBAT2-M-L85-C1</v>
          </cell>
        </row>
        <row r="1352">
          <cell r="I1352">
            <v>79.94</v>
          </cell>
          <cell r="J1352">
            <v>7.06444</v>
          </cell>
        </row>
        <row r="1352">
          <cell r="AA1352" t="str">
            <v>2T2R</v>
          </cell>
        </row>
        <row r="1353">
          <cell r="E1353" t="str">
            <v>GMBAT2</v>
          </cell>
        </row>
        <row r="1353">
          <cell r="G1353" t="str">
            <v>GMBAT2F</v>
          </cell>
        </row>
        <row r="1353">
          <cell r="I1353">
            <v>79.94</v>
          </cell>
          <cell r="J1353">
            <v>7.06444</v>
          </cell>
        </row>
        <row r="1353">
          <cell r="AA1353" t="str">
            <v>2T2R</v>
          </cell>
        </row>
        <row r="1354">
          <cell r="E1354" t="str">
            <v>GMBAT2</v>
          </cell>
        </row>
        <row r="1354">
          <cell r="G1354" t="str">
            <v>GMBAT2H</v>
          </cell>
        </row>
        <row r="1354">
          <cell r="I1354">
            <v>79.94</v>
          </cell>
          <cell r="J1354">
            <v>7.06444</v>
          </cell>
        </row>
        <row r="1354">
          <cell r="AA1354" t="str">
            <v>4T4R</v>
          </cell>
        </row>
        <row r="1355">
          <cell r="E1355" t="str">
            <v>GMBAT2</v>
          </cell>
        </row>
        <row r="1355">
          <cell r="G1355" t="str">
            <v>GMBAT2G</v>
          </cell>
        </row>
        <row r="1355">
          <cell r="I1355">
            <v>79.94</v>
          </cell>
          <cell r="J1355">
            <v>7.06444</v>
          </cell>
        </row>
        <row r="1355">
          <cell r="AA1355" t="str">
            <v>2T2R</v>
          </cell>
        </row>
        <row r="1356">
          <cell r="E1356" t="str">
            <v>GMBAT2</v>
          </cell>
        </row>
        <row r="1356">
          <cell r="G1356" t="str">
            <v>GMBAT2I</v>
          </cell>
        </row>
        <row r="1356">
          <cell r="I1356">
            <v>79.94</v>
          </cell>
          <cell r="J1356">
            <v>7.06444</v>
          </cell>
        </row>
        <row r="1356">
          <cell r="AA1356" t="str">
            <v>4T4R</v>
          </cell>
        </row>
        <row r="1357">
          <cell r="E1357" t="str">
            <v>ZJAL13</v>
          </cell>
        </row>
        <row r="1357">
          <cell r="G1357" t="str">
            <v>ZJAL13I</v>
          </cell>
        </row>
        <row r="1357">
          <cell r="I1357">
            <v>79.9403</v>
          </cell>
          <cell r="J1357">
            <v>7.10484</v>
          </cell>
        </row>
        <row r="1357">
          <cell r="AA1357" t="str">
            <v>4T4R</v>
          </cell>
        </row>
        <row r="1358">
          <cell r="E1358" t="str">
            <v>ZJAL13</v>
          </cell>
        </row>
        <row r="1358">
          <cell r="G1358" t="str">
            <v>ZJAL13H</v>
          </cell>
        </row>
        <row r="1358">
          <cell r="I1358">
            <v>79.9403</v>
          </cell>
          <cell r="J1358">
            <v>7.10484</v>
          </cell>
        </row>
        <row r="1358">
          <cell r="AA1358" t="str">
            <v>4T4R</v>
          </cell>
        </row>
        <row r="1359">
          <cell r="E1359" t="str">
            <v>ZJAL13</v>
          </cell>
        </row>
        <row r="1359">
          <cell r="G1359" t="str">
            <v>ZJAL13G</v>
          </cell>
        </row>
        <row r="1359">
          <cell r="I1359">
            <v>79.9403</v>
          </cell>
          <cell r="J1359">
            <v>7.10484</v>
          </cell>
        </row>
        <row r="1359">
          <cell r="AA1359" t="str">
            <v>4T4R</v>
          </cell>
        </row>
        <row r="1360">
          <cell r="E1360" t="str">
            <v>ZJAL13</v>
          </cell>
        </row>
        <row r="1360">
          <cell r="G1360" t="str">
            <v>ZJAL13-M-L85-C1</v>
          </cell>
        </row>
        <row r="1360">
          <cell r="I1360">
            <v>79.9403</v>
          </cell>
          <cell r="J1360">
            <v>7.10484</v>
          </cell>
        </row>
        <row r="1360">
          <cell r="AA1360" t="str">
            <v>2T2R</v>
          </cell>
        </row>
        <row r="1361">
          <cell r="E1361" t="str">
            <v>ZJAL13</v>
          </cell>
        </row>
        <row r="1361">
          <cell r="G1361" t="str">
            <v>ZJAL13-M-L85-B1</v>
          </cell>
        </row>
        <row r="1361">
          <cell r="I1361">
            <v>79.9403</v>
          </cell>
          <cell r="J1361">
            <v>7.10484</v>
          </cell>
        </row>
        <row r="1361">
          <cell r="AA1361" t="str">
            <v>2T2R</v>
          </cell>
        </row>
        <row r="1362">
          <cell r="E1362" t="str">
            <v>ZJAL13</v>
          </cell>
        </row>
        <row r="1362">
          <cell r="G1362" t="str">
            <v>ZJAL13-M-L85-A1</v>
          </cell>
        </row>
        <row r="1362">
          <cell r="I1362">
            <v>79.9403</v>
          </cell>
          <cell r="J1362">
            <v>7.10484</v>
          </cell>
        </row>
        <row r="1362">
          <cell r="AA1362" t="str">
            <v>2T2R</v>
          </cell>
        </row>
        <row r="1363">
          <cell r="E1363" t="str">
            <v>GMKWG1</v>
          </cell>
        </row>
        <row r="1363">
          <cell r="G1363" t="str">
            <v>GMKWG1I</v>
          </cell>
        </row>
        <row r="1363">
          <cell r="I1363">
            <v>79.9404</v>
          </cell>
          <cell r="J1363">
            <v>7.22694</v>
          </cell>
        </row>
        <row r="1363">
          <cell r="AA1363" t="str">
            <v>4T4R</v>
          </cell>
        </row>
        <row r="1364">
          <cell r="E1364" t="str">
            <v>GMKWG1</v>
          </cell>
        </row>
        <row r="1364">
          <cell r="G1364" t="str">
            <v>GMKWG1H</v>
          </cell>
        </row>
        <row r="1364">
          <cell r="I1364">
            <v>79.9404</v>
          </cell>
          <cell r="J1364">
            <v>7.22694</v>
          </cell>
        </row>
        <row r="1364">
          <cell r="AA1364" t="str">
            <v>4T4R</v>
          </cell>
        </row>
        <row r="1365">
          <cell r="E1365" t="str">
            <v>GMKWG1</v>
          </cell>
        </row>
        <row r="1365">
          <cell r="G1365" t="str">
            <v>GMKWG1G</v>
          </cell>
        </row>
        <row r="1365">
          <cell r="I1365">
            <v>79.9404</v>
          </cell>
          <cell r="J1365">
            <v>7.22694</v>
          </cell>
        </row>
        <row r="1365">
          <cell r="AA1365" t="str">
            <v>4T4R</v>
          </cell>
        </row>
        <row r="1366">
          <cell r="E1366" t="str">
            <v>GMKWG1</v>
          </cell>
        </row>
        <row r="1366">
          <cell r="G1366" t="str">
            <v>GMKWG1-M-L85-C1</v>
          </cell>
        </row>
        <row r="1366">
          <cell r="I1366">
            <v>79.9404</v>
          </cell>
          <cell r="J1366">
            <v>7.22694</v>
          </cell>
        </row>
        <row r="1366">
          <cell r="AA1366" t="str">
            <v>2T2R</v>
          </cell>
        </row>
        <row r="1367">
          <cell r="E1367" t="str">
            <v>GMKWG1</v>
          </cell>
        </row>
        <row r="1367">
          <cell r="G1367" t="str">
            <v>GMKWG1-M-L85-B1</v>
          </cell>
        </row>
        <row r="1367">
          <cell r="I1367">
            <v>79.9404</v>
          </cell>
          <cell r="J1367">
            <v>7.22694</v>
          </cell>
        </row>
        <row r="1367">
          <cell r="AA1367" t="str">
            <v>2T2R</v>
          </cell>
        </row>
        <row r="1368">
          <cell r="E1368" t="str">
            <v>GMKWG1</v>
          </cell>
        </row>
        <row r="1368">
          <cell r="G1368" t="str">
            <v>GMKWG1-M-L85-A1</v>
          </cell>
        </row>
        <row r="1368">
          <cell r="I1368">
            <v>79.9404</v>
          </cell>
          <cell r="J1368">
            <v>7.22694</v>
          </cell>
        </row>
        <row r="1368">
          <cell r="AA1368" t="str">
            <v>2T2R</v>
          </cell>
        </row>
        <row r="1369">
          <cell r="E1369" t="str">
            <v>GMKWG2</v>
          </cell>
        </row>
        <row r="1369">
          <cell r="G1369" t="str">
            <v>GMKWG2-M-L85-C1</v>
          </cell>
        </row>
        <row r="1369">
          <cell r="I1369">
            <v>79.941388</v>
          </cell>
          <cell r="J1369">
            <v>7.210555</v>
          </cell>
        </row>
        <row r="1369">
          <cell r="AA1369" t="str">
            <v>2T2R</v>
          </cell>
        </row>
        <row r="1370">
          <cell r="E1370" t="str">
            <v>GMKWG2</v>
          </cell>
        </row>
        <row r="1370">
          <cell r="G1370" t="str">
            <v>GMKWG2-M-L85-B1</v>
          </cell>
        </row>
        <row r="1370">
          <cell r="I1370">
            <v>79.941388</v>
          </cell>
          <cell r="J1370">
            <v>7.210555</v>
          </cell>
        </row>
        <row r="1370">
          <cell r="AA1370" t="str">
            <v>2T2R</v>
          </cell>
        </row>
        <row r="1371">
          <cell r="E1371" t="str">
            <v>GMKWG2</v>
          </cell>
        </row>
        <row r="1371">
          <cell r="G1371" t="str">
            <v>GMKWG2-M-L85-A1</v>
          </cell>
        </row>
        <row r="1371">
          <cell r="I1371">
            <v>79.941388</v>
          </cell>
          <cell r="J1371">
            <v>7.210555</v>
          </cell>
        </row>
        <row r="1371">
          <cell r="AA1371" t="str">
            <v>2T2R</v>
          </cell>
        </row>
        <row r="1372">
          <cell r="E1372" t="str">
            <v>GMKWG2</v>
          </cell>
        </row>
        <row r="1372">
          <cell r="G1372" t="str">
            <v>GMKWG2I</v>
          </cell>
        </row>
        <row r="1372">
          <cell r="I1372">
            <v>79.941388</v>
          </cell>
          <cell r="J1372">
            <v>7.210555</v>
          </cell>
        </row>
        <row r="1372">
          <cell r="AA1372" t="str">
            <v>2T2R</v>
          </cell>
        </row>
        <row r="1373">
          <cell r="E1373" t="str">
            <v>GMKWG2</v>
          </cell>
        </row>
        <row r="1373">
          <cell r="G1373" t="str">
            <v>GMKWG2H</v>
          </cell>
        </row>
        <row r="1373">
          <cell r="I1373">
            <v>79.941388</v>
          </cell>
          <cell r="J1373">
            <v>7.210555</v>
          </cell>
        </row>
        <row r="1373">
          <cell r="AA1373" t="str">
            <v>2T2R</v>
          </cell>
        </row>
        <row r="1374">
          <cell r="E1374" t="str">
            <v>GMKWG2</v>
          </cell>
        </row>
        <row r="1374">
          <cell r="G1374" t="str">
            <v>GMKWG2G</v>
          </cell>
        </row>
        <row r="1374">
          <cell r="I1374">
            <v>79.941388</v>
          </cell>
          <cell r="J1374">
            <v>7.210555</v>
          </cell>
        </row>
        <row r="1374">
          <cell r="AA1374" t="str">
            <v>2T2R</v>
          </cell>
        </row>
        <row r="1375">
          <cell r="E1375" t="str">
            <v>ZKAD34</v>
          </cell>
        </row>
        <row r="1375">
          <cell r="G1375" t="str">
            <v>ZKAD34I</v>
          </cell>
        </row>
        <row r="1375">
          <cell r="I1375">
            <v>79.941944</v>
          </cell>
          <cell r="J1375">
            <v>7.008056</v>
          </cell>
        </row>
        <row r="1375">
          <cell r="AA1375" t="str">
            <v>2T2R</v>
          </cell>
        </row>
        <row r="1376">
          <cell r="E1376" t="str">
            <v>ZKAD34</v>
          </cell>
        </row>
        <row r="1376">
          <cell r="G1376" t="str">
            <v>ZKAD34H</v>
          </cell>
        </row>
        <row r="1376">
          <cell r="I1376">
            <v>79.941944</v>
          </cell>
          <cell r="J1376">
            <v>7.008056</v>
          </cell>
        </row>
        <row r="1376">
          <cell r="AA1376" t="str">
            <v>2T2R</v>
          </cell>
        </row>
        <row r="1377">
          <cell r="E1377" t="str">
            <v>ZKAD34</v>
          </cell>
        </row>
        <row r="1377">
          <cell r="G1377" t="str">
            <v>ZKAD34G</v>
          </cell>
        </row>
        <row r="1377">
          <cell r="I1377">
            <v>79.941944</v>
          </cell>
          <cell r="J1377">
            <v>7.008056</v>
          </cell>
        </row>
        <row r="1377">
          <cell r="AA1377" t="str">
            <v>2T2R</v>
          </cell>
        </row>
        <row r="1378">
          <cell r="E1378" t="str">
            <v>GMPLW1</v>
          </cell>
        </row>
        <row r="1378">
          <cell r="G1378" t="str">
            <v>GMPLW1I</v>
          </cell>
        </row>
        <row r="1378">
          <cell r="I1378">
            <v>79.942159</v>
          </cell>
          <cell r="J1378">
            <v>7.187475</v>
          </cell>
        </row>
        <row r="1378">
          <cell r="AA1378" t="str">
            <v>2T2R</v>
          </cell>
        </row>
        <row r="1379">
          <cell r="E1379" t="str">
            <v>GMPLW1</v>
          </cell>
        </row>
        <row r="1379">
          <cell r="G1379" t="str">
            <v>GMPLW1H</v>
          </cell>
        </row>
        <row r="1379">
          <cell r="I1379">
            <v>79.942159</v>
          </cell>
          <cell r="J1379">
            <v>7.187475</v>
          </cell>
        </row>
        <row r="1379">
          <cell r="AA1379" t="str">
            <v>2T2R</v>
          </cell>
        </row>
        <row r="1380">
          <cell r="E1380" t="str">
            <v>GMPLW1</v>
          </cell>
        </row>
        <row r="1380">
          <cell r="G1380" t="str">
            <v>GMPLW1G</v>
          </cell>
        </row>
        <row r="1380">
          <cell r="I1380">
            <v>79.942159</v>
          </cell>
          <cell r="J1380">
            <v>7.187475</v>
          </cell>
        </row>
        <row r="1380">
          <cell r="AA1380" t="str">
            <v>2T2R</v>
          </cell>
        </row>
        <row r="1381">
          <cell r="E1381" t="str">
            <v>ZBIY05</v>
          </cell>
        </row>
        <row r="1381">
          <cell r="G1381" t="str">
            <v>ZBIY05I</v>
          </cell>
        </row>
        <row r="1381">
          <cell r="I1381">
            <v>79.9427</v>
          </cell>
          <cell r="J1381">
            <v>6.96716</v>
          </cell>
        </row>
        <row r="1381">
          <cell r="AA1381" t="str">
            <v>4T4R</v>
          </cell>
        </row>
        <row r="1382">
          <cell r="E1382" t="str">
            <v>ZBIY05</v>
          </cell>
        </row>
        <row r="1382">
          <cell r="G1382" t="str">
            <v>ZBIY05H</v>
          </cell>
        </row>
        <row r="1382">
          <cell r="I1382">
            <v>79.9427</v>
          </cell>
          <cell r="J1382">
            <v>6.96716</v>
          </cell>
        </row>
        <row r="1382">
          <cell r="AA1382" t="str">
            <v>4T4R</v>
          </cell>
        </row>
        <row r="1383">
          <cell r="E1383" t="str">
            <v>ZBIY05</v>
          </cell>
        </row>
        <row r="1383">
          <cell r="G1383" t="str">
            <v>ZBIY05G</v>
          </cell>
        </row>
        <row r="1383">
          <cell r="I1383">
            <v>79.9427</v>
          </cell>
          <cell r="J1383">
            <v>6.96716</v>
          </cell>
        </row>
        <row r="1383">
          <cell r="AA1383" t="str">
            <v>4T4R</v>
          </cell>
        </row>
        <row r="1384">
          <cell r="E1384" t="str">
            <v>ZBIY05</v>
          </cell>
        </row>
        <row r="1384">
          <cell r="G1384" t="str">
            <v>ZBIY05-M-L21-B2</v>
          </cell>
        </row>
        <row r="1384">
          <cell r="I1384">
            <v>79.9427</v>
          </cell>
          <cell r="J1384">
            <v>6.96716</v>
          </cell>
        </row>
        <row r="1384">
          <cell r="AA1384" t="str">
            <v>2T2R</v>
          </cell>
        </row>
        <row r="1385">
          <cell r="E1385" t="str">
            <v>ZBIY05</v>
          </cell>
        </row>
        <row r="1385">
          <cell r="G1385" t="str">
            <v>ZBIY05-M-L21-A2</v>
          </cell>
        </row>
        <row r="1385">
          <cell r="I1385">
            <v>79.9427</v>
          </cell>
          <cell r="J1385">
            <v>6.96716</v>
          </cell>
        </row>
        <row r="1385">
          <cell r="AA1385" t="str">
            <v>2T2R</v>
          </cell>
        </row>
        <row r="1386">
          <cell r="E1386" t="str">
            <v>GMBAT1</v>
          </cell>
        </row>
        <row r="1386">
          <cell r="G1386" t="str">
            <v>GMBAT1I</v>
          </cell>
        </row>
        <row r="1386">
          <cell r="I1386">
            <v>79.9429</v>
          </cell>
          <cell r="J1386">
            <v>7.05558</v>
          </cell>
        </row>
        <row r="1386">
          <cell r="AA1386" t="str">
            <v>2T2R</v>
          </cell>
        </row>
        <row r="1387">
          <cell r="E1387" t="str">
            <v>GMBAT1</v>
          </cell>
        </row>
        <row r="1387">
          <cell r="G1387" t="str">
            <v>GMBAT1H</v>
          </cell>
        </row>
        <row r="1387">
          <cell r="I1387">
            <v>79.9429</v>
          </cell>
          <cell r="J1387">
            <v>7.05558</v>
          </cell>
        </row>
        <row r="1387">
          <cell r="AA1387" t="str">
            <v>2T2R</v>
          </cell>
        </row>
        <row r="1388">
          <cell r="E1388" t="str">
            <v>GMBAT1</v>
          </cell>
        </row>
        <row r="1388">
          <cell r="G1388" t="str">
            <v>GMBAT1G</v>
          </cell>
        </row>
        <row r="1388">
          <cell r="I1388">
            <v>79.9429</v>
          </cell>
          <cell r="J1388">
            <v>7.05558</v>
          </cell>
        </row>
        <row r="1388">
          <cell r="AA1388" t="str">
            <v>2T2R</v>
          </cell>
        </row>
        <row r="1389">
          <cell r="E1389" t="str">
            <v>GMBAT1</v>
          </cell>
        </row>
        <row r="1389">
          <cell r="G1389" t="str">
            <v>GMBAT1-M-L85-C1</v>
          </cell>
        </row>
        <row r="1389">
          <cell r="I1389">
            <v>79.9429</v>
          </cell>
          <cell r="J1389">
            <v>7.05558</v>
          </cell>
        </row>
        <row r="1389">
          <cell r="AA1389" t="str">
            <v>2T2R</v>
          </cell>
        </row>
        <row r="1390">
          <cell r="E1390" t="str">
            <v>GMBAT1</v>
          </cell>
        </row>
        <row r="1390">
          <cell r="G1390" t="str">
            <v>GMBAT1-M-L85-B1</v>
          </cell>
        </row>
        <row r="1390">
          <cell r="I1390">
            <v>79.9429</v>
          </cell>
          <cell r="J1390">
            <v>7.05558</v>
          </cell>
        </row>
        <row r="1390">
          <cell r="AA1390" t="str">
            <v>2T2R</v>
          </cell>
        </row>
        <row r="1391">
          <cell r="E1391" t="str">
            <v>GMBAT1</v>
          </cell>
        </row>
        <row r="1391">
          <cell r="G1391" t="str">
            <v>GMBAT1-M-L85-A1</v>
          </cell>
        </row>
        <row r="1391">
          <cell r="I1391">
            <v>79.9429</v>
          </cell>
          <cell r="J1391">
            <v>7.05558</v>
          </cell>
        </row>
        <row r="1391">
          <cell r="AA1391" t="str">
            <v>2T2R</v>
          </cell>
        </row>
        <row r="1392">
          <cell r="E1392" t="str">
            <v>GMBAT1</v>
          </cell>
        </row>
        <row r="1392">
          <cell r="G1392" t="str">
            <v>GMBAT1-M-L18-D1</v>
          </cell>
        </row>
        <row r="1392">
          <cell r="I1392">
            <v>79.9429</v>
          </cell>
          <cell r="J1392">
            <v>7.05558</v>
          </cell>
        </row>
        <row r="1392">
          <cell r="AA1392" t="str">
            <v>2T2R</v>
          </cell>
        </row>
        <row r="1393">
          <cell r="E1393" t="str">
            <v>GMBAT1</v>
          </cell>
        </row>
        <row r="1393">
          <cell r="G1393" t="str">
            <v>GMBAT1-M-L18-F1</v>
          </cell>
        </row>
        <row r="1393">
          <cell r="I1393">
            <v>79.9429</v>
          </cell>
          <cell r="J1393">
            <v>7.05558</v>
          </cell>
        </row>
        <row r="1393">
          <cell r="AA1393" t="str">
            <v>2T2R</v>
          </cell>
        </row>
        <row r="1394">
          <cell r="E1394" t="str">
            <v>GMBAT1</v>
          </cell>
        </row>
        <row r="1394">
          <cell r="G1394" t="str">
            <v>GMBAT1-M-L18-E1</v>
          </cell>
        </row>
        <row r="1394">
          <cell r="I1394">
            <v>79.9429</v>
          </cell>
          <cell r="J1394">
            <v>7.05558</v>
          </cell>
        </row>
        <row r="1394">
          <cell r="AA1394" t="str">
            <v>2T2R</v>
          </cell>
        </row>
        <row r="1395">
          <cell r="E1395" t="str">
            <v>GMUGG1</v>
          </cell>
        </row>
        <row r="1395">
          <cell r="G1395" t="str">
            <v>GMUGG1I</v>
          </cell>
        </row>
        <row r="1395">
          <cell r="I1395">
            <v>79.9437</v>
          </cell>
          <cell r="J1395">
            <v>7.13618</v>
          </cell>
        </row>
        <row r="1395">
          <cell r="AA1395" t="str">
            <v>2T2R</v>
          </cell>
        </row>
        <row r="1396">
          <cell r="E1396" t="str">
            <v>GMUGG1</v>
          </cell>
        </row>
        <row r="1396">
          <cell r="G1396" t="str">
            <v>GMUGG1H</v>
          </cell>
        </row>
        <row r="1396">
          <cell r="I1396">
            <v>79.9437</v>
          </cell>
          <cell r="J1396">
            <v>7.13618</v>
          </cell>
        </row>
        <row r="1396">
          <cell r="AA1396" t="str">
            <v>4T4R</v>
          </cell>
        </row>
        <row r="1397">
          <cell r="E1397" t="str">
            <v>GMUGG1</v>
          </cell>
        </row>
        <row r="1397">
          <cell r="G1397" t="str">
            <v>GMUGG1G</v>
          </cell>
        </row>
        <row r="1397">
          <cell r="I1397">
            <v>79.9437</v>
          </cell>
          <cell r="J1397">
            <v>7.13618</v>
          </cell>
        </row>
        <row r="1397">
          <cell r="AA1397" t="str">
            <v>2T2R</v>
          </cell>
        </row>
        <row r="1398">
          <cell r="E1398" t="str">
            <v>ZKAD07</v>
          </cell>
        </row>
        <row r="1398">
          <cell r="G1398" t="str">
            <v>ZKAD07G</v>
          </cell>
        </row>
        <row r="1398">
          <cell r="I1398">
            <v>79.9442</v>
          </cell>
          <cell r="J1398">
            <v>7.0213</v>
          </cell>
        </row>
        <row r="1398">
          <cell r="AA1398" t="str">
            <v>4T4R</v>
          </cell>
        </row>
        <row r="1399">
          <cell r="E1399" t="str">
            <v>ZKAD07</v>
          </cell>
        </row>
        <row r="1399">
          <cell r="G1399" t="str">
            <v>ZKAD07H</v>
          </cell>
        </row>
        <row r="1399">
          <cell r="I1399">
            <v>79.9442</v>
          </cell>
          <cell r="J1399">
            <v>7.0213</v>
          </cell>
        </row>
        <row r="1399">
          <cell r="AA1399" t="str">
            <v>4T4R</v>
          </cell>
        </row>
        <row r="1400">
          <cell r="E1400" t="str">
            <v>ZKAD07</v>
          </cell>
        </row>
        <row r="1400">
          <cell r="G1400" t="str">
            <v>ZKAD07I</v>
          </cell>
        </row>
        <row r="1400">
          <cell r="I1400">
            <v>79.9442</v>
          </cell>
          <cell r="J1400">
            <v>7.0213</v>
          </cell>
        </row>
        <row r="1400">
          <cell r="AA1400" t="str">
            <v>4T4R</v>
          </cell>
        </row>
        <row r="1401">
          <cell r="E1401" t="str">
            <v>ZKAD07</v>
          </cell>
        </row>
        <row r="1401">
          <cell r="G1401" t="str">
            <v>ZKAD07-M-L85-C1</v>
          </cell>
        </row>
        <row r="1401">
          <cell r="I1401">
            <v>79.9442</v>
          </cell>
          <cell r="J1401">
            <v>7.0213</v>
          </cell>
        </row>
        <row r="1401">
          <cell r="AA1401" t="str">
            <v>2T2R</v>
          </cell>
        </row>
        <row r="1402">
          <cell r="E1402" t="str">
            <v>ZKAD07</v>
          </cell>
        </row>
        <row r="1402">
          <cell r="G1402" t="str">
            <v>ZKAD07-M-L85-B1</v>
          </cell>
        </row>
        <row r="1402">
          <cell r="I1402">
            <v>79.9442</v>
          </cell>
          <cell r="J1402">
            <v>7.0213</v>
          </cell>
        </row>
        <row r="1402">
          <cell r="AA1402" t="str">
            <v>2T2R</v>
          </cell>
        </row>
        <row r="1403">
          <cell r="E1403" t="str">
            <v>ZKAD07</v>
          </cell>
        </row>
        <row r="1403">
          <cell r="G1403" t="str">
            <v>ZKAD07-M-L85-A1</v>
          </cell>
        </row>
        <row r="1403">
          <cell r="I1403">
            <v>79.9442</v>
          </cell>
          <cell r="J1403">
            <v>7.0213</v>
          </cell>
        </row>
        <row r="1403">
          <cell r="AA1403" t="str">
            <v>2T2R</v>
          </cell>
        </row>
        <row r="1404">
          <cell r="E1404" t="str">
            <v>ZKAD07</v>
          </cell>
        </row>
        <row r="1404">
          <cell r="G1404" t="str">
            <v>ZKAD07-M-L21-C2</v>
          </cell>
        </row>
        <row r="1404">
          <cell r="I1404">
            <v>79.9442</v>
          </cell>
          <cell r="J1404">
            <v>7.0213</v>
          </cell>
        </row>
        <row r="1404">
          <cell r="AA1404" t="str">
            <v>2T2R</v>
          </cell>
        </row>
        <row r="1405">
          <cell r="E1405" t="str">
            <v>ZKAD07</v>
          </cell>
        </row>
        <row r="1405">
          <cell r="G1405" t="str">
            <v>ZKAD07-M-L21-B2</v>
          </cell>
        </row>
        <row r="1405">
          <cell r="I1405">
            <v>79.9442</v>
          </cell>
          <cell r="J1405">
            <v>7.0213</v>
          </cell>
        </row>
        <row r="1405">
          <cell r="AA1405" t="str">
            <v>4T4R</v>
          </cell>
        </row>
        <row r="1406">
          <cell r="E1406" t="str">
            <v>ZKAD07</v>
          </cell>
        </row>
        <row r="1406">
          <cell r="G1406" t="str">
            <v>ZKAD07-M-L21-A2</v>
          </cell>
        </row>
        <row r="1406">
          <cell r="I1406">
            <v>79.9442</v>
          </cell>
          <cell r="J1406">
            <v>7.0213</v>
          </cell>
        </row>
        <row r="1406">
          <cell r="AA1406" t="str">
            <v>2T2R</v>
          </cell>
        </row>
        <row r="1407">
          <cell r="E1407" t="str">
            <v>ZKAD32</v>
          </cell>
        </row>
        <row r="1407">
          <cell r="G1407" t="str">
            <v>ZKAD32I</v>
          </cell>
        </row>
        <row r="1407">
          <cell r="I1407">
            <v>79.945</v>
          </cell>
          <cell r="J1407">
            <v>7.00083</v>
          </cell>
        </row>
        <row r="1407">
          <cell r="AA1407" t="str">
            <v>2T2R</v>
          </cell>
        </row>
        <row r="1408">
          <cell r="E1408" t="str">
            <v>ZKAD32</v>
          </cell>
        </row>
        <row r="1408">
          <cell r="G1408" t="str">
            <v>ZKAD32H</v>
          </cell>
        </row>
        <row r="1408">
          <cell r="I1408">
            <v>79.945</v>
          </cell>
          <cell r="J1408">
            <v>7.00083</v>
          </cell>
        </row>
        <row r="1408">
          <cell r="AA1408" t="str">
            <v>2T2R</v>
          </cell>
        </row>
        <row r="1409">
          <cell r="E1409" t="str">
            <v>ZKAD32</v>
          </cell>
        </row>
        <row r="1409">
          <cell r="G1409" t="str">
            <v>ZKAD32G</v>
          </cell>
        </row>
        <row r="1409">
          <cell r="I1409">
            <v>79.945</v>
          </cell>
          <cell r="J1409">
            <v>7.00083</v>
          </cell>
        </row>
        <row r="1409">
          <cell r="AA1409" t="str">
            <v>2T2R</v>
          </cell>
        </row>
        <row r="1410">
          <cell r="E1410" t="str">
            <v>GMMIN2</v>
          </cell>
        </row>
        <row r="1410">
          <cell r="G1410" t="str">
            <v>GMMIN2-M-L85-C1</v>
          </cell>
        </row>
        <row r="1410">
          <cell r="I1410">
            <v>79.9453</v>
          </cell>
          <cell r="J1410">
            <v>7.16125</v>
          </cell>
        </row>
        <row r="1410">
          <cell r="AA1410" t="str">
            <v>2T2R</v>
          </cell>
        </row>
        <row r="1411">
          <cell r="E1411" t="str">
            <v>GMMIN2</v>
          </cell>
        </row>
        <row r="1411">
          <cell r="G1411" t="str">
            <v>GMMIN2-M-L85-B1</v>
          </cell>
        </row>
        <row r="1411">
          <cell r="I1411">
            <v>79.9453</v>
          </cell>
          <cell r="J1411">
            <v>7.16125</v>
          </cell>
        </row>
        <row r="1411">
          <cell r="AA1411" t="str">
            <v>2T2R</v>
          </cell>
        </row>
        <row r="1412">
          <cell r="E1412" t="str">
            <v>GMMIN2</v>
          </cell>
        </row>
        <row r="1412">
          <cell r="G1412" t="str">
            <v>GMMIN2-M-L85-A1</v>
          </cell>
        </row>
        <row r="1412">
          <cell r="I1412">
            <v>79.9453</v>
          </cell>
          <cell r="J1412">
            <v>7.16125</v>
          </cell>
        </row>
        <row r="1412">
          <cell r="AA1412" t="str">
            <v>2T2R</v>
          </cell>
        </row>
        <row r="1413">
          <cell r="E1413" t="str">
            <v>GMMIN2</v>
          </cell>
        </row>
        <row r="1413">
          <cell r="G1413" t="str">
            <v>GMMIN2I</v>
          </cell>
        </row>
        <row r="1413">
          <cell r="I1413">
            <v>79.9453</v>
          </cell>
          <cell r="J1413">
            <v>7.16125</v>
          </cell>
        </row>
        <row r="1413">
          <cell r="AA1413" t="str">
            <v>2T2R</v>
          </cell>
        </row>
        <row r="1414">
          <cell r="E1414" t="str">
            <v>GMMIN2</v>
          </cell>
        </row>
        <row r="1414">
          <cell r="G1414" t="str">
            <v>GMMIN2H</v>
          </cell>
        </row>
        <row r="1414">
          <cell r="I1414">
            <v>79.9453</v>
          </cell>
          <cell r="J1414">
            <v>7.16125</v>
          </cell>
        </row>
        <row r="1414">
          <cell r="AA1414" t="str">
            <v>2T2R</v>
          </cell>
        </row>
        <row r="1415">
          <cell r="E1415" t="str">
            <v>GMMIN2</v>
          </cell>
        </row>
        <row r="1415">
          <cell r="G1415" t="str">
            <v>GMMIN2G</v>
          </cell>
        </row>
        <row r="1415">
          <cell r="I1415">
            <v>79.9453</v>
          </cell>
          <cell r="J1415">
            <v>7.16125</v>
          </cell>
        </row>
        <row r="1415">
          <cell r="AA1415" t="str">
            <v>2T2R</v>
          </cell>
        </row>
        <row r="1416">
          <cell r="E1416" t="str">
            <v>ZBIY40</v>
          </cell>
        </row>
        <row r="1416">
          <cell r="G1416" t="str">
            <v>ZBIY40I</v>
          </cell>
        </row>
        <row r="1416">
          <cell r="I1416">
            <v>79.945673</v>
          </cell>
          <cell r="J1416">
            <v>6.983274</v>
          </cell>
        </row>
        <row r="1416">
          <cell r="AA1416" t="str">
            <v>4T4R</v>
          </cell>
        </row>
        <row r="1417">
          <cell r="E1417" t="str">
            <v>ZBIY40</v>
          </cell>
        </row>
        <row r="1417">
          <cell r="G1417" t="str">
            <v>ZBIY40H</v>
          </cell>
        </row>
        <row r="1417">
          <cell r="I1417">
            <v>79.945673</v>
          </cell>
          <cell r="J1417">
            <v>6.983274</v>
          </cell>
        </row>
        <row r="1417">
          <cell r="AA1417" t="str">
            <v>4T4R</v>
          </cell>
        </row>
        <row r="1418">
          <cell r="E1418" t="str">
            <v>ZBIY40</v>
          </cell>
        </row>
        <row r="1418">
          <cell r="G1418" t="str">
            <v>ZBIY40G</v>
          </cell>
        </row>
        <row r="1418">
          <cell r="I1418">
            <v>79.945673</v>
          </cell>
          <cell r="J1418">
            <v>6.983274</v>
          </cell>
        </row>
        <row r="1418">
          <cell r="AA1418" t="str">
            <v>4T4R</v>
          </cell>
        </row>
        <row r="1419">
          <cell r="E1419" t="str">
            <v>ZKAD01</v>
          </cell>
        </row>
        <row r="1419">
          <cell r="G1419" t="str">
            <v>ZKAD01-M-L18-C1</v>
          </cell>
        </row>
        <row r="1419">
          <cell r="I1419">
            <v>79.9461</v>
          </cell>
          <cell r="J1419">
            <v>6.99575</v>
          </cell>
        </row>
        <row r="1419">
          <cell r="AA1419" t="str">
            <v>8T8R</v>
          </cell>
        </row>
        <row r="1420">
          <cell r="E1420" t="str">
            <v>ZKAD01</v>
          </cell>
        </row>
        <row r="1420">
          <cell r="G1420" t="str">
            <v>ZKAD01-M-L21-C2</v>
          </cell>
        </row>
        <row r="1420">
          <cell r="I1420">
            <v>79.9461</v>
          </cell>
          <cell r="J1420">
            <v>6.99575</v>
          </cell>
        </row>
        <row r="1420">
          <cell r="AA1420" t="str">
            <v>8T8R</v>
          </cell>
        </row>
        <row r="1421">
          <cell r="E1421" t="str">
            <v>ZKAD01</v>
          </cell>
        </row>
        <row r="1421">
          <cell r="G1421" t="str">
            <v>ZKAD01-M-L21-B2</v>
          </cell>
        </row>
        <row r="1421">
          <cell r="I1421">
            <v>79.9461</v>
          </cell>
          <cell r="J1421">
            <v>6.99575</v>
          </cell>
        </row>
        <row r="1421">
          <cell r="AA1421" t="str">
            <v>2T2R</v>
          </cell>
        </row>
        <row r="1422">
          <cell r="E1422" t="str">
            <v>ZKAD01</v>
          </cell>
        </row>
        <row r="1422">
          <cell r="G1422" t="str">
            <v>ZKAD01-M-L21-A2</v>
          </cell>
        </row>
        <row r="1422">
          <cell r="I1422">
            <v>79.9461</v>
          </cell>
          <cell r="J1422">
            <v>6.99575</v>
          </cell>
        </row>
        <row r="1422">
          <cell r="AA1422" t="str">
            <v>2T2R</v>
          </cell>
        </row>
        <row r="1423">
          <cell r="E1423" t="str">
            <v>ZKAD01</v>
          </cell>
        </row>
        <row r="1423">
          <cell r="G1423" t="str">
            <v>ZKAD01-M-L18-G1</v>
          </cell>
        </row>
        <row r="1423">
          <cell r="I1423">
            <v>79.9461</v>
          </cell>
          <cell r="J1423">
            <v>6.99575</v>
          </cell>
        </row>
        <row r="1423">
          <cell r="AA1423" t="str">
            <v>4T4R</v>
          </cell>
        </row>
        <row r="1424">
          <cell r="E1424" t="str">
            <v>ZKAD01</v>
          </cell>
        </row>
        <row r="1424">
          <cell r="G1424" t="str">
            <v>ZKAD01-M-L18-H1</v>
          </cell>
        </row>
        <row r="1424">
          <cell r="I1424">
            <v>79.9461</v>
          </cell>
          <cell r="J1424">
            <v>6.99575</v>
          </cell>
        </row>
        <row r="1424">
          <cell r="AA1424" t="str">
            <v>2T2R</v>
          </cell>
        </row>
        <row r="1425">
          <cell r="E1425" t="str">
            <v>ZKAD01</v>
          </cell>
        </row>
        <row r="1425">
          <cell r="G1425" t="str">
            <v>ZKAD01G</v>
          </cell>
        </row>
        <row r="1425">
          <cell r="I1425">
            <v>79.9461</v>
          </cell>
          <cell r="J1425">
            <v>6.99575</v>
          </cell>
        </row>
        <row r="1425">
          <cell r="AA1425" t="str">
            <v>4T4R</v>
          </cell>
        </row>
        <row r="1426">
          <cell r="E1426" t="str">
            <v>ZKAD01</v>
          </cell>
        </row>
        <row r="1426">
          <cell r="G1426" t="str">
            <v>ZKAD01H</v>
          </cell>
        </row>
        <row r="1426">
          <cell r="I1426">
            <v>79.9461</v>
          </cell>
          <cell r="J1426">
            <v>6.99575</v>
          </cell>
        </row>
        <row r="1426">
          <cell r="AA1426" t="str">
            <v>2T2R</v>
          </cell>
        </row>
        <row r="1427">
          <cell r="E1427" t="str">
            <v>ZKAD01</v>
          </cell>
        </row>
        <row r="1427">
          <cell r="G1427" t="str">
            <v>ZKAD01I</v>
          </cell>
        </row>
        <row r="1427">
          <cell r="I1427">
            <v>79.9461</v>
          </cell>
          <cell r="J1427">
            <v>6.99575</v>
          </cell>
        </row>
        <row r="1427">
          <cell r="AA1427" t="str">
            <v>8T8R</v>
          </cell>
        </row>
        <row r="1428">
          <cell r="E1428" t="str">
            <v>ZKAD01</v>
          </cell>
        </row>
        <row r="1428">
          <cell r="G1428" t="str">
            <v>ZKAD01-M-L85-D1</v>
          </cell>
        </row>
        <row r="1428">
          <cell r="I1428">
            <v>79.9461</v>
          </cell>
          <cell r="J1428">
            <v>6.99575</v>
          </cell>
        </row>
        <row r="1428">
          <cell r="AA1428" t="str">
            <v>2T2R</v>
          </cell>
        </row>
        <row r="1429">
          <cell r="E1429" t="str">
            <v>ZKAD01</v>
          </cell>
        </row>
        <row r="1429">
          <cell r="G1429" t="str">
            <v>ZKAD01-M-L85-C1</v>
          </cell>
        </row>
        <row r="1429">
          <cell r="I1429">
            <v>79.9461</v>
          </cell>
          <cell r="J1429">
            <v>6.99575</v>
          </cell>
        </row>
        <row r="1429">
          <cell r="AA1429" t="str">
            <v>2T2R</v>
          </cell>
        </row>
        <row r="1430">
          <cell r="E1430" t="str">
            <v>ZKAD01</v>
          </cell>
        </row>
        <row r="1430">
          <cell r="G1430" t="str">
            <v>ZKAD01-M-L85-B1</v>
          </cell>
        </row>
        <row r="1430">
          <cell r="I1430">
            <v>79.9461</v>
          </cell>
          <cell r="J1430">
            <v>6.99575</v>
          </cell>
        </row>
        <row r="1430">
          <cell r="AA1430" t="str">
            <v>2T2R</v>
          </cell>
        </row>
        <row r="1431">
          <cell r="E1431" t="str">
            <v>ZKAD01</v>
          </cell>
        </row>
        <row r="1431">
          <cell r="G1431" t="str">
            <v>ZKAD01-M-L85-A1</v>
          </cell>
        </row>
        <row r="1431">
          <cell r="I1431">
            <v>79.9461</v>
          </cell>
          <cell r="J1431">
            <v>6.99575</v>
          </cell>
        </row>
        <row r="1431">
          <cell r="AA1431" t="str">
            <v>2T2R</v>
          </cell>
        </row>
        <row r="1432">
          <cell r="E1432" t="str">
            <v>ZBIY30</v>
          </cell>
        </row>
        <row r="1432">
          <cell r="G1432" t="str">
            <v>ZBIY30-M-L18-H1</v>
          </cell>
        </row>
        <row r="1432">
          <cell r="I1432">
            <v>79.947208</v>
          </cell>
          <cell r="J1432">
            <v>6.964843</v>
          </cell>
        </row>
        <row r="1432">
          <cell r="AA1432" t="str">
            <v>2T2R</v>
          </cell>
        </row>
        <row r="1433">
          <cell r="E1433" t="str">
            <v>ZBIY30</v>
          </cell>
        </row>
        <row r="1433">
          <cell r="G1433" t="str">
            <v>ZBIY30G</v>
          </cell>
        </row>
        <row r="1433">
          <cell r="I1433">
            <v>79.947208</v>
          </cell>
          <cell r="J1433">
            <v>6.964843</v>
          </cell>
        </row>
        <row r="1433">
          <cell r="AA1433" t="str">
            <v>4T4R</v>
          </cell>
        </row>
        <row r="1434">
          <cell r="E1434" t="str">
            <v>ZBIY30</v>
          </cell>
        </row>
        <row r="1434">
          <cell r="G1434" t="str">
            <v>ZBIY30H</v>
          </cell>
        </row>
        <row r="1434">
          <cell r="I1434">
            <v>79.947208</v>
          </cell>
          <cell r="J1434">
            <v>6.964843</v>
          </cell>
        </row>
        <row r="1434">
          <cell r="AA1434" t="str">
            <v>2T2R</v>
          </cell>
        </row>
        <row r="1435">
          <cell r="E1435" t="str">
            <v>ZBIY30</v>
          </cell>
        </row>
        <row r="1435">
          <cell r="G1435" t="str">
            <v>ZBIY30I</v>
          </cell>
        </row>
        <row r="1435">
          <cell r="I1435">
            <v>79.947208</v>
          </cell>
          <cell r="J1435">
            <v>6.964843</v>
          </cell>
        </row>
        <row r="1435">
          <cell r="AA1435" t="str">
            <v>4T4R</v>
          </cell>
        </row>
        <row r="1436">
          <cell r="E1436" t="str">
            <v>ZBIY06</v>
          </cell>
        </row>
        <row r="1436">
          <cell r="G1436" t="str">
            <v>ZBIY06I</v>
          </cell>
        </row>
        <row r="1436">
          <cell r="I1436">
            <v>79.9479</v>
          </cell>
          <cell r="J1436">
            <v>6.95438</v>
          </cell>
        </row>
        <row r="1436">
          <cell r="AA1436" t="str">
            <v>4T4R</v>
          </cell>
        </row>
        <row r="1437">
          <cell r="E1437" t="str">
            <v>ZBIY06</v>
          </cell>
        </row>
        <row r="1437">
          <cell r="G1437" t="str">
            <v>ZBIY06H</v>
          </cell>
        </row>
        <row r="1437">
          <cell r="I1437">
            <v>79.9479</v>
          </cell>
          <cell r="J1437">
            <v>6.95438</v>
          </cell>
        </row>
        <row r="1437">
          <cell r="AA1437" t="str">
            <v>4T4R</v>
          </cell>
        </row>
        <row r="1438">
          <cell r="E1438" t="str">
            <v>ZBIY06</v>
          </cell>
        </row>
        <row r="1438">
          <cell r="G1438" t="str">
            <v>ZBIY06G</v>
          </cell>
        </row>
        <row r="1438">
          <cell r="I1438">
            <v>79.9479</v>
          </cell>
          <cell r="J1438">
            <v>6.95438</v>
          </cell>
        </row>
        <row r="1438">
          <cell r="AA1438" t="str">
            <v>4T4R</v>
          </cell>
        </row>
        <row r="1439">
          <cell r="E1439" t="str">
            <v>ZBIY06</v>
          </cell>
        </row>
        <row r="1439">
          <cell r="G1439" t="str">
            <v>ZBIY06-M-L85-C1</v>
          </cell>
        </row>
        <row r="1439">
          <cell r="I1439">
            <v>79.9479</v>
          </cell>
          <cell r="J1439">
            <v>6.95438</v>
          </cell>
        </row>
        <row r="1439">
          <cell r="AA1439" t="str">
            <v>2T2R</v>
          </cell>
        </row>
        <row r="1440">
          <cell r="E1440" t="str">
            <v>ZBIY06</v>
          </cell>
        </row>
        <row r="1440">
          <cell r="G1440" t="str">
            <v>ZBIY06-M-L85-B1</v>
          </cell>
        </row>
        <row r="1440">
          <cell r="I1440">
            <v>79.9479</v>
          </cell>
          <cell r="J1440">
            <v>6.95438</v>
          </cell>
        </row>
        <row r="1440">
          <cell r="AA1440" t="str">
            <v>2T2R</v>
          </cell>
        </row>
        <row r="1441">
          <cell r="E1441" t="str">
            <v>ZBIY06</v>
          </cell>
        </row>
        <row r="1441">
          <cell r="G1441" t="str">
            <v>ZBIY06-M-L85-A1</v>
          </cell>
        </row>
        <row r="1441">
          <cell r="I1441">
            <v>79.9479</v>
          </cell>
          <cell r="J1441">
            <v>6.95438</v>
          </cell>
        </row>
        <row r="1441">
          <cell r="AA1441" t="str">
            <v>2T2R</v>
          </cell>
        </row>
        <row r="1442">
          <cell r="E1442" t="str">
            <v>ZBIY06</v>
          </cell>
        </row>
        <row r="1442">
          <cell r="G1442" t="str">
            <v>ZBIY06-M-L21-B2</v>
          </cell>
        </row>
        <row r="1442">
          <cell r="I1442">
            <v>79.9479</v>
          </cell>
          <cell r="J1442">
            <v>6.95438</v>
          </cell>
        </row>
        <row r="1442">
          <cell r="AA1442" t="str">
            <v>2T2R</v>
          </cell>
        </row>
        <row r="1443">
          <cell r="E1443" t="str">
            <v>ZBIY06</v>
          </cell>
        </row>
        <row r="1443">
          <cell r="G1443" t="str">
            <v>ZBIY06-M-L21-C2</v>
          </cell>
        </row>
        <row r="1443">
          <cell r="I1443">
            <v>79.9479</v>
          </cell>
          <cell r="J1443">
            <v>6.95438</v>
          </cell>
        </row>
        <row r="1443">
          <cell r="AA1443" t="str">
            <v>2T2R</v>
          </cell>
        </row>
        <row r="1444">
          <cell r="E1444" t="str">
            <v>ZBIY06</v>
          </cell>
        </row>
        <row r="1444">
          <cell r="G1444" t="str">
            <v>ZBIY06-M-L21-A2</v>
          </cell>
        </row>
        <row r="1444">
          <cell r="I1444">
            <v>79.9479</v>
          </cell>
          <cell r="J1444">
            <v>6.95438</v>
          </cell>
        </row>
        <row r="1444">
          <cell r="AA1444" t="str">
            <v>2T2R</v>
          </cell>
        </row>
        <row r="1445">
          <cell r="E1445" t="str">
            <v>GMTIB1</v>
          </cell>
        </row>
        <row r="1445">
          <cell r="G1445" t="str">
            <v>GMTIB1-M-L21-A2</v>
          </cell>
        </row>
        <row r="1445">
          <cell r="I1445">
            <v>79.9479</v>
          </cell>
          <cell r="J1445">
            <v>7.08163</v>
          </cell>
        </row>
        <row r="1445">
          <cell r="AA1445" t="str">
            <v>8T8R</v>
          </cell>
        </row>
        <row r="1446">
          <cell r="E1446" t="str">
            <v>GMTIB1</v>
          </cell>
        </row>
        <row r="1446">
          <cell r="G1446" t="str">
            <v>GMTIB1I</v>
          </cell>
        </row>
        <row r="1446">
          <cell r="I1446">
            <v>79.9479</v>
          </cell>
          <cell r="J1446">
            <v>7.08163</v>
          </cell>
        </row>
        <row r="1446">
          <cell r="AA1446" t="str">
            <v>4T4R</v>
          </cell>
        </row>
        <row r="1447">
          <cell r="E1447" t="str">
            <v>GMTIB1</v>
          </cell>
        </row>
        <row r="1447">
          <cell r="G1447" t="str">
            <v>GMTIB1H</v>
          </cell>
        </row>
        <row r="1447">
          <cell r="I1447">
            <v>79.9479</v>
          </cell>
          <cell r="J1447">
            <v>7.08163</v>
          </cell>
        </row>
        <row r="1447">
          <cell r="AA1447" t="str">
            <v>2T2R</v>
          </cell>
        </row>
        <row r="1448">
          <cell r="E1448" t="str">
            <v>GMTIB1</v>
          </cell>
        </row>
        <row r="1448">
          <cell r="G1448" t="str">
            <v>GMTIB1G</v>
          </cell>
        </row>
        <row r="1448">
          <cell r="I1448">
            <v>79.9479</v>
          </cell>
          <cell r="J1448">
            <v>7.08163</v>
          </cell>
        </row>
        <row r="1448">
          <cell r="AA1448" t="str">
            <v>8T8R</v>
          </cell>
        </row>
        <row r="1449">
          <cell r="E1449" t="str">
            <v>GMMIN1</v>
          </cell>
        </row>
        <row r="1449">
          <cell r="G1449" t="str">
            <v>GMMIN1G</v>
          </cell>
        </row>
        <row r="1449">
          <cell r="I1449">
            <v>79.9483</v>
          </cell>
          <cell r="J1449">
            <v>7.17252</v>
          </cell>
        </row>
        <row r="1449">
          <cell r="AA1449" t="str">
            <v>4T4R</v>
          </cell>
        </row>
        <row r="1450">
          <cell r="E1450" t="str">
            <v>GMMIN1</v>
          </cell>
        </row>
        <row r="1450">
          <cell r="G1450" t="str">
            <v>GMMIN1H</v>
          </cell>
        </row>
        <row r="1450">
          <cell r="I1450">
            <v>79.9483</v>
          </cell>
          <cell r="J1450">
            <v>7.17252</v>
          </cell>
        </row>
        <row r="1450">
          <cell r="AA1450" t="str">
            <v>4T4R</v>
          </cell>
        </row>
        <row r="1451">
          <cell r="E1451" t="str">
            <v>GMMIN1</v>
          </cell>
        </row>
        <row r="1451">
          <cell r="G1451" t="str">
            <v>GMMIN1I</v>
          </cell>
        </row>
        <row r="1451">
          <cell r="I1451">
            <v>79.9483</v>
          </cell>
          <cell r="J1451">
            <v>7.17252</v>
          </cell>
        </row>
        <row r="1451">
          <cell r="AA1451" t="str">
            <v>4T4R</v>
          </cell>
        </row>
        <row r="1452">
          <cell r="E1452" t="str">
            <v>GMMIN1</v>
          </cell>
        </row>
        <row r="1452">
          <cell r="G1452" t="str">
            <v>GMMIN1-M-L85-C1</v>
          </cell>
        </row>
        <row r="1452">
          <cell r="I1452">
            <v>79.9483</v>
          </cell>
          <cell r="J1452">
            <v>7.17252</v>
          </cell>
        </row>
        <row r="1452">
          <cell r="AA1452" t="str">
            <v>2T2R</v>
          </cell>
        </row>
        <row r="1453">
          <cell r="E1453" t="str">
            <v>GMMIN1</v>
          </cell>
        </row>
        <row r="1453">
          <cell r="G1453" t="str">
            <v>GMMIN1-M-L85-B1</v>
          </cell>
        </row>
        <row r="1453">
          <cell r="I1453">
            <v>79.9483</v>
          </cell>
          <cell r="J1453">
            <v>7.17252</v>
          </cell>
        </row>
        <row r="1453">
          <cell r="AA1453" t="str">
            <v>2T2R</v>
          </cell>
        </row>
        <row r="1454">
          <cell r="E1454" t="str">
            <v>GMMIN1</v>
          </cell>
        </row>
        <row r="1454">
          <cell r="G1454" t="str">
            <v>GMMIN1-M-L85-A1</v>
          </cell>
        </row>
        <row r="1454">
          <cell r="I1454">
            <v>79.9483</v>
          </cell>
          <cell r="J1454">
            <v>7.17252</v>
          </cell>
        </row>
        <row r="1454">
          <cell r="AA1454" t="str">
            <v>2T2R</v>
          </cell>
        </row>
        <row r="1455">
          <cell r="E1455" t="str">
            <v>GMMIN1</v>
          </cell>
        </row>
        <row r="1455">
          <cell r="G1455" t="str">
            <v>GMMIN1-M-L21-C2</v>
          </cell>
        </row>
        <row r="1455">
          <cell r="I1455">
            <v>79.9483</v>
          </cell>
          <cell r="J1455">
            <v>7.17252</v>
          </cell>
        </row>
        <row r="1455">
          <cell r="AA1455" t="str">
            <v>4T4R</v>
          </cell>
        </row>
        <row r="1456">
          <cell r="E1456" t="str">
            <v>GMMIN1</v>
          </cell>
        </row>
        <row r="1456">
          <cell r="G1456" t="str">
            <v>GMMIN1-M-L21-B2</v>
          </cell>
        </row>
        <row r="1456">
          <cell r="I1456">
            <v>79.9483</v>
          </cell>
          <cell r="J1456">
            <v>7.17252</v>
          </cell>
        </row>
        <row r="1456">
          <cell r="AA1456" t="str">
            <v>2T2R</v>
          </cell>
        </row>
        <row r="1457">
          <cell r="E1457" t="str">
            <v>GMMIN1</v>
          </cell>
        </row>
        <row r="1457">
          <cell r="G1457" t="str">
            <v>GMMIN1-M-L21-A2</v>
          </cell>
        </row>
        <row r="1457">
          <cell r="I1457">
            <v>79.9483</v>
          </cell>
          <cell r="J1457">
            <v>7.17252</v>
          </cell>
        </row>
        <row r="1457">
          <cell r="AA1457" t="str">
            <v>2T2R</v>
          </cell>
        </row>
        <row r="1458">
          <cell r="E1458" t="str">
            <v>GMMIN1</v>
          </cell>
        </row>
        <row r="1458">
          <cell r="G1458" t="str">
            <v>GMMIN1-M-L18-G1</v>
          </cell>
        </row>
        <row r="1458">
          <cell r="I1458">
            <v>79.9483</v>
          </cell>
          <cell r="J1458">
            <v>7.17252</v>
          </cell>
        </row>
        <row r="1458">
          <cell r="AA1458" t="str">
            <v>4T4R</v>
          </cell>
        </row>
        <row r="1459">
          <cell r="E1459" t="str">
            <v>GMMIN1</v>
          </cell>
        </row>
        <row r="1459">
          <cell r="G1459" t="str">
            <v>GMMIN1-M-L18-I1</v>
          </cell>
        </row>
        <row r="1459">
          <cell r="I1459">
            <v>79.9483</v>
          </cell>
          <cell r="J1459">
            <v>7.17252</v>
          </cell>
        </row>
        <row r="1459">
          <cell r="AA1459" t="str">
            <v>4T4R</v>
          </cell>
        </row>
        <row r="1460">
          <cell r="E1460" t="str">
            <v>GMMIN1</v>
          </cell>
        </row>
        <row r="1460">
          <cell r="G1460" t="str">
            <v>GMMIN1-M-L21-C1</v>
          </cell>
        </row>
        <row r="1460">
          <cell r="I1460">
            <v>79.9483</v>
          </cell>
          <cell r="J1460">
            <v>7.17252</v>
          </cell>
        </row>
        <row r="1460">
          <cell r="AA1460" t="str">
            <v>4T4R</v>
          </cell>
        </row>
        <row r="1461">
          <cell r="E1461" t="str">
            <v>ZKAD19</v>
          </cell>
        </row>
        <row r="1461">
          <cell r="G1461" t="str">
            <v>ZKAD19I</v>
          </cell>
        </row>
        <row r="1461">
          <cell r="I1461">
            <v>79.9489</v>
          </cell>
          <cell r="J1461">
            <v>7.03442</v>
          </cell>
        </row>
        <row r="1461">
          <cell r="AA1461" t="str">
            <v>4T4R</v>
          </cell>
        </row>
        <row r="1462">
          <cell r="E1462" t="str">
            <v>ZKAD19</v>
          </cell>
        </row>
        <row r="1462">
          <cell r="G1462" t="str">
            <v>ZKAD19H</v>
          </cell>
        </row>
        <row r="1462">
          <cell r="I1462">
            <v>79.9489</v>
          </cell>
          <cell r="J1462">
            <v>7.03442</v>
          </cell>
        </row>
        <row r="1462">
          <cell r="AA1462" t="str">
            <v>4T4R</v>
          </cell>
        </row>
        <row r="1463">
          <cell r="E1463" t="str">
            <v>ZKAD19</v>
          </cell>
        </row>
        <row r="1463">
          <cell r="G1463" t="str">
            <v>ZKAD19G</v>
          </cell>
        </row>
        <row r="1463">
          <cell r="I1463">
            <v>79.9489</v>
          </cell>
          <cell r="J1463">
            <v>7.03442</v>
          </cell>
        </row>
        <row r="1463">
          <cell r="AA1463" t="str">
            <v>4T4R</v>
          </cell>
        </row>
        <row r="1464">
          <cell r="E1464" t="str">
            <v>ZKAD19</v>
          </cell>
        </row>
        <row r="1464">
          <cell r="G1464" t="str">
            <v>ZKAD19-M-L85-C1</v>
          </cell>
        </row>
        <row r="1464">
          <cell r="I1464">
            <v>79.9489</v>
          </cell>
          <cell r="J1464">
            <v>7.03442</v>
          </cell>
        </row>
        <row r="1464">
          <cell r="AA1464" t="str">
            <v>2T2R</v>
          </cell>
        </row>
        <row r="1465">
          <cell r="E1465" t="str">
            <v>ZKAD19</v>
          </cell>
        </row>
        <row r="1465">
          <cell r="G1465" t="str">
            <v>ZKAD19-M-L85-B1</v>
          </cell>
        </row>
        <row r="1465">
          <cell r="I1465">
            <v>79.9489</v>
          </cell>
          <cell r="J1465">
            <v>7.03442</v>
          </cell>
        </row>
        <row r="1465">
          <cell r="AA1465" t="str">
            <v>2T2R</v>
          </cell>
        </row>
        <row r="1466">
          <cell r="E1466" t="str">
            <v>ZKAD19</v>
          </cell>
        </row>
        <row r="1466">
          <cell r="G1466" t="str">
            <v>ZKAD19-M-L85-A1</v>
          </cell>
        </row>
        <row r="1466">
          <cell r="I1466">
            <v>79.9489</v>
          </cell>
          <cell r="J1466">
            <v>7.03442</v>
          </cell>
        </row>
        <row r="1466">
          <cell r="AA1466" t="str">
            <v>2T2R</v>
          </cell>
        </row>
        <row r="1467">
          <cell r="E1467" t="str">
            <v>GMMKW1</v>
          </cell>
        </row>
        <row r="1467">
          <cell r="G1467" t="str">
            <v>GMMKW1I</v>
          </cell>
        </row>
        <row r="1467">
          <cell r="I1467">
            <v>79.9501</v>
          </cell>
          <cell r="J1467">
            <v>7.0999</v>
          </cell>
        </row>
        <row r="1467">
          <cell r="AA1467" t="str">
            <v>4T4R</v>
          </cell>
        </row>
        <row r="1468">
          <cell r="E1468" t="str">
            <v>GMMKW1</v>
          </cell>
        </row>
        <row r="1468">
          <cell r="G1468" t="str">
            <v>GMMKW1H</v>
          </cell>
        </row>
        <row r="1468">
          <cell r="I1468">
            <v>79.9501</v>
          </cell>
          <cell r="J1468">
            <v>7.0999</v>
          </cell>
        </row>
        <row r="1468">
          <cell r="AA1468" t="str">
            <v>2T2R</v>
          </cell>
        </row>
        <row r="1469">
          <cell r="E1469" t="str">
            <v>GMMKW1</v>
          </cell>
        </row>
        <row r="1469">
          <cell r="G1469" t="str">
            <v>GMMKW1G</v>
          </cell>
        </row>
        <row r="1469">
          <cell r="I1469">
            <v>79.9501</v>
          </cell>
          <cell r="J1469">
            <v>7.0999</v>
          </cell>
        </row>
        <row r="1469">
          <cell r="AA1469" t="str">
            <v>2T2R</v>
          </cell>
        </row>
        <row r="1470">
          <cell r="E1470" t="str">
            <v>ZKAD14</v>
          </cell>
        </row>
        <row r="1470">
          <cell r="G1470" t="str">
            <v>ZKAD14I</v>
          </cell>
        </row>
        <row r="1470">
          <cell r="I1470">
            <v>79.9503</v>
          </cell>
          <cell r="J1470">
            <v>7.00229</v>
          </cell>
        </row>
        <row r="1470">
          <cell r="AA1470" t="str">
            <v>4T4R</v>
          </cell>
        </row>
        <row r="1471">
          <cell r="E1471" t="str">
            <v>ZKAD14</v>
          </cell>
        </row>
        <row r="1471">
          <cell r="G1471" t="str">
            <v>ZKAD14H</v>
          </cell>
        </row>
        <row r="1471">
          <cell r="I1471">
            <v>79.9503</v>
          </cell>
          <cell r="J1471">
            <v>7.00229</v>
          </cell>
        </row>
        <row r="1471">
          <cell r="AA1471" t="str">
            <v>2T2R</v>
          </cell>
        </row>
        <row r="1472">
          <cell r="E1472" t="str">
            <v>ZKAD14</v>
          </cell>
        </row>
        <row r="1472">
          <cell r="G1472" t="str">
            <v>ZKAD14G</v>
          </cell>
        </row>
        <row r="1472">
          <cell r="I1472">
            <v>79.9503</v>
          </cell>
          <cell r="J1472">
            <v>7.00229</v>
          </cell>
        </row>
        <row r="1472">
          <cell r="AA1472" t="str">
            <v>2T2R</v>
          </cell>
        </row>
        <row r="1473">
          <cell r="E1473" t="str">
            <v>ZKAD14</v>
          </cell>
        </row>
        <row r="1473">
          <cell r="G1473" t="str">
            <v>ZKAD14-M-L21-C2</v>
          </cell>
        </row>
        <row r="1473">
          <cell r="I1473">
            <v>79.9503</v>
          </cell>
          <cell r="J1473">
            <v>7.00229</v>
          </cell>
        </row>
        <row r="1473">
          <cell r="AA1473" t="str">
            <v>2T2R</v>
          </cell>
        </row>
        <row r="1474">
          <cell r="E1474" t="str">
            <v>ZKAD14</v>
          </cell>
        </row>
        <row r="1474">
          <cell r="G1474" t="str">
            <v>ZKAD14-M-L21-B2</v>
          </cell>
        </row>
        <row r="1474">
          <cell r="I1474">
            <v>79.9503</v>
          </cell>
          <cell r="J1474">
            <v>7.00229</v>
          </cell>
        </row>
        <row r="1474">
          <cell r="AA1474" t="str">
            <v>2T2R</v>
          </cell>
        </row>
        <row r="1475">
          <cell r="E1475" t="str">
            <v>ZKAD14</v>
          </cell>
        </row>
        <row r="1475">
          <cell r="G1475" t="str">
            <v>ZKAD14-M-L21-A2</v>
          </cell>
        </row>
        <row r="1475">
          <cell r="I1475">
            <v>79.9503</v>
          </cell>
          <cell r="J1475">
            <v>7.00229</v>
          </cell>
        </row>
        <row r="1475">
          <cell r="AA1475" t="str">
            <v>2T2R</v>
          </cell>
        </row>
        <row r="1476">
          <cell r="E1476" t="str">
            <v>QGZTL1</v>
          </cell>
        </row>
        <row r="1476">
          <cell r="G1476" t="str">
            <v>QGZTL1G</v>
          </cell>
        </row>
        <row r="1476">
          <cell r="I1476">
            <v>79.9538667920673</v>
          </cell>
          <cell r="J1476">
            <v>6.96517566</v>
          </cell>
        </row>
        <row r="1476">
          <cell r="AA1476" t="str">
            <v>1T1R</v>
          </cell>
        </row>
        <row r="1477">
          <cell r="E1477" t="str">
            <v>ZBIY04</v>
          </cell>
        </row>
        <row r="1477">
          <cell r="G1477" t="str">
            <v>ZBIY04G</v>
          </cell>
        </row>
        <row r="1477">
          <cell r="I1477">
            <v>79.954</v>
          </cell>
          <cell r="J1477">
            <v>6.97547</v>
          </cell>
        </row>
        <row r="1477">
          <cell r="AA1477" t="str">
            <v>2T2R</v>
          </cell>
        </row>
        <row r="1478">
          <cell r="E1478" t="str">
            <v>ZBIY04</v>
          </cell>
        </row>
        <row r="1478">
          <cell r="G1478" t="str">
            <v>ZBIY04H</v>
          </cell>
        </row>
        <row r="1478">
          <cell r="I1478">
            <v>79.954</v>
          </cell>
          <cell r="J1478">
            <v>6.97547</v>
          </cell>
        </row>
        <row r="1478">
          <cell r="AA1478" t="str">
            <v>4T4R</v>
          </cell>
        </row>
        <row r="1479">
          <cell r="E1479" t="str">
            <v>ZBIY04</v>
          </cell>
        </row>
        <row r="1479">
          <cell r="G1479" t="str">
            <v>ZBIY04I</v>
          </cell>
        </row>
        <row r="1479">
          <cell r="I1479">
            <v>79.954</v>
          </cell>
          <cell r="J1479">
            <v>6.97547</v>
          </cell>
        </row>
        <row r="1479">
          <cell r="AA1479" t="str">
            <v>2T2R</v>
          </cell>
        </row>
        <row r="1480">
          <cell r="E1480" t="str">
            <v>ZBIY04</v>
          </cell>
        </row>
        <row r="1480">
          <cell r="G1480" t="str">
            <v>ZBIY04-M-L85-C1</v>
          </cell>
        </row>
        <row r="1480">
          <cell r="I1480">
            <v>79.954</v>
          </cell>
          <cell r="J1480">
            <v>6.97547</v>
          </cell>
        </row>
        <row r="1480">
          <cell r="AA1480" t="str">
            <v>2T2R</v>
          </cell>
        </row>
        <row r="1481">
          <cell r="E1481" t="str">
            <v>ZBIY04</v>
          </cell>
        </row>
        <row r="1481">
          <cell r="G1481" t="str">
            <v>ZBIY04-M-L85-B1</v>
          </cell>
        </row>
        <row r="1481">
          <cell r="I1481">
            <v>79.954</v>
          </cell>
          <cell r="J1481">
            <v>6.97547</v>
          </cell>
        </row>
        <row r="1481">
          <cell r="AA1481" t="str">
            <v>2T2R</v>
          </cell>
        </row>
        <row r="1482">
          <cell r="E1482" t="str">
            <v>ZBIY04</v>
          </cell>
        </row>
        <row r="1482">
          <cell r="G1482" t="str">
            <v>ZBIY04-M-L85-A1</v>
          </cell>
        </row>
        <row r="1482">
          <cell r="I1482">
            <v>79.954</v>
          </cell>
          <cell r="J1482">
            <v>6.97547</v>
          </cell>
        </row>
        <row r="1482">
          <cell r="AA1482" t="str">
            <v>2T2R</v>
          </cell>
        </row>
        <row r="1483">
          <cell r="E1483" t="str">
            <v>ZBIY04</v>
          </cell>
        </row>
        <row r="1483">
          <cell r="G1483" t="str">
            <v>ZBIY04-M-L18-B1</v>
          </cell>
        </row>
        <row r="1483">
          <cell r="I1483">
            <v>79.954</v>
          </cell>
          <cell r="J1483">
            <v>6.97547</v>
          </cell>
        </row>
        <row r="1483">
          <cell r="AA1483" t="str">
            <v>4T4R</v>
          </cell>
        </row>
        <row r="1484">
          <cell r="E1484" t="str">
            <v>ZBIY04</v>
          </cell>
        </row>
        <row r="1484">
          <cell r="G1484" t="str">
            <v>ZBIY04-M-L21-C2</v>
          </cell>
        </row>
        <row r="1484">
          <cell r="I1484">
            <v>79.954</v>
          </cell>
          <cell r="J1484">
            <v>6.97547</v>
          </cell>
        </row>
        <row r="1484">
          <cell r="AA1484" t="str">
            <v>2T2R</v>
          </cell>
        </row>
        <row r="1485">
          <cell r="E1485" t="str">
            <v>ZBIY04</v>
          </cell>
        </row>
        <row r="1485">
          <cell r="G1485" t="str">
            <v>ZBIY04-M-L21-B2</v>
          </cell>
        </row>
        <row r="1485">
          <cell r="I1485">
            <v>79.954</v>
          </cell>
          <cell r="J1485">
            <v>6.97547</v>
          </cell>
        </row>
        <row r="1485">
          <cell r="AA1485" t="str">
            <v>4T4R</v>
          </cell>
        </row>
        <row r="1486">
          <cell r="E1486" t="str">
            <v>ZBIY04</v>
          </cell>
        </row>
        <row r="1486">
          <cell r="G1486" t="str">
            <v>ZBIY04-M-L21-A2</v>
          </cell>
        </row>
        <row r="1486">
          <cell r="I1486">
            <v>79.954</v>
          </cell>
          <cell r="J1486">
            <v>6.97547</v>
          </cell>
        </row>
        <row r="1486">
          <cell r="AA1486" t="str">
            <v>2T2R</v>
          </cell>
        </row>
        <row r="1487">
          <cell r="E1487" t="str">
            <v>ZBIY04</v>
          </cell>
        </row>
        <row r="1487">
          <cell r="G1487" t="str">
            <v>ZBIY04-M-L18-G1</v>
          </cell>
        </row>
        <row r="1487">
          <cell r="I1487">
            <v>79.954</v>
          </cell>
          <cell r="J1487">
            <v>6.97547</v>
          </cell>
        </row>
        <row r="1487">
          <cell r="AA1487" t="str">
            <v>2T2R</v>
          </cell>
        </row>
        <row r="1488">
          <cell r="E1488" t="str">
            <v>ZBIY04</v>
          </cell>
        </row>
        <row r="1488">
          <cell r="G1488" t="str">
            <v>ZBIY04-M-L21-B1</v>
          </cell>
        </row>
        <row r="1488">
          <cell r="I1488">
            <v>79.954</v>
          </cell>
          <cell r="J1488">
            <v>6.97547</v>
          </cell>
        </row>
        <row r="1488">
          <cell r="AA1488" t="str">
            <v>4T4R</v>
          </cell>
        </row>
        <row r="1489">
          <cell r="E1489" t="str">
            <v>LGM044</v>
          </cell>
        </row>
        <row r="1489">
          <cell r="G1489" t="str">
            <v>LGM044I</v>
          </cell>
        </row>
        <row r="1489">
          <cell r="I1489">
            <v>79.95453</v>
          </cell>
          <cell r="J1489">
            <v>7.059133</v>
          </cell>
        </row>
        <row r="1489">
          <cell r="AA1489" t="str">
            <v>2T2R</v>
          </cell>
        </row>
        <row r="1490">
          <cell r="E1490" t="str">
            <v>LGM044</v>
          </cell>
        </row>
        <row r="1490">
          <cell r="G1490" t="str">
            <v>LGM044H</v>
          </cell>
        </row>
        <row r="1490">
          <cell r="I1490">
            <v>79.95453</v>
          </cell>
          <cell r="J1490">
            <v>7.059133</v>
          </cell>
        </row>
        <row r="1490">
          <cell r="AA1490" t="str">
            <v>2T2R</v>
          </cell>
        </row>
        <row r="1491">
          <cell r="E1491" t="str">
            <v>LGM044</v>
          </cell>
        </row>
        <row r="1491">
          <cell r="G1491" t="str">
            <v>LGM044G</v>
          </cell>
        </row>
        <row r="1491">
          <cell r="I1491">
            <v>79.95453</v>
          </cell>
          <cell r="J1491">
            <v>7.059133</v>
          </cell>
        </row>
        <row r="1491">
          <cell r="AA1491" t="str">
            <v>2T2R</v>
          </cell>
        </row>
        <row r="1492">
          <cell r="E1492" t="str">
            <v>ZKAD02</v>
          </cell>
        </row>
        <row r="1492">
          <cell r="G1492" t="str">
            <v>ZKAD02I</v>
          </cell>
        </row>
        <row r="1492">
          <cell r="I1492">
            <v>79.9549</v>
          </cell>
          <cell r="J1492">
            <v>7.00277</v>
          </cell>
        </row>
        <row r="1492">
          <cell r="AA1492" t="str">
            <v>4T4R</v>
          </cell>
        </row>
        <row r="1493">
          <cell r="E1493" t="str">
            <v>ZKAD02</v>
          </cell>
        </row>
        <row r="1493">
          <cell r="G1493" t="str">
            <v>ZKAD02H</v>
          </cell>
        </row>
        <row r="1493">
          <cell r="I1493">
            <v>79.9549</v>
          </cell>
          <cell r="J1493">
            <v>7.00277</v>
          </cell>
        </row>
        <row r="1493">
          <cell r="AA1493" t="str">
            <v>4T4R</v>
          </cell>
        </row>
        <row r="1494">
          <cell r="E1494" t="str">
            <v>ZKAD02</v>
          </cell>
        </row>
        <row r="1494">
          <cell r="G1494" t="str">
            <v>ZKAD02G</v>
          </cell>
        </row>
        <row r="1494">
          <cell r="I1494">
            <v>79.9549</v>
          </cell>
          <cell r="J1494">
            <v>7.00277</v>
          </cell>
        </row>
        <row r="1494">
          <cell r="AA1494" t="str">
            <v>4T4R</v>
          </cell>
        </row>
        <row r="1495">
          <cell r="E1495" t="str">
            <v>ZKAD02</v>
          </cell>
        </row>
        <row r="1495">
          <cell r="G1495" t="str">
            <v>ZKAD02F</v>
          </cell>
        </row>
        <row r="1495">
          <cell r="I1495">
            <v>79.9549</v>
          </cell>
          <cell r="J1495">
            <v>7.00277</v>
          </cell>
        </row>
        <row r="1495">
          <cell r="AA1495" t="str">
            <v>2T2R</v>
          </cell>
        </row>
        <row r="1496">
          <cell r="E1496" t="str">
            <v>ZKAD02</v>
          </cell>
        </row>
        <row r="1496">
          <cell r="G1496" t="str">
            <v>ZKAD02-M-L85-A1</v>
          </cell>
        </row>
        <row r="1496">
          <cell r="I1496">
            <v>79.9549</v>
          </cell>
          <cell r="J1496">
            <v>7.00277</v>
          </cell>
        </row>
        <row r="1496">
          <cell r="AA1496" t="str">
            <v>2T2R</v>
          </cell>
        </row>
        <row r="1497">
          <cell r="E1497" t="str">
            <v>ZKAD02</v>
          </cell>
        </row>
        <row r="1497">
          <cell r="G1497" t="str">
            <v>ZKAD02-M-L85-B1</v>
          </cell>
        </row>
        <row r="1497">
          <cell r="I1497">
            <v>79.9549</v>
          </cell>
          <cell r="J1497">
            <v>7.00277</v>
          </cell>
        </row>
        <row r="1497">
          <cell r="AA1497" t="str">
            <v>2T2R</v>
          </cell>
        </row>
        <row r="1498">
          <cell r="E1498" t="str">
            <v>ZKAD02</v>
          </cell>
        </row>
        <row r="1498">
          <cell r="G1498" t="str">
            <v>ZKAD02-M-L85-C1</v>
          </cell>
        </row>
        <row r="1498">
          <cell r="I1498">
            <v>79.9549</v>
          </cell>
          <cell r="J1498">
            <v>7.00277</v>
          </cell>
        </row>
        <row r="1498">
          <cell r="AA1498" t="str">
            <v>2T2R</v>
          </cell>
        </row>
        <row r="1499">
          <cell r="E1499" t="str">
            <v>ZKAD02</v>
          </cell>
        </row>
        <row r="1499">
          <cell r="G1499" t="str">
            <v>ZKAD02-M-L21-B2</v>
          </cell>
        </row>
        <row r="1499">
          <cell r="I1499">
            <v>79.9549</v>
          </cell>
          <cell r="J1499">
            <v>7.00277</v>
          </cell>
        </row>
        <row r="1499">
          <cell r="AA1499" t="str">
            <v>2T2R</v>
          </cell>
        </row>
        <row r="1500">
          <cell r="E1500" t="str">
            <v>ZKAD02</v>
          </cell>
        </row>
        <row r="1500">
          <cell r="G1500" t="str">
            <v>ZKAD02-M-L21-A2</v>
          </cell>
        </row>
        <row r="1500">
          <cell r="I1500">
            <v>79.9549</v>
          </cell>
          <cell r="J1500">
            <v>7.00277</v>
          </cell>
        </row>
        <row r="1500">
          <cell r="AA1500" t="str">
            <v>2T2R</v>
          </cell>
        </row>
        <row r="1501">
          <cell r="E1501" t="str">
            <v>ZKAD02</v>
          </cell>
        </row>
        <row r="1501">
          <cell r="G1501" t="str">
            <v>ZKAD02-M-L23-C1</v>
          </cell>
        </row>
        <row r="1501">
          <cell r="I1501">
            <v>79.9549</v>
          </cell>
          <cell r="J1501">
            <v>7.00277</v>
          </cell>
        </row>
        <row r="1501">
          <cell r="AA1501" t="str">
            <v>4T4R</v>
          </cell>
        </row>
        <row r="1502">
          <cell r="E1502" t="str">
            <v>ZKAD02</v>
          </cell>
        </row>
        <row r="1502">
          <cell r="G1502" t="str">
            <v>ZKAD02-M-L23-B1</v>
          </cell>
        </row>
        <row r="1502">
          <cell r="I1502">
            <v>79.9549</v>
          </cell>
          <cell r="J1502">
            <v>7.00277</v>
          </cell>
        </row>
        <row r="1502">
          <cell r="AA1502" t="str">
            <v>4T4R</v>
          </cell>
        </row>
        <row r="1503">
          <cell r="E1503" t="str">
            <v>ZKAD02</v>
          </cell>
        </row>
        <row r="1503">
          <cell r="G1503" t="str">
            <v>ZKAD02-M-L23-A1</v>
          </cell>
        </row>
        <row r="1503">
          <cell r="I1503">
            <v>79.9549</v>
          </cell>
          <cell r="J1503">
            <v>7.00277</v>
          </cell>
        </row>
        <row r="1503">
          <cell r="AA1503" t="str">
            <v>4T4R</v>
          </cell>
        </row>
        <row r="1504">
          <cell r="E1504" t="str">
            <v>ZKAD21</v>
          </cell>
        </row>
        <row r="1504">
          <cell r="G1504" t="str">
            <v>ZKAD21-M-L21-B2</v>
          </cell>
        </row>
        <row r="1504">
          <cell r="I1504">
            <v>79.955961</v>
          </cell>
          <cell r="J1504">
            <v>7.020208</v>
          </cell>
        </row>
        <row r="1504">
          <cell r="AA1504" t="str">
            <v>2T2R</v>
          </cell>
        </row>
        <row r="1505">
          <cell r="E1505" t="str">
            <v>ZKAD21</v>
          </cell>
        </row>
        <row r="1505">
          <cell r="G1505" t="str">
            <v>ZKAD21I</v>
          </cell>
        </row>
        <row r="1505">
          <cell r="I1505">
            <v>79.955961</v>
          </cell>
          <cell r="J1505">
            <v>7.020208</v>
          </cell>
        </row>
        <row r="1505">
          <cell r="AA1505" t="str">
            <v>2T2R</v>
          </cell>
        </row>
        <row r="1506">
          <cell r="E1506" t="str">
            <v>ZKAD21</v>
          </cell>
        </row>
        <row r="1506">
          <cell r="G1506" t="str">
            <v>ZKAD21H</v>
          </cell>
        </row>
        <row r="1506">
          <cell r="I1506">
            <v>79.955961</v>
          </cell>
          <cell r="J1506">
            <v>7.020208</v>
          </cell>
        </row>
        <row r="1506">
          <cell r="AA1506" t="str">
            <v>2T2R</v>
          </cell>
        </row>
        <row r="1507">
          <cell r="E1507" t="str">
            <v>ZKAD21</v>
          </cell>
        </row>
        <row r="1507">
          <cell r="G1507" t="str">
            <v>ZKAD21G</v>
          </cell>
        </row>
        <row r="1507">
          <cell r="I1507">
            <v>79.955961</v>
          </cell>
          <cell r="J1507">
            <v>7.020208</v>
          </cell>
        </row>
        <row r="1507">
          <cell r="AA1507" t="str">
            <v>2T2R</v>
          </cell>
        </row>
        <row r="1508">
          <cell r="E1508" t="str">
            <v>ZKAD08</v>
          </cell>
        </row>
        <row r="1508">
          <cell r="G1508" t="str">
            <v>ZKAD08-M-L18-C1</v>
          </cell>
        </row>
        <row r="1508">
          <cell r="I1508">
            <v>79.9561</v>
          </cell>
          <cell r="J1508">
            <v>7.04469</v>
          </cell>
        </row>
        <row r="1508">
          <cell r="AA1508" t="str">
            <v>2T2R</v>
          </cell>
        </row>
        <row r="1509">
          <cell r="E1509" t="str">
            <v>ZKAD08</v>
          </cell>
        </row>
        <row r="1509">
          <cell r="G1509" t="str">
            <v>ZKAD08-M-L18-E1</v>
          </cell>
        </row>
        <row r="1509">
          <cell r="I1509">
            <v>79.9561</v>
          </cell>
          <cell r="J1509">
            <v>7.04469</v>
          </cell>
        </row>
        <row r="1509">
          <cell r="AA1509" t="str">
            <v>2T2R</v>
          </cell>
        </row>
        <row r="1510">
          <cell r="E1510" t="str">
            <v>ZKAD08</v>
          </cell>
        </row>
        <row r="1510">
          <cell r="G1510" t="str">
            <v>ZKAD08-M-L21-C2</v>
          </cell>
        </row>
        <row r="1510">
          <cell r="I1510">
            <v>79.9561</v>
          </cell>
          <cell r="J1510">
            <v>7.04469</v>
          </cell>
        </row>
        <row r="1510">
          <cell r="AA1510" t="str">
            <v>2T2R</v>
          </cell>
        </row>
        <row r="1511">
          <cell r="E1511" t="str">
            <v>ZKAD08</v>
          </cell>
        </row>
        <row r="1511">
          <cell r="G1511" t="str">
            <v>ZKAD08-M-L21-A2</v>
          </cell>
        </row>
        <row r="1511">
          <cell r="I1511">
            <v>79.9561</v>
          </cell>
          <cell r="J1511">
            <v>7.04469</v>
          </cell>
        </row>
        <row r="1511">
          <cell r="AA1511" t="str">
            <v>2T2R</v>
          </cell>
        </row>
        <row r="1512">
          <cell r="E1512" t="str">
            <v>ZKAD08</v>
          </cell>
        </row>
        <row r="1512">
          <cell r="G1512" t="str">
            <v>ZKAD08-M-L21-B2</v>
          </cell>
        </row>
        <row r="1512">
          <cell r="I1512">
            <v>79.9561</v>
          </cell>
          <cell r="J1512">
            <v>7.04469</v>
          </cell>
        </row>
        <row r="1512">
          <cell r="AA1512" t="str">
            <v>2T2R</v>
          </cell>
        </row>
        <row r="1513">
          <cell r="E1513" t="str">
            <v>ZKAD08</v>
          </cell>
        </row>
        <row r="1513">
          <cell r="G1513" t="str">
            <v>ZKAD08I</v>
          </cell>
        </row>
        <row r="1513">
          <cell r="I1513">
            <v>79.9561</v>
          </cell>
          <cell r="J1513">
            <v>7.04469</v>
          </cell>
        </row>
        <row r="1513">
          <cell r="AA1513" t="str">
            <v>4T4R</v>
          </cell>
        </row>
        <row r="1514">
          <cell r="E1514" t="str">
            <v>ZKAD08</v>
          </cell>
        </row>
        <row r="1514">
          <cell r="G1514" t="str">
            <v>ZKAD08H</v>
          </cell>
        </row>
        <row r="1514">
          <cell r="I1514">
            <v>79.9561</v>
          </cell>
          <cell r="J1514">
            <v>7.04469</v>
          </cell>
        </row>
        <row r="1514">
          <cell r="AA1514" t="str">
            <v>2T2R</v>
          </cell>
        </row>
        <row r="1515">
          <cell r="E1515" t="str">
            <v>ZKAD08</v>
          </cell>
        </row>
        <row r="1515">
          <cell r="G1515" t="str">
            <v>ZKAD08G</v>
          </cell>
        </row>
        <row r="1515">
          <cell r="I1515">
            <v>79.9561</v>
          </cell>
          <cell r="J1515">
            <v>7.04469</v>
          </cell>
        </row>
        <row r="1515">
          <cell r="AA1515" t="str">
            <v>4T4R</v>
          </cell>
        </row>
        <row r="1516">
          <cell r="E1516" t="str">
            <v>ZKAD08</v>
          </cell>
        </row>
        <row r="1516">
          <cell r="G1516" t="str">
            <v>ZKAD08-M-L85-C1</v>
          </cell>
        </row>
        <row r="1516">
          <cell r="I1516">
            <v>79.9561</v>
          </cell>
          <cell r="J1516">
            <v>7.04469</v>
          </cell>
        </row>
        <row r="1516">
          <cell r="AA1516" t="str">
            <v>2T2R</v>
          </cell>
        </row>
        <row r="1517">
          <cell r="E1517" t="str">
            <v>ZKAD08</v>
          </cell>
        </row>
        <row r="1517">
          <cell r="G1517" t="str">
            <v>ZKAD08-M-L85-B1</v>
          </cell>
        </row>
        <row r="1517">
          <cell r="I1517">
            <v>79.9561</v>
          </cell>
          <cell r="J1517">
            <v>7.04469</v>
          </cell>
        </row>
        <row r="1517">
          <cell r="AA1517" t="str">
            <v>2T2R</v>
          </cell>
        </row>
        <row r="1518">
          <cell r="E1518" t="str">
            <v>ZKAD08</v>
          </cell>
        </row>
        <row r="1518">
          <cell r="G1518" t="str">
            <v>ZKAD08-M-L85-A1</v>
          </cell>
        </row>
        <row r="1518">
          <cell r="I1518">
            <v>79.9561</v>
          </cell>
          <cell r="J1518">
            <v>7.04469</v>
          </cell>
        </row>
        <row r="1518">
          <cell r="AA1518" t="str">
            <v>2T2R</v>
          </cell>
        </row>
        <row r="1519">
          <cell r="E1519" t="str">
            <v>ZBIY17</v>
          </cell>
        </row>
        <row r="1519">
          <cell r="G1519" t="str">
            <v>ZBIY17I</v>
          </cell>
        </row>
        <row r="1519">
          <cell r="I1519">
            <v>79.9572</v>
          </cell>
          <cell r="J1519">
            <v>6.94987</v>
          </cell>
        </row>
        <row r="1519">
          <cell r="AA1519" t="str">
            <v>2T4R</v>
          </cell>
        </row>
        <row r="1520">
          <cell r="E1520" t="str">
            <v>ZBIY17</v>
          </cell>
        </row>
        <row r="1520">
          <cell r="G1520" t="str">
            <v>ZBIY17H</v>
          </cell>
        </row>
        <row r="1520">
          <cell r="I1520">
            <v>79.9572</v>
          </cell>
          <cell r="J1520">
            <v>6.94987</v>
          </cell>
        </row>
        <row r="1520">
          <cell r="AA1520" t="str">
            <v>2T4R</v>
          </cell>
        </row>
        <row r="1521">
          <cell r="E1521" t="str">
            <v>ZBIY17</v>
          </cell>
        </row>
        <row r="1521">
          <cell r="G1521" t="str">
            <v>ZBIY17G</v>
          </cell>
        </row>
        <row r="1521">
          <cell r="I1521">
            <v>79.9572</v>
          </cell>
          <cell r="J1521">
            <v>6.94987</v>
          </cell>
        </row>
        <row r="1521">
          <cell r="AA1521" t="str">
            <v>2T4R</v>
          </cell>
        </row>
        <row r="1522">
          <cell r="E1522" t="str">
            <v>ZBIY17</v>
          </cell>
        </row>
        <row r="1522">
          <cell r="G1522" t="str">
            <v>ZBIY17-M-L85-C1</v>
          </cell>
        </row>
        <row r="1522">
          <cell r="I1522">
            <v>79.9572</v>
          </cell>
          <cell r="J1522">
            <v>6.94987</v>
          </cell>
        </row>
        <row r="1522">
          <cell r="AA1522" t="str">
            <v>2T2R</v>
          </cell>
        </row>
        <row r="1523">
          <cell r="E1523" t="str">
            <v>ZBIY17</v>
          </cell>
        </row>
        <row r="1523">
          <cell r="G1523" t="str">
            <v>ZBIY17-M-L85-B1</v>
          </cell>
        </row>
        <row r="1523">
          <cell r="I1523">
            <v>79.9572</v>
          </cell>
          <cell r="J1523">
            <v>6.94987</v>
          </cell>
        </row>
        <row r="1523">
          <cell r="AA1523" t="str">
            <v>2T2R</v>
          </cell>
        </row>
        <row r="1524">
          <cell r="E1524" t="str">
            <v>ZBIY17</v>
          </cell>
        </row>
        <row r="1524">
          <cell r="G1524" t="str">
            <v>ZBIY17-M-L85-A1</v>
          </cell>
        </row>
        <row r="1524">
          <cell r="I1524">
            <v>79.9572</v>
          </cell>
          <cell r="J1524">
            <v>6.94987</v>
          </cell>
        </row>
        <row r="1524">
          <cell r="AA1524" t="str">
            <v>2T2R</v>
          </cell>
        </row>
        <row r="1525">
          <cell r="E1525" t="str">
            <v>ZBIY17</v>
          </cell>
        </row>
        <row r="1525">
          <cell r="G1525" t="str">
            <v>ZBIY17-M-L21-C2</v>
          </cell>
        </row>
        <row r="1525">
          <cell r="I1525">
            <v>79.9572</v>
          </cell>
          <cell r="J1525">
            <v>6.94987</v>
          </cell>
        </row>
        <row r="1525">
          <cell r="AA1525" t="str">
            <v>2T2R</v>
          </cell>
        </row>
        <row r="1526">
          <cell r="E1526" t="str">
            <v>ZBIY17</v>
          </cell>
        </row>
        <row r="1526">
          <cell r="G1526" t="str">
            <v>ZBIY17-M-L21-B2</v>
          </cell>
        </row>
        <row r="1526">
          <cell r="I1526">
            <v>79.9572</v>
          </cell>
          <cell r="J1526">
            <v>6.94987</v>
          </cell>
        </row>
        <row r="1526">
          <cell r="AA1526" t="str">
            <v>2T2R</v>
          </cell>
        </row>
        <row r="1527">
          <cell r="E1527" t="str">
            <v>GMNLP1</v>
          </cell>
        </row>
        <row r="1527">
          <cell r="G1527" t="str">
            <v>GMNLP1-M-L85-C1</v>
          </cell>
        </row>
        <row r="1527">
          <cell r="I1527">
            <v>79.9572</v>
          </cell>
          <cell r="J1527">
            <v>7.1933</v>
          </cell>
        </row>
        <row r="1527">
          <cell r="AA1527" t="str">
            <v>2T2R</v>
          </cell>
        </row>
        <row r="1528">
          <cell r="E1528" t="str">
            <v>GMNLP1</v>
          </cell>
        </row>
        <row r="1528">
          <cell r="G1528" t="str">
            <v>GMNLP1-M-L85-B1</v>
          </cell>
        </row>
        <row r="1528">
          <cell r="I1528">
            <v>79.9572</v>
          </cell>
          <cell r="J1528">
            <v>7.1933</v>
          </cell>
        </row>
        <row r="1528">
          <cell r="AA1528" t="str">
            <v>2T2R</v>
          </cell>
        </row>
        <row r="1529">
          <cell r="E1529" t="str">
            <v>GMNLP1</v>
          </cell>
        </row>
        <row r="1529">
          <cell r="G1529" t="str">
            <v>GMNLP1-M-L85-A1</v>
          </cell>
        </row>
        <row r="1529">
          <cell r="I1529">
            <v>79.9572</v>
          </cell>
          <cell r="J1529">
            <v>7.1933</v>
          </cell>
        </row>
        <row r="1529">
          <cell r="AA1529" t="str">
            <v>2T2R</v>
          </cell>
        </row>
        <row r="1530">
          <cell r="E1530" t="str">
            <v>ZKAD28</v>
          </cell>
        </row>
        <row r="1530">
          <cell r="G1530" t="str">
            <v>ZKAD28I</v>
          </cell>
        </row>
        <row r="1530">
          <cell r="I1530">
            <v>79.9577</v>
          </cell>
          <cell r="J1530">
            <v>7.01066</v>
          </cell>
        </row>
        <row r="1530">
          <cell r="AA1530" t="str">
            <v>4T4R</v>
          </cell>
        </row>
        <row r="1531">
          <cell r="E1531" t="str">
            <v>ZKAD28</v>
          </cell>
        </row>
        <row r="1531">
          <cell r="G1531" t="str">
            <v>ZKAD28H</v>
          </cell>
        </row>
        <row r="1531">
          <cell r="I1531">
            <v>79.9577</v>
          </cell>
          <cell r="J1531">
            <v>7.01066</v>
          </cell>
        </row>
        <row r="1531">
          <cell r="AA1531" t="str">
            <v>4T4R</v>
          </cell>
        </row>
        <row r="1532">
          <cell r="E1532" t="str">
            <v>ZKAD28</v>
          </cell>
        </row>
        <row r="1532">
          <cell r="G1532" t="str">
            <v>ZKAD28G</v>
          </cell>
        </row>
        <row r="1532">
          <cell r="I1532">
            <v>79.9577</v>
          </cell>
          <cell r="J1532">
            <v>7.01066</v>
          </cell>
        </row>
        <row r="1532">
          <cell r="AA1532" t="str">
            <v>4T4R</v>
          </cell>
        </row>
        <row r="1533">
          <cell r="E1533" t="str">
            <v>GMGAM4</v>
          </cell>
        </row>
        <row r="1533">
          <cell r="G1533" t="str">
            <v>GMGAM4-M-L21-C2</v>
          </cell>
        </row>
        <row r="1533">
          <cell r="I1533">
            <v>79.958</v>
          </cell>
          <cell r="J1533">
            <v>7.12256</v>
          </cell>
        </row>
        <row r="1533">
          <cell r="AA1533" t="str">
            <v>2T2R</v>
          </cell>
        </row>
        <row r="1534">
          <cell r="E1534" t="str">
            <v>GMGAM4</v>
          </cell>
        </row>
        <row r="1534">
          <cell r="G1534" t="str">
            <v>GMGAM4-M-L21-B2</v>
          </cell>
        </row>
        <row r="1534">
          <cell r="I1534">
            <v>79.958</v>
          </cell>
          <cell r="J1534">
            <v>7.12256</v>
          </cell>
        </row>
        <row r="1534">
          <cell r="AA1534" t="str">
            <v>2T2R</v>
          </cell>
        </row>
        <row r="1535">
          <cell r="E1535" t="str">
            <v>GMGAM4</v>
          </cell>
        </row>
        <row r="1535">
          <cell r="G1535" t="str">
            <v>GMGAM4-M-L21-A2</v>
          </cell>
        </row>
        <row r="1535">
          <cell r="I1535">
            <v>79.958</v>
          </cell>
          <cell r="J1535">
            <v>7.12256</v>
          </cell>
        </row>
        <row r="1535">
          <cell r="AA1535" t="str">
            <v>2T2R</v>
          </cell>
        </row>
        <row r="1536">
          <cell r="E1536" t="str">
            <v>GMGAM4</v>
          </cell>
        </row>
        <row r="1536">
          <cell r="G1536" t="str">
            <v>GMGAM4I</v>
          </cell>
        </row>
        <row r="1536">
          <cell r="I1536">
            <v>79.958</v>
          </cell>
          <cell r="J1536">
            <v>7.12256</v>
          </cell>
        </row>
        <row r="1536">
          <cell r="AA1536" t="str">
            <v>4T4R</v>
          </cell>
        </row>
        <row r="1537">
          <cell r="E1537" t="str">
            <v>GMGAM4</v>
          </cell>
        </row>
        <row r="1537">
          <cell r="G1537" t="str">
            <v>GMGAM4H</v>
          </cell>
        </row>
        <row r="1537">
          <cell r="I1537">
            <v>79.958</v>
          </cell>
          <cell r="J1537">
            <v>7.12256</v>
          </cell>
        </row>
        <row r="1537">
          <cell r="AA1537" t="str">
            <v>4T4R</v>
          </cell>
        </row>
        <row r="1538">
          <cell r="E1538" t="str">
            <v>GMGAM4</v>
          </cell>
        </row>
        <row r="1538">
          <cell r="G1538" t="str">
            <v>GMGAM4G</v>
          </cell>
        </row>
        <row r="1538">
          <cell r="I1538">
            <v>79.958</v>
          </cell>
          <cell r="J1538">
            <v>7.12256</v>
          </cell>
        </row>
        <row r="1538">
          <cell r="AA1538" t="str">
            <v>4T4R</v>
          </cell>
        </row>
        <row r="1539">
          <cell r="E1539" t="str">
            <v>GMGAM4</v>
          </cell>
        </row>
        <row r="1539">
          <cell r="G1539" t="str">
            <v>GMGAM4-M-L85-C1</v>
          </cell>
        </row>
        <row r="1539">
          <cell r="I1539">
            <v>79.958</v>
          </cell>
          <cell r="J1539">
            <v>7.12256</v>
          </cell>
        </row>
        <row r="1539">
          <cell r="AA1539" t="str">
            <v>2T2R</v>
          </cell>
        </row>
        <row r="1540">
          <cell r="E1540" t="str">
            <v>GMGAM4</v>
          </cell>
        </row>
        <row r="1540">
          <cell r="G1540" t="str">
            <v>GMGAM4-M-L85-B1</v>
          </cell>
        </row>
        <row r="1540">
          <cell r="I1540">
            <v>79.958</v>
          </cell>
          <cell r="J1540">
            <v>7.12256</v>
          </cell>
        </row>
        <row r="1540">
          <cell r="AA1540" t="str">
            <v>2T2R</v>
          </cell>
        </row>
        <row r="1541">
          <cell r="E1541" t="str">
            <v>GMGAM4</v>
          </cell>
        </row>
        <row r="1541">
          <cell r="G1541" t="str">
            <v>GMGAM4-M-L85-A1</v>
          </cell>
        </row>
        <row r="1541">
          <cell r="I1541">
            <v>79.958</v>
          </cell>
          <cell r="J1541">
            <v>7.12256</v>
          </cell>
        </row>
        <row r="1541">
          <cell r="AA1541" t="str">
            <v>2T2R</v>
          </cell>
        </row>
        <row r="1542">
          <cell r="E1542" t="str">
            <v>ZKAD12</v>
          </cell>
        </row>
        <row r="1542">
          <cell r="G1542" t="str">
            <v>ZKAD12-M-L85-C1</v>
          </cell>
        </row>
        <row r="1542">
          <cell r="I1542">
            <v>79.9587</v>
          </cell>
          <cell r="J1542">
            <v>6.98696</v>
          </cell>
        </row>
        <row r="1542">
          <cell r="AA1542" t="str">
            <v>2T2R</v>
          </cell>
        </row>
        <row r="1543">
          <cell r="E1543" t="str">
            <v>ZKAD12</v>
          </cell>
        </row>
        <row r="1543">
          <cell r="G1543" t="str">
            <v>ZKAD12-M-L85-B1</v>
          </cell>
        </row>
        <row r="1543">
          <cell r="I1543">
            <v>79.9587</v>
          </cell>
          <cell r="J1543">
            <v>6.98696</v>
          </cell>
        </row>
        <row r="1543">
          <cell r="AA1543" t="str">
            <v>2T2R</v>
          </cell>
        </row>
        <row r="1544">
          <cell r="E1544" t="str">
            <v>ZKAD12</v>
          </cell>
        </row>
        <row r="1544">
          <cell r="G1544" t="str">
            <v>ZKAD12-M-L85-A1</v>
          </cell>
        </row>
        <row r="1544">
          <cell r="I1544">
            <v>79.9587</v>
          </cell>
          <cell r="J1544">
            <v>6.98696</v>
          </cell>
        </row>
        <row r="1544">
          <cell r="AA1544" t="str">
            <v>2T2R</v>
          </cell>
        </row>
        <row r="1545">
          <cell r="E1545" t="str">
            <v>ZKAD12</v>
          </cell>
        </row>
        <row r="1545">
          <cell r="G1545" t="str">
            <v>ZKAD12-M-L21-C2</v>
          </cell>
        </row>
        <row r="1545">
          <cell r="I1545">
            <v>79.9587</v>
          </cell>
          <cell r="J1545">
            <v>6.98696</v>
          </cell>
        </row>
        <row r="1545">
          <cell r="AA1545" t="str">
            <v>2T2R</v>
          </cell>
        </row>
        <row r="1546">
          <cell r="E1546" t="str">
            <v>ZKAD12</v>
          </cell>
        </row>
        <row r="1546">
          <cell r="G1546" t="str">
            <v>ZKAD12-M-L21-B2</v>
          </cell>
        </row>
        <row r="1546">
          <cell r="I1546">
            <v>79.9587</v>
          </cell>
          <cell r="J1546">
            <v>6.98696</v>
          </cell>
        </row>
        <row r="1546">
          <cell r="AA1546" t="str">
            <v>2T2R</v>
          </cell>
        </row>
        <row r="1547">
          <cell r="E1547" t="str">
            <v>ZKAD12</v>
          </cell>
        </row>
        <row r="1547">
          <cell r="G1547" t="str">
            <v>ZKAD12-M-L21-A2</v>
          </cell>
        </row>
        <row r="1547">
          <cell r="I1547">
            <v>79.9587</v>
          </cell>
          <cell r="J1547">
            <v>6.98696</v>
          </cell>
        </row>
        <row r="1547">
          <cell r="AA1547" t="str">
            <v>8T8R</v>
          </cell>
        </row>
        <row r="1548">
          <cell r="E1548" t="str">
            <v>ZKAD12</v>
          </cell>
        </row>
        <row r="1548">
          <cell r="G1548" t="str">
            <v>ZKAD12I</v>
          </cell>
        </row>
        <row r="1548">
          <cell r="I1548">
            <v>79.9587</v>
          </cell>
          <cell r="J1548">
            <v>6.98696</v>
          </cell>
        </row>
        <row r="1548">
          <cell r="AA1548" t="str">
            <v>4T4R</v>
          </cell>
        </row>
        <row r="1549">
          <cell r="E1549" t="str">
            <v>ZKAD12</v>
          </cell>
        </row>
        <row r="1549">
          <cell r="G1549" t="str">
            <v>ZKAD12H</v>
          </cell>
        </row>
        <row r="1549">
          <cell r="I1549">
            <v>79.9587</v>
          </cell>
          <cell r="J1549">
            <v>6.98696</v>
          </cell>
        </row>
        <row r="1549">
          <cell r="AA1549" t="str">
            <v>4T4R</v>
          </cell>
        </row>
        <row r="1550">
          <cell r="E1550" t="str">
            <v>ZKAD12</v>
          </cell>
        </row>
        <row r="1550">
          <cell r="G1550" t="str">
            <v>ZKAD12G</v>
          </cell>
        </row>
        <row r="1550">
          <cell r="I1550">
            <v>79.9587</v>
          </cell>
          <cell r="J1550">
            <v>6.98696</v>
          </cell>
        </row>
        <row r="1550">
          <cell r="AA1550" t="str">
            <v>8T8R</v>
          </cell>
        </row>
        <row r="1551">
          <cell r="E1551" t="str">
            <v>ZBIY51</v>
          </cell>
        </row>
        <row r="1551">
          <cell r="G1551" t="str">
            <v>ZBIY51I</v>
          </cell>
        </row>
        <row r="1551">
          <cell r="I1551">
            <v>79.959167</v>
          </cell>
          <cell r="J1551">
            <v>6.980278</v>
          </cell>
        </row>
        <row r="1551">
          <cell r="AA1551" t="str">
            <v>4T4R</v>
          </cell>
        </row>
        <row r="1552">
          <cell r="E1552" t="str">
            <v>ZBIY51</v>
          </cell>
        </row>
        <row r="1552">
          <cell r="G1552" t="str">
            <v>ZBIY51H</v>
          </cell>
        </row>
        <row r="1552">
          <cell r="I1552">
            <v>79.959167</v>
          </cell>
          <cell r="J1552">
            <v>6.980278</v>
          </cell>
        </row>
        <row r="1552">
          <cell r="AA1552" t="str">
            <v>4T4R</v>
          </cell>
        </row>
        <row r="1553">
          <cell r="E1553" t="str">
            <v>ZBIY51</v>
          </cell>
        </row>
        <row r="1553">
          <cell r="G1553" t="str">
            <v>ZBIY51G</v>
          </cell>
        </row>
        <row r="1553">
          <cell r="I1553">
            <v>79.959167</v>
          </cell>
          <cell r="J1553">
            <v>6.980278</v>
          </cell>
        </row>
        <row r="1553">
          <cell r="AA1553" t="str">
            <v>4T4R</v>
          </cell>
        </row>
        <row r="1554">
          <cell r="E1554" t="str">
            <v>ZBIY51</v>
          </cell>
        </row>
        <row r="1554">
          <cell r="G1554" t="str">
            <v>ZBIY51-M-L21-B2</v>
          </cell>
        </row>
        <row r="1554">
          <cell r="I1554">
            <v>79.959167</v>
          </cell>
          <cell r="J1554">
            <v>6.980278</v>
          </cell>
        </row>
        <row r="1554">
          <cell r="AA1554" t="str">
            <v>4T4R</v>
          </cell>
        </row>
        <row r="1555">
          <cell r="E1555" t="str">
            <v>ZKAD16</v>
          </cell>
        </row>
        <row r="1555">
          <cell r="G1555" t="str">
            <v>ZKAD16I</v>
          </cell>
        </row>
        <row r="1555">
          <cell r="I1555">
            <v>79.9596</v>
          </cell>
          <cell r="J1555">
            <v>7.0287</v>
          </cell>
        </row>
        <row r="1555">
          <cell r="AA1555" t="str">
            <v>4T4R</v>
          </cell>
        </row>
        <row r="1556">
          <cell r="E1556" t="str">
            <v>ZKAD16</v>
          </cell>
        </row>
        <row r="1556">
          <cell r="G1556" t="str">
            <v>ZKAD16H</v>
          </cell>
        </row>
        <row r="1556">
          <cell r="I1556">
            <v>79.9596</v>
          </cell>
          <cell r="J1556">
            <v>7.0287</v>
          </cell>
        </row>
        <row r="1556">
          <cell r="AA1556" t="str">
            <v>4T4R</v>
          </cell>
        </row>
        <row r="1557">
          <cell r="E1557" t="str">
            <v>ZKAD16</v>
          </cell>
        </row>
        <row r="1557">
          <cell r="G1557" t="str">
            <v>ZKAD16G</v>
          </cell>
        </row>
        <row r="1557">
          <cell r="I1557">
            <v>79.9596</v>
          </cell>
          <cell r="J1557">
            <v>7.0287</v>
          </cell>
        </row>
        <row r="1557">
          <cell r="AA1557" t="str">
            <v>4T4R</v>
          </cell>
        </row>
        <row r="1558">
          <cell r="E1558" t="str">
            <v>ZKAD16</v>
          </cell>
        </row>
        <row r="1558">
          <cell r="G1558" t="str">
            <v>ZKAD16-M-L21-C2</v>
          </cell>
        </row>
        <row r="1558">
          <cell r="I1558">
            <v>79.9596</v>
          </cell>
          <cell r="J1558">
            <v>7.0287</v>
          </cell>
        </row>
        <row r="1558">
          <cell r="AA1558" t="str">
            <v>4T4R</v>
          </cell>
        </row>
        <row r="1559">
          <cell r="E1559" t="str">
            <v>ZKAD16</v>
          </cell>
        </row>
        <row r="1559">
          <cell r="G1559" t="str">
            <v>ZKAD16-M-L21-B2</v>
          </cell>
        </row>
        <row r="1559">
          <cell r="I1559">
            <v>79.9596</v>
          </cell>
          <cell r="J1559">
            <v>7.0287</v>
          </cell>
        </row>
        <row r="1559">
          <cell r="AA1559" t="str">
            <v>2T2R</v>
          </cell>
        </row>
        <row r="1560">
          <cell r="E1560" t="str">
            <v>ZKAD16</v>
          </cell>
        </row>
        <row r="1560">
          <cell r="G1560" t="str">
            <v>ZKAD16-M-L21-A2</v>
          </cell>
        </row>
        <row r="1560">
          <cell r="I1560">
            <v>79.9596</v>
          </cell>
          <cell r="J1560">
            <v>7.0287</v>
          </cell>
        </row>
        <row r="1560">
          <cell r="AA1560" t="str">
            <v>2T2R</v>
          </cell>
        </row>
        <row r="1561">
          <cell r="E1561" t="str">
            <v>ZKAD16</v>
          </cell>
        </row>
        <row r="1561">
          <cell r="G1561" t="str">
            <v>ZKAD16-M-L18-I1</v>
          </cell>
        </row>
        <row r="1561">
          <cell r="I1561">
            <v>79.9596</v>
          </cell>
          <cell r="J1561">
            <v>7.0287</v>
          </cell>
        </row>
        <row r="1561">
          <cell r="AA1561" t="str">
            <v>4T4R</v>
          </cell>
        </row>
        <row r="1562">
          <cell r="E1562" t="str">
            <v>ZKAD16</v>
          </cell>
        </row>
        <row r="1562">
          <cell r="G1562" t="str">
            <v>ZKAD16-M-L18-G1</v>
          </cell>
        </row>
        <row r="1562">
          <cell r="I1562">
            <v>79.9596</v>
          </cell>
          <cell r="J1562">
            <v>7.0287</v>
          </cell>
        </row>
        <row r="1562">
          <cell r="AA1562" t="str">
            <v>4T4R</v>
          </cell>
        </row>
        <row r="1563">
          <cell r="E1563" t="str">
            <v>GMGAN2</v>
          </cell>
        </row>
        <row r="1563">
          <cell r="G1563" t="str">
            <v>GMGAN2I</v>
          </cell>
        </row>
        <row r="1563">
          <cell r="I1563">
            <v>79.9603</v>
          </cell>
          <cell r="J1563">
            <v>7.06558</v>
          </cell>
        </row>
        <row r="1563">
          <cell r="AA1563" t="str">
            <v>4T4R</v>
          </cell>
        </row>
        <row r="1564">
          <cell r="E1564" t="str">
            <v>GMGAN2</v>
          </cell>
        </row>
        <row r="1564">
          <cell r="G1564" t="str">
            <v>GMGAN2H</v>
          </cell>
        </row>
        <row r="1564">
          <cell r="I1564">
            <v>79.9603</v>
          </cell>
          <cell r="J1564">
            <v>7.06558</v>
          </cell>
        </row>
        <row r="1564">
          <cell r="AA1564" t="str">
            <v>4T4R</v>
          </cell>
        </row>
        <row r="1565">
          <cell r="E1565" t="str">
            <v>GMGAN2</v>
          </cell>
        </row>
        <row r="1565">
          <cell r="G1565" t="str">
            <v>GMGAN2G</v>
          </cell>
        </row>
        <row r="1565">
          <cell r="I1565">
            <v>79.9603</v>
          </cell>
          <cell r="J1565">
            <v>7.06558</v>
          </cell>
        </row>
        <row r="1565">
          <cell r="AA1565" t="str">
            <v>4T4R</v>
          </cell>
        </row>
        <row r="1566">
          <cell r="E1566" t="str">
            <v>GMGAN2</v>
          </cell>
        </row>
        <row r="1566">
          <cell r="G1566" t="str">
            <v>GMGAN2-M-L85-C1</v>
          </cell>
        </row>
        <row r="1566">
          <cell r="I1566">
            <v>79.9603</v>
          </cell>
          <cell r="J1566">
            <v>7.06558</v>
          </cell>
        </row>
        <row r="1566">
          <cell r="AA1566" t="str">
            <v>2T2R</v>
          </cell>
        </row>
        <row r="1567">
          <cell r="E1567" t="str">
            <v>GMGAN2</v>
          </cell>
        </row>
        <row r="1567">
          <cell r="G1567" t="str">
            <v>GMGAN2-M-L85-B1</v>
          </cell>
        </row>
        <row r="1567">
          <cell r="I1567">
            <v>79.9603</v>
          </cell>
          <cell r="J1567">
            <v>7.06558</v>
          </cell>
        </row>
        <row r="1567">
          <cell r="AA1567" t="str">
            <v>2T2R</v>
          </cell>
        </row>
        <row r="1568">
          <cell r="E1568" t="str">
            <v>GMGAN2</v>
          </cell>
        </row>
        <row r="1568">
          <cell r="G1568" t="str">
            <v>GMGAN2-M-L85-A1</v>
          </cell>
        </row>
        <row r="1568">
          <cell r="I1568">
            <v>79.9603</v>
          </cell>
          <cell r="J1568">
            <v>7.06558</v>
          </cell>
        </row>
        <row r="1568">
          <cell r="AA1568" t="str">
            <v>2T2R</v>
          </cell>
        </row>
        <row r="1569">
          <cell r="E1569" t="str">
            <v>GMGAN2</v>
          </cell>
        </row>
        <row r="1569">
          <cell r="G1569" t="str">
            <v>GMGAN2-M-L18-B1</v>
          </cell>
        </row>
        <row r="1569">
          <cell r="I1569">
            <v>79.9603</v>
          </cell>
          <cell r="J1569">
            <v>7.06558</v>
          </cell>
        </row>
        <row r="1569">
          <cell r="AA1569" t="str">
            <v>4T4R</v>
          </cell>
        </row>
        <row r="1570">
          <cell r="E1570" t="str">
            <v>GMGAN2</v>
          </cell>
        </row>
        <row r="1570">
          <cell r="G1570" t="str">
            <v>GMGAN2-M-L21-C2</v>
          </cell>
        </row>
        <row r="1570">
          <cell r="I1570">
            <v>79.9603</v>
          </cell>
          <cell r="J1570">
            <v>7.06558</v>
          </cell>
        </row>
        <row r="1570">
          <cell r="AA1570" t="str">
            <v>2T2R</v>
          </cell>
        </row>
        <row r="1571">
          <cell r="E1571" t="str">
            <v>GMGAN2</v>
          </cell>
        </row>
        <row r="1571">
          <cell r="G1571" t="str">
            <v>GMGAN2-M-L21-B2</v>
          </cell>
        </row>
        <row r="1571">
          <cell r="I1571">
            <v>79.9603</v>
          </cell>
          <cell r="J1571">
            <v>7.06558</v>
          </cell>
        </row>
        <row r="1571">
          <cell r="AA1571" t="str">
            <v>4T4R</v>
          </cell>
        </row>
        <row r="1572">
          <cell r="E1572" t="str">
            <v>GMGAN2</v>
          </cell>
        </row>
        <row r="1572">
          <cell r="G1572" t="str">
            <v>GMGAN2-M-L21-A2</v>
          </cell>
        </row>
        <row r="1572">
          <cell r="I1572">
            <v>79.9603</v>
          </cell>
          <cell r="J1572">
            <v>7.06558</v>
          </cell>
        </row>
        <row r="1572">
          <cell r="AA1572" t="str">
            <v>2T2R</v>
          </cell>
        </row>
        <row r="1573">
          <cell r="E1573" t="str">
            <v>GMGAN2</v>
          </cell>
        </row>
        <row r="1573">
          <cell r="G1573" t="str">
            <v>GMGAN2-M-L21-B1</v>
          </cell>
        </row>
        <row r="1573">
          <cell r="I1573">
            <v>79.9603</v>
          </cell>
          <cell r="J1573">
            <v>7.06558</v>
          </cell>
        </row>
        <row r="1573">
          <cell r="AA1573" t="str">
            <v>4T4R</v>
          </cell>
        </row>
        <row r="1574">
          <cell r="E1574" t="str">
            <v>GMKOS2</v>
          </cell>
        </row>
        <row r="1574">
          <cell r="G1574" t="str">
            <v>GMKOS2-M-L21-C2</v>
          </cell>
        </row>
        <row r="1574">
          <cell r="I1574">
            <v>79.9603</v>
          </cell>
          <cell r="J1574">
            <v>7.0466</v>
          </cell>
        </row>
        <row r="1574">
          <cell r="AA1574" t="str">
            <v>2T2R</v>
          </cell>
        </row>
        <row r="1575">
          <cell r="E1575" t="str">
            <v>GMKOS2</v>
          </cell>
        </row>
        <row r="1575">
          <cell r="G1575" t="str">
            <v>GMKOS2-M-L21-B2</v>
          </cell>
        </row>
        <row r="1575">
          <cell r="I1575">
            <v>79.9603</v>
          </cell>
          <cell r="J1575">
            <v>7.0466</v>
          </cell>
        </row>
        <row r="1575">
          <cell r="AA1575" t="str">
            <v>2T2R</v>
          </cell>
        </row>
        <row r="1576">
          <cell r="E1576" t="str">
            <v>GMKOS2</v>
          </cell>
        </row>
        <row r="1576">
          <cell r="G1576" t="str">
            <v>GMKOS2-M-L21-A2</v>
          </cell>
        </row>
        <row r="1576">
          <cell r="I1576">
            <v>79.9603</v>
          </cell>
          <cell r="J1576">
            <v>7.0466</v>
          </cell>
        </row>
        <row r="1576">
          <cell r="AA1576" t="str">
            <v>2T2R</v>
          </cell>
        </row>
        <row r="1577">
          <cell r="E1577" t="str">
            <v>ZBIY36</v>
          </cell>
        </row>
        <row r="1577">
          <cell r="G1577" t="str">
            <v>ZBIY36-M-L21-C2</v>
          </cell>
        </row>
        <row r="1577">
          <cell r="I1577">
            <v>79.9614</v>
          </cell>
          <cell r="J1577">
            <v>6.97322</v>
          </cell>
        </row>
        <row r="1577">
          <cell r="AA1577" t="str">
            <v>2T2R</v>
          </cell>
        </row>
        <row r="1578">
          <cell r="E1578" t="str">
            <v>ZBIY36</v>
          </cell>
        </row>
        <row r="1578">
          <cell r="G1578" t="str">
            <v>ZBIY36-M-L21-B2</v>
          </cell>
        </row>
        <row r="1578">
          <cell r="I1578">
            <v>79.9614</v>
          </cell>
          <cell r="J1578">
            <v>6.97322</v>
          </cell>
        </row>
        <row r="1578">
          <cell r="AA1578" t="str">
            <v>2T2R</v>
          </cell>
        </row>
        <row r="1579">
          <cell r="E1579" t="str">
            <v>ZBIY36</v>
          </cell>
        </row>
        <row r="1579">
          <cell r="G1579" t="str">
            <v>ZBIY36-M-L21-A2</v>
          </cell>
        </row>
        <row r="1579">
          <cell r="I1579">
            <v>79.9614</v>
          </cell>
          <cell r="J1579">
            <v>6.97322</v>
          </cell>
        </row>
        <row r="1579">
          <cell r="AA1579" t="str">
            <v>2T2R</v>
          </cell>
        </row>
        <row r="1580">
          <cell r="E1580" t="str">
            <v>GMMAT1</v>
          </cell>
        </row>
        <row r="1580">
          <cell r="G1580" t="str">
            <v>GMMAT1-M-L85-C1</v>
          </cell>
        </row>
        <row r="1580">
          <cell r="I1580">
            <v>79.9624</v>
          </cell>
          <cell r="J1580">
            <v>7.14997</v>
          </cell>
        </row>
        <row r="1580">
          <cell r="AA1580" t="str">
            <v>2T2R</v>
          </cell>
        </row>
        <row r="1581">
          <cell r="E1581" t="str">
            <v>GMMAT1</v>
          </cell>
        </row>
        <row r="1581">
          <cell r="G1581" t="str">
            <v>GMMAT1-M-L85-B1</v>
          </cell>
        </row>
        <row r="1581">
          <cell r="I1581">
            <v>79.9624</v>
          </cell>
          <cell r="J1581">
            <v>7.14997</v>
          </cell>
        </row>
        <row r="1581">
          <cell r="AA1581" t="str">
            <v>2T2R</v>
          </cell>
        </row>
        <row r="1582">
          <cell r="E1582" t="str">
            <v>GMMAT1</v>
          </cell>
        </row>
        <row r="1582">
          <cell r="G1582" t="str">
            <v>GMMAT1-M-L85-A1</v>
          </cell>
        </row>
        <row r="1582">
          <cell r="I1582">
            <v>79.9624</v>
          </cell>
          <cell r="J1582">
            <v>7.14997</v>
          </cell>
        </row>
        <row r="1582">
          <cell r="AA1582" t="str">
            <v>2T2R</v>
          </cell>
        </row>
        <row r="1583">
          <cell r="E1583" t="str">
            <v>GMMAT1</v>
          </cell>
        </row>
        <row r="1583">
          <cell r="G1583" t="str">
            <v>GMMAT1-M-L21-C2</v>
          </cell>
        </row>
        <row r="1583">
          <cell r="I1583">
            <v>79.9624</v>
          </cell>
          <cell r="J1583">
            <v>7.14997</v>
          </cell>
        </row>
        <row r="1583">
          <cell r="AA1583" t="str">
            <v>8T8R</v>
          </cell>
        </row>
        <row r="1584">
          <cell r="E1584" t="str">
            <v>GMMAT1</v>
          </cell>
        </row>
        <row r="1584">
          <cell r="G1584" t="str">
            <v>GMMAT1-M-L21-B2</v>
          </cell>
        </row>
        <row r="1584">
          <cell r="I1584">
            <v>79.9624</v>
          </cell>
          <cell r="J1584">
            <v>7.14997</v>
          </cell>
        </row>
        <row r="1584">
          <cell r="AA1584" t="str">
            <v>2T2R</v>
          </cell>
        </row>
        <row r="1585">
          <cell r="E1585" t="str">
            <v>GMMAT1</v>
          </cell>
        </row>
        <row r="1585">
          <cell r="G1585" t="str">
            <v>GMMAT1-M-L18-I1</v>
          </cell>
        </row>
        <row r="1585">
          <cell r="I1585">
            <v>79.9624</v>
          </cell>
          <cell r="J1585">
            <v>7.14997</v>
          </cell>
        </row>
        <row r="1585">
          <cell r="AA1585" t="str">
            <v>8T8R</v>
          </cell>
        </row>
        <row r="1586">
          <cell r="E1586" t="str">
            <v>GMMAT1</v>
          </cell>
        </row>
        <row r="1586">
          <cell r="G1586" t="str">
            <v>GMMAT1-M-L21-A2</v>
          </cell>
        </row>
        <row r="1586">
          <cell r="I1586">
            <v>79.9624</v>
          </cell>
          <cell r="J1586">
            <v>7.14997</v>
          </cell>
        </row>
        <row r="1586">
          <cell r="AA1586" t="str">
            <v>2T2R</v>
          </cell>
        </row>
        <row r="1587">
          <cell r="E1587" t="str">
            <v>GMMAT1</v>
          </cell>
        </row>
        <row r="1587">
          <cell r="G1587" t="str">
            <v>GMMAT1I</v>
          </cell>
        </row>
        <row r="1587">
          <cell r="I1587">
            <v>79.9624</v>
          </cell>
          <cell r="J1587">
            <v>7.14997</v>
          </cell>
        </row>
        <row r="1587">
          <cell r="AA1587" t="str">
            <v>8T8R</v>
          </cell>
        </row>
        <row r="1588">
          <cell r="E1588" t="str">
            <v>GMMAT1</v>
          </cell>
        </row>
        <row r="1588">
          <cell r="G1588" t="str">
            <v>GMMAT1H</v>
          </cell>
        </row>
        <row r="1588">
          <cell r="I1588">
            <v>79.9624</v>
          </cell>
          <cell r="J1588">
            <v>7.14997</v>
          </cell>
        </row>
        <row r="1588">
          <cell r="AA1588" t="str">
            <v>4T4R</v>
          </cell>
        </row>
        <row r="1589">
          <cell r="E1589" t="str">
            <v>GMMAT1</v>
          </cell>
        </row>
        <row r="1589">
          <cell r="G1589" t="str">
            <v>GMMAT1G</v>
          </cell>
        </row>
        <row r="1589">
          <cell r="I1589">
            <v>79.9624</v>
          </cell>
          <cell r="J1589">
            <v>7.14997</v>
          </cell>
        </row>
        <row r="1589">
          <cell r="AA1589" t="str">
            <v>2T2R</v>
          </cell>
        </row>
        <row r="1590">
          <cell r="E1590" t="str">
            <v>GMGAN1</v>
          </cell>
        </row>
        <row r="1590">
          <cell r="G1590" t="str">
            <v>GMGAN1I</v>
          </cell>
        </row>
        <row r="1590">
          <cell r="I1590">
            <v>79.9626</v>
          </cell>
          <cell r="J1590">
            <v>7.07161</v>
          </cell>
        </row>
        <row r="1590">
          <cell r="AA1590" t="str">
            <v>4T4R</v>
          </cell>
        </row>
        <row r="1591">
          <cell r="E1591" t="str">
            <v>GMGAN1</v>
          </cell>
        </row>
        <row r="1591">
          <cell r="G1591" t="str">
            <v>GMGAN1H</v>
          </cell>
        </row>
        <row r="1591">
          <cell r="I1591">
            <v>79.9626</v>
          </cell>
          <cell r="J1591">
            <v>7.07161</v>
          </cell>
        </row>
        <row r="1591">
          <cell r="AA1591" t="str">
            <v>4T4R</v>
          </cell>
        </row>
        <row r="1592">
          <cell r="E1592" t="str">
            <v>GMGAN1</v>
          </cell>
        </row>
        <row r="1592">
          <cell r="G1592" t="str">
            <v>GMGAN1G</v>
          </cell>
        </row>
        <row r="1592">
          <cell r="I1592">
            <v>79.9626</v>
          </cell>
          <cell r="J1592">
            <v>7.07161</v>
          </cell>
        </row>
        <row r="1592">
          <cell r="AA1592" t="str">
            <v>2T2R</v>
          </cell>
        </row>
        <row r="1593">
          <cell r="E1593" t="str">
            <v>GMGAN1</v>
          </cell>
        </row>
        <row r="1593">
          <cell r="G1593" t="str">
            <v>GMGAN1F</v>
          </cell>
        </row>
        <row r="1593">
          <cell r="I1593">
            <v>79.9626</v>
          </cell>
          <cell r="J1593">
            <v>7.07161</v>
          </cell>
        </row>
        <row r="1593">
          <cell r="AA1593" t="str">
            <v>2T2R</v>
          </cell>
        </row>
        <row r="1594">
          <cell r="E1594" t="str">
            <v>GMGAN1</v>
          </cell>
        </row>
        <row r="1594">
          <cell r="G1594" t="str">
            <v>GMGAN1-M-L85-C1</v>
          </cell>
        </row>
        <row r="1594">
          <cell r="I1594">
            <v>79.9626</v>
          </cell>
          <cell r="J1594">
            <v>7.07161</v>
          </cell>
        </row>
        <row r="1594">
          <cell r="AA1594" t="str">
            <v>2T2R</v>
          </cell>
        </row>
        <row r="1595">
          <cell r="E1595" t="str">
            <v>GMGAN1</v>
          </cell>
        </row>
        <row r="1595">
          <cell r="G1595" t="str">
            <v>GMGAN1-M-L85-B1</v>
          </cell>
        </row>
        <row r="1595">
          <cell r="I1595">
            <v>79.9626</v>
          </cell>
          <cell r="J1595">
            <v>7.07161</v>
          </cell>
        </row>
        <row r="1595">
          <cell r="AA1595" t="str">
            <v>2T2R</v>
          </cell>
        </row>
        <row r="1596">
          <cell r="E1596" t="str">
            <v>GMGAN1</v>
          </cell>
        </row>
        <row r="1596">
          <cell r="G1596" t="str">
            <v>GMGAN1-M-L85-A1</v>
          </cell>
        </row>
        <row r="1596">
          <cell r="I1596">
            <v>79.9626</v>
          </cell>
          <cell r="J1596">
            <v>7.07161</v>
          </cell>
        </row>
        <row r="1596">
          <cell r="AA1596" t="str">
            <v>2T2R</v>
          </cell>
        </row>
        <row r="1597">
          <cell r="E1597" t="str">
            <v>GMGAN1</v>
          </cell>
        </row>
        <row r="1597">
          <cell r="G1597" t="str">
            <v>GMGAN1-M-L21-C2</v>
          </cell>
        </row>
        <row r="1597">
          <cell r="I1597">
            <v>79.9626</v>
          </cell>
          <cell r="J1597">
            <v>7.07161</v>
          </cell>
        </row>
        <row r="1597">
          <cell r="AA1597" t="str">
            <v>2T2R</v>
          </cell>
        </row>
        <row r="1598">
          <cell r="E1598" t="str">
            <v>GMGAN1</v>
          </cell>
        </row>
        <row r="1598">
          <cell r="G1598" t="str">
            <v>GMGAN1-M-L21-B2</v>
          </cell>
        </row>
        <row r="1598">
          <cell r="I1598">
            <v>79.9626</v>
          </cell>
          <cell r="J1598">
            <v>7.07161</v>
          </cell>
        </row>
        <row r="1598">
          <cell r="AA1598" t="str">
            <v>2T2R</v>
          </cell>
        </row>
        <row r="1599">
          <cell r="E1599" t="str">
            <v>GMGAN1</v>
          </cell>
        </row>
        <row r="1599">
          <cell r="G1599" t="str">
            <v>GMGAN1-M-L21-A2</v>
          </cell>
        </row>
        <row r="1599">
          <cell r="I1599">
            <v>79.9626</v>
          </cell>
          <cell r="J1599">
            <v>7.07161</v>
          </cell>
        </row>
        <row r="1599">
          <cell r="AA1599" t="str">
            <v>2T2R</v>
          </cell>
        </row>
        <row r="1600">
          <cell r="E1600" t="str">
            <v>ZKAD39</v>
          </cell>
        </row>
        <row r="1600">
          <cell r="G1600" t="str">
            <v>ZKAD39I</v>
          </cell>
        </row>
        <row r="1600">
          <cell r="I1600">
            <v>79.962778</v>
          </cell>
          <cell r="J1600">
            <v>7.007694</v>
          </cell>
        </row>
        <row r="1600">
          <cell r="AA1600" t="str">
            <v>4T4R</v>
          </cell>
        </row>
        <row r="1601">
          <cell r="E1601" t="str">
            <v>ZKAD39</v>
          </cell>
        </row>
        <row r="1601">
          <cell r="G1601" t="str">
            <v>ZKAD39H</v>
          </cell>
        </row>
        <row r="1601">
          <cell r="I1601">
            <v>79.962778</v>
          </cell>
          <cell r="J1601">
            <v>7.007694</v>
          </cell>
        </row>
        <row r="1601">
          <cell r="AA1601" t="str">
            <v>4T4R</v>
          </cell>
        </row>
        <row r="1602">
          <cell r="E1602" t="str">
            <v>ZKAD39</v>
          </cell>
        </row>
        <row r="1602">
          <cell r="G1602" t="str">
            <v>ZKAD39G</v>
          </cell>
        </row>
        <row r="1602">
          <cell r="I1602">
            <v>79.962778</v>
          </cell>
          <cell r="J1602">
            <v>7.007694</v>
          </cell>
        </row>
        <row r="1602">
          <cell r="AA1602" t="str">
            <v>4T4R</v>
          </cell>
        </row>
        <row r="1603">
          <cell r="E1603" t="str">
            <v>ZBIY47</v>
          </cell>
        </row>
        <row r="1603">
          <cell r="G1603" t="str">
            <v>ZBIY47I</v>
          </cell>
        </row>
        <row r="1603">
          <cell r="I1603">
            <v>79.962825</v>
          </cell>
          <cell r="J1603">
            <v>6.959821</v>
          </cell>
        </row>
        <row r="1603">
          <cell r="AA1603" t="str">
            <v>2T2R</v>
          </cell>
        </row>
        <row r="1604">
          <cell r="E1604" t="str">
            <v>ZBIY47</v>
          </cell>
        </row>
        <row r="1604">
          <cell r="G1604" t="str">
            <v>ZBIY47H</v>
          </cell>
        </row>
        <row r="1604">
          <cell r="I1604">
            <v>79.962825</v>
          </cell>
          <cell r="J1604">
            <v>6.959821</v>
          </cell>
        </row>
        <row r="1604">
          <cell r="AA1604" t="str">
            <v>2T2R</v>
          </cell>
        </row>
        <row r="1605">
          <cell r="E1605" t="str">
            <v>ZBIY47</v>
          </cell>
        </row>
        <row r="1605">
          <cell r="G1605" t="str">
            <v>ZBIY47G</v>
          </cell>
        </row>
        <row r="1605">
          <cell r="I1605">
            <v>79.962825</v>
          </cell>
          <cell r="J1605">
            <v>6.959821</v>
          </cell>
        </row>
        <row r="1605">
          <cell r="AA1605" t="str">
            <v>2T2R</v>
          </cell>
        </row>
        <row r="1606">
          <cell r="E1606" t="str">
            <v>GMALU1</v>
          </cell>
        </row>
        <row r="1606">
          <cell r="G1606" t="str">
            <v>GMALU1I</v>
          </cell>
        </row>
        <row r="1606">
          <cell r="I1606">
            <v>79.964722</v>
          </cell>
          <cell r="J1606">
            <v>7.208611</v>
          </cell>
        </row>
        <row r="1606">
          <cell r="AA1606" t="str">
            <v>2T2R</v>
          </cell>
        </row>
        <row r="1607">
          <cell r="E1607" t="str">
            <v>GMALU1</v>
          </cell>
        </row>
        <row r="1607">
          <cell r="G1607" t="str">
            <v>GMALU1H</v>
          </cell>
        </row>
        <row r="1607">
          <cell r="I1607">
            <v>79.964722</v>
          </cell>
          <cell r="J1607">
            <v>7.208611</v>
          </cell>
        </row>
        <row r="1607">
          <cell r="AA1607" t="str">
            <v>2T2R</v>
          </cell>
        </row>
        <row r="1608">
          <cell r="E1608" t="str">
            <v>GMALU1</v>
          </cell>
        </row>
        <row r="1608">
          <cell r="G1608" t="str">
            <v>GMALU1G</v>
          </cell>
        </row>
        <row r="1608">
          <cell r="I1608">
            <v>79.964722</v>
          </cell>
          <cell r="J1608">
            <v>7.208611</v>
          </cell>
        </row>
        <row r="1608">
          <cell r="AA1608" t="str">
            <v>2T2R</v>
          </cell>
        </row>
        <row r="1609">
          <cell r="E1609" t="str">
            <v>GMALU1</v>
          </cell>
        </row>
        <row r="1609">
          <cell r="G1609" t="str">
            <v>GMALU1-M-L85-C1</v>
          </cell>
        </row>
        <row r="1609">
          <cell r="I1609">
            <v>79.964722</v>
          </cell>
          <cell r="J1609">
            <v>7.208611</v>
          </cell>
        </row>
        <row r="1609">
          <cell r="AA1609" t="str">
            <v>2T2R</v>
          </cell>
        </row>
        <row r="1610">
          <cell r="E1610" t="str">
            <v>GMALU1</v>
          </cell>
        </row>
        <row r="1610">
          <cell r="G1610" t="str">
            <v>GMALU1-M-L85-B1</v>
          </cell>
        </row>
        <row r="1610">
          <cell r="I1610">
            <v>79.964722</v>
          </cell>
          <cell r="J1610">
            <v>7.208611</v>
          </cell>
        </row>
        <row r="1610">
          <cell r="AA1610" t="str">
            <v>2T2R</v>
          </cell>
        </row>
        <row r="1611">
          <cell r="E1611" t="str">
            <v>GMALU1</v>
          </cell>
        </row>
        <row r="1611">
          <cell r="G1611" t="str">
            <v>GMALU1-M-L85-A1</v>
          </cell>
        </row>
        <row r="1611">
          <cell r="I1611">
            <v>79.964722</v>
          </cell>
          <cell r="J1611">
            <v>7.208611</v>
          </cell>
        </row>
        <row r="1611">
          <cell r="AA1611" t="str">
            <v>2T2R</v>
          </cell>
        </row>
        <row r="1612">
          <cell r="E1612" t="str">
            <v>ZBIY54</v>
          </cell>
        </row>
        <row r="1612">
          <cell r="G1612" t="str">
            <v>ZBIY54-M-L21-C2</v>
          </cell>
        </row>
        <row r="1612">
          <cell r="I1612">
            <v>79.9658</v>
          </cell>
          <cell r="J1612">
            <v>6.9669</v>
          </cell>
        </row>
        <row r="1612">
          <cell r="AA1612" t="str">
            <v>2T2R</v>
          </cell>
        </row>
        <row r="1613">
          <cell r="E1613" t="str">
            <v>ZBIY54</v>
          </cell>
        </row>
        <row r="1613">
          <cell r="G1613" t="str">
            <v>ZBIY54-M-L21-B2</v>
          </cell>
        </row>
        <row r="1613">
          <cell r="I1613">
            <v>79.9658</v>
          </cell>
          <cell r="J1613">
            <v>6.9669</v>
          </cell>
        </row>
        <row r="1613">
          <cell r="AA1613" t="str">
            <v>2T2R</v>
          </cell>
        </row>
        <row r="1614">
          <cell r="E1614" t="str">
            <v>ZBIY54</v>
          </cell>
        </row>
        <row r="1614">
          <cell r="G1614" t="str">
            <v>ZBIY54-M-L21-A2</v>
          </cell>
        </row>
        <row r="1614">
          <cell r="I1614">
            <v>79.9658</v>
          </cell>
          <cell r="J1614">
            <v>6.9669</v>
          </cell>
        </row>
        <row r="1614">
          <cell r="AA1614" t="str">
            <v>2T2R</v>
          </cell>
        </row>
        <row r="1615">
          <cell r="E1615" t="str">
            <v>ZBIY54</v>
          </cell>
        </row>
        <row r="1615">
          <cell r="G1615" t="str">
            <v>ZBIY54I</v>
          </cell>
        </row>
        <row r="1615">
          <cell r="I1615">
            <v>79.9658</v>
          </cell>
          <cell r="J1615">
            <v>6.9669</v>
          </cell>
        </row>
        <row r="1615">
          <cell r="AA1615" t="str">
            <v>2T2R</v>
          </cell>
        </row>
        <row r="1616">
          <cell r="E1616" t="str">
            <v>ZBIY54</v>
          </cell>
        </row>
        <row r="1616">
          <cell r="G1616" t="str">
            <v>ZBIY54H</v>
          </cell>
        </row>
        <row r="1616">
          <cell r="I1616">
            <v>79.9658</v>
          </cell>
          <cell r="J1616">
            <v>6.9669</v>
          </cell>
        </row>
        <row r="1616">
          <cell r="AA1616" t="str">
            <v>2T2R</v>
          </cell>
        </row>
        <row r="1617">
          <cell r="E1617" t="str">
            <v>ZBIY54</v>
          </cell>
        </row>
        <row r="1617">
          <cell r="G1617" t="str">
            <v>ZBIY54G</v>
          </cell>
        </row>
        <row r="1617">
          <cell r="I1617">
            <v>79.9658</v>
          </cell>
          <cell r="J1617">
            <v>6.9669</v>
          </cell>
        </row>
        <row r="1617">
          <cell r="AA1617" t="str">
            <v>2T2R</v>
          </cell>
        </row>
        <row r="1618">
          <cell r="E1618" t="str">
            <v>GMPLP1</v>
          </cell>
        </row>
        <row r="1618">
          <cell r="G1618" t="str">
            <v>GMPLP1-M-L85-A1</v>
          </cell>
        </row>
        <row r="1618">
          <cell r="I1618">
            <v>79.967285</v>
          </cell>
          <cell r="J1618">
            <v>7.24845</v>
          </cell>
        </row>
        <row r="1618">
          <cell r="AA1618" t="str">
            <v>2T2R</v>
          </cell>
        </row>
        <row r="1619">
          <cell r="E1619" t="str">
            <v>GMPLP1</v>
          </cell>
        </row>
        <row r="1619">
          <cell r="G1619" t="str">
            <v>GMPLP1-M-L85-B1</v>
          </cell>
        </row>
        <row r="1619">
          <cell r="I1619">
            <v>79.967285</v>
          </cell>
          <cell r="J1619">
            <v>7.24845</v>
          </cell>
        </row>
        <row r="1619">
          <cell r="AA1619" t="str">
            <v>2T2R</v>
          </cell>
        </row>
        <row r="1620">
          <cell r="E1620" t="str">
            <v>GMPLP1</v>
          </cell>
        </row>
        <row r="1620">
          <cell r="G1620" t="str">
            <v>GMPLP1-M-L85-C1</v>
          </cell>
        </row>
        <row r="1620">
          <cell r="I1620">
            <v>79.967285</v>
          </cell>
          <cell r="J1620">
            <v>7.24845</v>
          </cell>
        </row>
        <row r="1620">
          <cell r="AA1620" t="str">
            <v>2T2R</v>
          </cell>
        </row>
        <row r="1621">
          <cell r="E1621" t="str">
            <v>GMPAR1</v>
          </cell>
        </row>
        <row r="1621">
          <cell r="G1621" t="str">
            <v>GMPAR1-M-L85-C1</v>
          </cell>
        </row>
        <row r="1621">
          <cell r="I1621">
            <v>79.9678</v>
          </cell>
          <cell r="J1621">
            <v>7.03911</v>
          </cell>
        </row>
        <row r="1621">
          <cell r="AA1621" t="str">
            <v>2T2R</v>
          </cell>
        </row>
        <row r="1622">
          <cell r="E1622" t="str">
            <v>GMPAR1</v>
          </cell>
        </row>
        <row r="1622">
          <cell r="G1622" t="str">
            <v>GMPAR1-M-L85-B1</v>
          </cell>
        </row>
        <row r="1622">
          <cell r="I1622">
            <v>79.9678</v>
          </cell>
          <cell r="J1622">
            <v>7.03911</v>
          </cell>
        </row>
        <row r="1622">
          <cell r="AA1622" t="str">
            <v>2T2R</v>
          </cell>
        </row>
        <row r="1623">
          <cell r="E1623" t="str">
            <v>GMPAR1</v>
          </cell>
        </row>
        <row r="1623">
          <cell r="G1623" t="str">
            <v>GMPAR1-M-L85-A1</v>
          </cell>
        </row>
        <row r="1623">
          <cell r="I1623">
            <v>79.9678</v>
          </cell>
          <cell r="J1623">
            <v>7.03911</v>
          </cell>
        </row>
        <row r="1623">
          <cell r="AA1623" t="str">
            <v>2T2R</v>
          </cell>
        </row>
        <row r="1624">
          <cell r="E1624" t="str">
            <v>GMPAR1</v>
          </cell>
        </row>
        <row r="1624">
          <cell r="G1624" t="str">
            <v>GMPAR1-M-L18-C1</v>
          </cell>
        </row>
        <row r="1624">
          <cell r="I1624">
            <v>79.9678</v>
          </cell>
          <cell r="J1624">
            <v>7.03911</v>
          </cell>
        </row>
        <row r="1624">
          <cell r="AA1624" t="str">
            <v>2T2R</v>
          </cell>
        </row>
        <row r="1625">
          <cell r="E1625" t="str">
            <v>GMPAR1</v>
          </cell>
        </row>
        <row r="1625">
          <cell r="G1625" t="str">
            <v>GMPAR1-M-L21-B2</v>
          </cell>
        </row>
        <row r="1625">
          <cell r="I1625">
            <v>79.9678</v>
          </cell>
          <cell r="J1625">
            <v>7.03911</v>
          </cell>
        </row>
        <row r="1625">
          <cell r="AA1625" t="str">
            <v>2T2R</v>
          </cell>
        </row>
        <row r="1626">
          <cell r="E1626" t="str">
            <v>GMPAR1</v>
          </cell>
        </row>
        <row r="1626">
          <cell r="G1626" t="str">
            <v>GMPAR1-M-L21-A2</v>
          </cell>
        </row>
        <row r="1626">
          <cell r="I1626">
            <v>79.9678</v>
          </cell>
          <cell r="J1626">
            <v>7.03911</v>
          </cell>
        </row>
        <row r="1626">
          <cell r="AA1626" t="str">
            <v>2T2R</v>
          </cell>
        </row>
        <row r="1627">
          <cell r="E1627" t="str">
            <v>GMPAR1</v>
          </cell>
        </row>
        <row r="1627">
          <cell r="G1627" t="str">
            <v>GMPAR1-M-L21-C2</v>
          </cell>
        </row>
        <row r="1627">
          <cell r="I1627">
            <v>79.9678</v>
          </cell>
          <cell r="J1627">
            <v>7.03911</v>
          </cell>
        </row>
        <row r="1627">
          <cell r="AA1627" t="str">
            <v>2T2R</v>
          </cell>
        </row>
        <row r="1628">
          <cell r="E1628" t="str">
            <v>GMPAR1</v>
          </cell>
        </row>
        <row r="1628">
          <cell r="G1628" t="str">
            <v>GMPAR1I</v>
          </cell>
        </row>
        <row r="1628">
          <cell r="I1628">
            <v>79.9678</v>
          </cell>
          <cell r="J1628">
            <v>7.03911</v>
          </cell>
        </row>
        <row r="1628">
          <cell r="AA1628" t="str">
            <v>4T4R</v>
          </cell>
        </row>
        <row r="1629">
          <cell r="E1629" t="str">
            <v>GMPAR1</v>
          </cell>
        </row>
        <row r="1629">
          <cell r="G1629" t="str">
            <v>GMPAR1H</v>
          </cell>
        </row>
        <row r="1629">
          <cell r="I1629">
            <v>79.9678</v>
          </cell>
          <cell r="J1629">
            <v>7.03911</v>
          </cell>
        </row>
        <row r="1629">
          <cell r="AA1629" t="str">
            <v>4T4R</v>
          </cell>
        </row>
        <row r="1630">
          <cell r="E1630" t="str">
            <v>GMPAR1</v>
          </cell>
        </row>
        <row r="1630">
          <cell r="G1630" t="str">
            <v>GMPAR1G</v>
          </cell>
        </row>
        <row r="1630">
          <cell r="I1630">
            <v>79.9678</v>
          </cell>
          <cell r="J1630">
            <v>7.03911</v>
          </cell>
        </row>
        <row r="1630">
          <cell r="AA1630" t="str">
            <v>4T4R</v>
          </cell>
        </row>
        <row r="1631">
          <cell r="E1631" t="str">
            <v>ZBIY35</v>
          </cell>
        </row>
        <row r="1631">
          <cell r="G1631" t="str">
            <v>ZBIY35I</v>
          </cell>
        </row>
        <row r="1631">
          <cell r="I1631">
            <v>79.968201</v>
          </cell>
          <cell r="J1631">
            <v>6.983205</v>
          </cell>
        </row>
        <row r="1631">
          <cell r="AA1631" t="str">
            <v>2T2R</v>
          </cell>
        </row>
        <row r="1632">
          <cell r="E1632" t="str">
            <v>ZBIY35</v>
          </cell>
        </row>
        <row r="1632">
          <cell r="G1632" t="str">
            <v>ZBIY35H</v>
          </cell>
        </row>
        <row r="1632">
          <cell r="I1632">
            <v>79.968201</v>
          </cell>
          <cell r="J1632">
            <v>6.983205</v>
          </cell>
        </row>
        <row r="1632">
          <cell r="AA1632" t="str">
            <v>2T2R</v>
          </cell>
        </row>
        <row r="1633">
          <cell r="E1633" t="str">
            <v>ZBIY35</v>
          </cell>
        </row>
        <row r="1633">
          <cell r="G1633" t="str">
            <v>ZBIY35G</v>
          </cell>
        </row>
        <row r="1633">
          <cell r="I1633">
            <v>79.968201</v>
          </cell>
          <cell r="J1633">
            <v>6.983205</v>
          </cell>
        </row>
        <row r="1633">
          <cell r="AA1633" t="str">
            <v>2T2R</v>
          </cell>
        </row>
        <row r="1634">
          <cell r="E1634" t="str">
            <v>GMKRW1</v>
          </cell>
        </row>
        <row r="1634">
          <cell r="G1634" t="str">
            <v>GMKRW1H</v>
          </cell>
        </row>
        <row r="1634">
          <cell r="I1634">
            <v>79.9684</v>
          </cell>
          <cell r="J1634">
            <v>7.09203</v>
          </cell>
        </row>
        <row r="1634">
          <cell r="AA1634" t="str">
            <v>2T2R</v>
          </cell>
        </row>
        <row r="1635">
          <cell r="E1635" t="str">
            <v>GMKRW1</v>
          </cell>
        </row>
        <row r="1635">
          <cell r="G1635" t="str">
            <v>GMKRW1G</v>
          </cell>
        </row>
        <row r="1635">
          <cell r="I1635">
            <v>79.9684</v>
          </cell>
          <cell r="J1635">
            <v>7.09203</v>
          </cell>
        </row>
        <row r="1635">
          <cell r="AA1635" t="str">
            <v>2T2R</v>
          </cell>
        </row>
        <row r="1636">
          <cell r="E1636" t="str">
            <v>GMKRW1</v>
          </cell>
        </row>
        <row r="1636">
          <cell r="G1636" t="str">
            <v>GMKRW1I</v>
          </cell>
        </row>
        <row r="1636">
          <cell r="I1636">
            <v>79.9684</v>
          </cell>
          <cell r="J1636">
            <v>7.09203</v>
          </cell>
        </row>
        <row r="1636">
          <cell r="AA1636" t="str">
            <v>2T2R</v>
          </cell>
        </row>
        <row r="1637">
          <cell r="E1637" t="str">
            <v>GMKRW1</v>
          </cell>
        </row>
        <row r="1637">
          <cell r="G1637" t="str">
            <v>GMKRW1-M-L85-C1</v>
          </cell>
        </row>
        <row r="1637">
          <cell r="I1637">
            <v>79.9684</v>
          </cell>
          <cell r="J1637">
            <v>7.09203</v>
          </cell>
        </row>
        <row r="1637">
          <cell r="AA1637" t="str">
            <v>2T2R</v>
          </cell>
        </row>
        <row r="1638">
          <cell r="E1638" t="str">
            <v>GMKRW1</v>
          </cell>
        </row>
        <row r="1638">
          <cell r="G1638" t="str">
            <v>GMKRW1-M-L85-B1</v>
          </cell>
        </row>
        <row r="1638">
          <cell r="I1638">
            <v>79.9684</v>
          </cell>
          <cell r="J1638">
            <v>7.09203</v>
          </cell>
        </row>
        <row r="1638">
          <cell r="AA1638" t="str">
            <v>2T2R</v>
          </cell>
        </row>
        <row r="1639">
          <cell r="E1639" t="str">
            <v>GMKRW1</v>
          </cell>
        </row>
        <row r="1639">
          <cell r="G1639" t="str">
            <v>GMKRW1-M-L85-A1</v>
          </cell>
        </row>
        <row r="1639">
          <cell r="I1639">
            <v>79.9684</v>
          </cell>
          <cell r="J1639">
            <v>7.09203</v>
          </cell>
        </row>
        <row r="1639">
          <cell r="AA1639" t="str">
            <v>2T2R</v>
          </cell>
        </row>
        <row r="1640">
          <cell r="E1640" t="str">
            <v>ZBIY38</v>
          </cell>
        </row>
        <row r="1640">
          <cell r="G1640" t="str">
            <v>ZBIY38I</v>
          </cell>
        </row>
        <row r="1640">
          <cell r="I1640">
            <v>79.968422</v>
          </cell>
          <cell r="J1640">
            <v>6.945679</v>
          </cell>
        </row>
        <row r="1640">
          <cell r="AA1640" t="str">
            <v>2T2R</v>
          </cell>
        </row>
        <row r="1641">
          <cell r="E1641" t="str">
            <v>ZBIY38</v>
          </cell>
        </row>
        <row r="1641">
          <cell r="G1641" t="str">
            <v>ZBIY38H</v>
          </cell>
        </row>
        <row r="1641">
          <cell r="I1641">
            <v>79.968422</v>
          </cell>
          <cell r="J1641">
            <v>6.945679</v>
          </cell>
        </row>
        <row r="1641">
          <cell r="AA1641" t="str">
            <v>2T2R</v>
          </cell>
        </row>
        <row r="1642">
          <cell r="E1642" t="str">
            <v>ZBIY38</v>
          </cell>
        </row>
        <row r="1642">
          <cell r="G1642" t="str">
            <v>ZBIY38G</v>
          </cell>
        </row>
        <row r="1642">
          <cell r="I1642">
            <v>79.968422</v>
          </cell>
          <cell r="J1642">
            <v>6.945679</v>
          </cell>
        </row>
        <row r="1642">
          <cell r="AA1642" t="str">
            <v>2T2R</v>
          </cell>
        </row>
        <row r="1643">
          <cell r="E1643" t="str">
            <v>ZKAD15</v>
          </cell>
        </row>
        <row r="1643">
          <cell r="G1643" t="str">
            <v>ZKAD15I</v>
          </cell>
        </row>
        <row r="1643">
          <cell r="I1643">
            <v>79.9685</v>
          </cell>
          <cell r="J1643">
            <v>7.00512</v>
          </cell>
        </row>
        <row r="1643">
          <cell r="AA1643" t="str">
            <v>4T4R</v>
          </cell>
        </row>
        <row r="1644">
          <cell r="E1644" t="str">
            <v>ZKAD15</v>
          </cell>
        </row>
        <row r="1644">
          <cell r="G1644" t="str">
            <v>ZKAD15H</v>
          </cell>
        </row>
        <row r="1644">
          <cell r="I1644">
            <v>79.9685</v>
          </cell>
          <cell r="J1644">
            <v>7.00512</v>
          </cell>
        </row>
        <row r="1644">
          <cell r="AA1644" t="str">
            <v>4T4R</v>
          </cell>
        </row>
        <row r="1645">
          <cell r="E1645" t="str">
            <v>ZKAD15</v>
          </cell>
        </row>
        <row r="1645">
          <cell r="G1645" t="str">
            <v>ZKAD15G</v>
          </cell>
        </row>
        <row r="1645">
          <cell r="I1645">
            <v>79.9685</v>
          </cell>
          <cell r="J1645">
            <v>7.00512</v>
          </cell>
        </row>
        <row r="1645">
          <cell r="AA1645" t="str">
            <v>4T4R</v>
          </cell>
        </row>
        <row r="1646">
          <cell r="E1646" t="str">
            <v>ZKAD15</v>
          </cell>
        </row>
        <row r="1646">
          <cell r="G1646" t="str">
            <v>ZKAD15-M-L85-C1</v>
          </cell>
        </row>
        <row r="1646">
          <cell r="I1646">
            <v>79.9685</v>
          </cell>
          <cell r="J1646">
            <v>7.00512</v>
          </cell>
        </row>
        <row r="1646">
          <cell r="AA1646" t="str">
            <v>2T2R</v>
          </cell>
        </row>
        <row r="1647">
          <cell r="E1647" t="str">
            <v>ZKAD15</v>
          </cell>
        </row>
        <row r="1647">
          <cell r="G1647" t="str">
            <v>ZKAD15-M-L85-B1</v>
          </cell>
        </row>
        <row r="1647">
          <cell r="I1647">
            <v>79.9685</v>
          </cell>
          <cell r="J1647">
            <v>7.00512</v>
          </cell>
        </row>
        <row r="1647">
          <cell r="AA1647" t="str">
            <v>2T2R</v>
          </cell>
        </row>
        <row r="1648">
          <cell r="E1648" t="str">
            <v>ZKAD15</v>
          </cell>
        </row>
        <row r="1648">
          <cell r="G1648" t="str">
            <v>ZKAD15-M-L85-A1</v>
          </cell>
        </row>
        <row r="1648">
          <cell r="I1648">
            <v>79.9685</v>
          </cell>
          <cell r="J1648">
            <v>7.00512</v>
          </cell>
        </row>
        <row r="1648">
          <cell r="AA1648" t="str">
            <v>2T2R</v>
          </cell>
        </row>
        <row r="1649">
          <cell r="E1649" t="str">
            <v>ZKAD15</v>
          </cell>
        </row>
        <row r="1649">
          <cell r="G1649" t="str">
            <v>ZKAD15-M-L21-C2</v>
          </cell>
        </row>
        <row r="1649">
          <cell r="I1649">
            <v>79.9685</v>
          </cell>
          <cell r="J1649">
            <v>7.00512</v>
          </cell>
        </row>
        <row r="1649">
          <cell r="AA1649" t="str">
            <v>2T2R</v>
          </cell>
        </row>
        <row r="1650">
          <cell r="E1650" t="str">
            <v>ZKAD15</v>
          </cell>
        </row>
        <row r="1650">
          <cell r="G1650" t="str">
            <v>ZKAD15-M-L21-B2</v>
          </cell>
        </row>
        <row r="1650">
          <cell r="I1650">
            <v>79.9685</v>
          </cell>
          <cell r="J1650">
            <v>7.00512</v>
          </cell>
        </row>
        <row r="1650">
          <cell r="AA1650" t="str">
            <v>2T2R</v>
          </cell>
        </row>
        <row r="1651">
          <cell r="E1651" t="str">
            <v>ZKAD15</v>
          </cell>
        </row>
        <row r="1651">
          <cell r="G1651" t="str">
            <v>ZKAD15-M-L21-A2</v>
          </cell>
        </row>
        <row r="1651">
          <cell r="I1651">
            <v>79.9685</v>
          </cell>
          <cell r="J1651">
            <v>7.00512</v>
          </cell>
        </row>
        <row r="1651">
          <cell r="AA1651" t="str">
            <v>2T2R</v>
          </cell>
        </row>
        <row r="1652">
          <cell r="E1652" t="str">
            <v>ZKAD04</v>
          </cell>
        </row>
        <row r="1652">
          <cell r="G1652" t="str">
            <v>ZKAD04G</v>
          </cell>
        </row>
        <row r="1652">
          <cell r="I1652">
            <v>79.9686</v>
          </cell>
          <cell r="J1652">
            <v>7.01725</v>
          </cell>
        </row>
        <row r="1652">
          <cell r="AA1652" t="str">
            <v>2T2R</v>
          </cell>
        </row>
        <row r="1653">
          <cell r="E1653" t="str">
            <v>ZKAD04</v>
          </cell>
        </row>
        <row r="1653">
          <cell r="G1653" t="str">
            <v>ZKAD04H</v>
          </cell>
        </row>
        <row r="1653">
          <cell r="I1653">
            <v>79.9686</v>
          </cell>
          <cell r="J1653">
            <v>7.01725</v>
          </cell>
        </row>
        <row r="1653">
          <cell r="AA1653" t="str">
            <v>4T4R</v>
          </cell>
        </row>
        <row r="1654">
          <cell r="E1654" t="str">
            <v>ZKAD04</v>
          </cell>
        </row>
        <row r="1654">
          <cell r="G1654" t="str">
            <v>ZKAD04I</v>
          </cell>
        </row>
        <row r="1654">
          <cell r="I1654">
            <v>79.9686</v>
          </cell>
          <cell r="J1654">
            <v>7.01725</v>
          </cell>
        </row>
        <row r="1654">
          <cell r="AA1654" t="str">
            <v>4T4R</v>
          </cell>
        </row>
        <row r="1655">
          <cell r="E1655" t="str">
            <v>ZKAD04</v>
          </cell>
        </row>
        <row r="1655">
          <cell r="G1655" t="str">
            <v>ZKAD04-M-L85-C1</v>
          </cell>
        </row>
        <row r="1655">
          <cell r="I1655">
            <v>79.9686</v>
          </cell>
          <cell r="J1655">
            <v>7.01725</v>
          </cell>
        </row>
        <row r="1655">
          <cell r="AA1655" t="str">
            <v>2T2R</v>
          </cell>
        </row>
        <row r="1656">
          <cell r="E1656" t="str">
            <v>ZKAD04</v>
          </cell>
        </row>
        <row r="1656">
          <cell r="G1656" t="str">
            <v>ZKAD04-M-L85-B1</v>
          </cell>
        </row>
        <row r="1656">
          <cell r="I1656">
            <v>79.9686</v>
          </cell>
          <cell r="J1656">
            <v>7.01725</v>
          </cell>
        </row>
        <row r="1656">
          <cell r="AA1656" t="str">
            <v>2T2R</v>
          </cell>
        </row>
        <row r="1657">
          <cell r="E1657" t="str">
            <v>ZKAD04</v>
          </cell>
        </row>
        <row r="1657">
          <cell r="G1657" t="str">
            <v>ZKAD04-M-L85-A1</v>
          </cell>
        </row>
        <row r="1657">
          <cell r="I1657">
            <v>79.9686</v>
          </cell>
          <cell r="J1657">
            <v>7.01725</v>
          </cell>
        </row>
        <row r="1657">
          <cell r="AA1657" t="str">
            <v>2T2R</v>
          </cell>
        </row>
        <row r="1658">
          <cell r="E1658" t="str">
            <v>ZKAD04</v>
          </cell>
        </row>
        <row r="1658">
          <cell r="G1658" t="str">
            <v>ZKAD04-M-L18-B1</v>
          </cell>
        </row>
        <row r="1658">
          <cell r="I1658">
            <v>79.9686</v>
          </cell>
          <cell r="J1658">
            <v>7.01725</v>
          </cell>
        </row>
        <row r="1658">
          <cell r="AA1658" t="str">
            <v>4T4R</v>
          </cell>
        </row>
        <row r="1659">
          <cell r="E1659" t="str">
            <v>ZKAD04</v>
          </cell>
        </row>
        <row r="1659">
          <cell r="G1659" t="str">
            <v>ZKAD04-M-L21-C2</v>
          </cell>
        </row>
        <row r="1659">
          <cell r="I1659">
            <v>79.9686</v>
          </cell>
          <cell r="J1659">
            <v>7.01725</v>
          </cell>
        </row>
        <row r="1659">
          <cell r="AA1659" t="str">
            <v>4T4R</v>
          </cell>
        </row>
        <row r="1660">
          <cell r="E1660" t="str">
            <v>ZKAD04</v>
          </cell>
        </row>
        <row r="1660">
          <cell r="G1660" t="str">
            <v>ZKAD04-M-L21-B2</v>
          </cell>
        </row>
        <row r="1660">
          <cell r="I1660">
            <v>79.9686</v>
          </cell>
          <cell r="J1660">
            <v>7.01725</v>
          </cell>
        </row>
        <row r="1660">
          <cell r="AA1660" t="str">
            <v>2T2R</v>
          </cell>
        </row>
        <row r="1661">
          <cell r="E1661" t="str">
            <v>ZKAD04</v>
          </cell>
        </row>
        <row r="1661">
          <cell r="G1661" t="str">
            <v>ZKAD04-M-L21-A2</v>
          </cell>
        </row>
        <row r="1661">
          <cell r="I1661">
            <v>79.9686</v>
          </cell>
          <cell r="J1661">
            <v>7.01725</v>
          </cell>
        </row>
        <row r="1661">
          <cell r="AA1661" t="str">
            <v>2T2R</v>
          </cell>
        </row>
        <row r="1662">
          <cell r="E1662" t="str">
            <v>ZKAD04</v>
          </cell>
        </row>
        <row r="1662">
          <cell r="G1662" t="str">
            <v>ZKAD04-M-L18-A1</v>
          </cell>
        </row>
        <row r="1662">
          <cell r="I1662">
            <v>79.9686</v>
          </cell>
          <cell r="J1662">
            <v>7.01725</v>
          </cell>
        </row>
        <row r="1662">
          <cell r="AA1662" t="str">
            <v>2T2R</v>
          </cell>
        </row>
        <row r="1663">
          <cell r="E1663" t="str">
            <v>ZKAD04</v>
          </cell>
        </row>
        <row r="1663">
          <cell r="G1663" t="str">
            <v>ZKAD04-M-L21-B1</v>
          </cell>
        </row>
        <row r="1663">
          <cell r="I1663">
            <v>79.9686</v>
          </cell>
          <cell r="J1663">
            <v>7.01725</v>
          </cell>
        </row>
        <row r="1663">
          <cell r="AA1663" t="str">
            <v>4T4R</v>
          </cell>
        </row>
        <row r="1664">
          <cell r="E1664" t="str">
            <v>ZBIY23</v>
          </cell>
        </row>
        <row r="1664">
          <cell r="G1664" t="str">
            <v>ZBIY23I</v>
          </cell>
        </row>
        <row r="1664">
          <cell r="I1664">
            <v>79.9691</v>
          </cell>
          <cell r="J1664">
            <v>6.96226</v>
          </cell>
        </row>
        <row r="1664">
          <cell r="AA1664" t="str">
            <v>4T4R</v>
          </cell>
        </row>
        <row r="1665">
          <cell r="E1665" t="str">
            <v>ZBIY23</v>
          </cell>
        </row>
        <row r="1665">
          <cell r="G1665" t="str">
            <v>ZBIY23H</v>
          </cell>
        </row>
        <row r="1665">
          <cell r="I1665">
            <v>79.9691</v>
          </cell>
          <cell r="J1665">
            <v>6.96226</v>
          </cell>
        </row>
        <row r="1665">
          <cell r="AA1665" t="str">
            <v>4T4R</v>
          </cell>
        </row>
        <row r="1666">
          <cell r="E1666" t="str">
            <v>ZBIY23</v>
          </cell>
        </row>
        <row r="1666">
          <cell r="G1666" t="str">
            <v>ZBIY23G</v>
          </cell>
        </row>
        <row r="1666">
          <cell r="I1666">
            <v>79.9691</v>
          </cell>
          <cell r="J1666">
            <v>6.96226</v>
          </cell>
        </row>
        <row r="1666">
          <cell r="AA1666" t="str">
            <v>2T2R</v>
          </cell>
        </row>
        <row r="1667">
          <cell r="E1667" t="str">
            <v>ZBIY23</v>
          </cell>
        </row>
        <row r="1667">
          <cell r="G1667" t="str">
            <v>ZBIY23-M-L18-D1</v>
          </cell>
        </row>
        <row r="1667">
          <cell r="I1667">
            <v>79.9691</v>
          </cell>
          <cell r="J1667">
            <v>6.96226</v>
          </cell>
        </row>
        <row r="1667">
          <cell r="AA1667" t="str">
            <v>2T2R</v>
          </cell>
        </row>
        <row r="1668">
          <cell r="E1668" t="str">
            <v>ZBIY23</v>
          </cell>
        </row>
        <row r="1668">
          <cell r="G1668" t="str">
            <v>ZBIY23-M-L21-C2</v>
          </cell>
        </row>
        <row r="1668">
          <cell r="I1668">
            <v>79.9691</v>
          </cell>
          <cell r="J1668">
            <v>6.96226</v>
          </cell>
        </row>
        <row r="1668">
          <cell r="AA1668" t="str">
            <v>2T2R</v>
          </cell>
        </row>
        <row r="1669">
          <cell r="E1669" t="str">
            <v>ZBIY23</v>
          </cell>
        </row>
        <row r="1669">
          <cell r="G1669" t="str">
            <v>ZBIY23-M-L21-B2</v>
          </cell>
        </row>
        <row r="1669">
          <cell r="I1669">
            <v>79.9691</v>
          </cell>
          <cell r="J1669">
            <v>6.96226</v>
          </cell>
        </row>
        <row r="1669">
          <cell r="AA1669" t="str">
            <v>2T2R</v>
          </cell>
        </row>
        <row r="1670">
          <cell r="E1670" t="str">
            <v>ZBIY23</v>
          </cell>
        </row>
        <row r="1670">
          <cell r="G1670" t="str">
            <v>ZBIY23-M-L21-A2</v>
          </cell>
        </row>
        <row r="1670">
          <cell r="I1670">
            <v>79.9691</v>
          </cell>
          <cell r="J1670">
            <v>6.96226</v>
          </cell>
        </row>
        <row r="1670">
          <cell r="AA1670" t="str">
            <v>2T2R</v>
          </cell>
        </row>
        <row r="1671">
          <cell r="E1671" t="str">
            <v>ZKAD40</v>
          </cell>
        </row>
        <row r="1671">
          <cell r="G1671" t="str">
            <v>ZKAD40-M-L21-C2</v>
          </cell>
        </row>
        <row r="1671">
          <cell r="I1671">
            <v>79.9709</v>
          </cell>
          <cell r="J1671">
            <v>6.9988</v>
          </cell>
        </row>
        <row r="1671">
          <cell r="AA1671" t="str">
            <v>2T2R</v>
          </cell>
        </row>
        <row r="1672">
          <cell r="E1672" t="str">
            <v>ZKAD40</v>
          </cell>
        </row>
        <row r="1672">
          <cell r="G1672" t="str">
            <v>ZKAD40-M-L21-B2</v>
          </cell>
        </row>
        <row r="1672">
          <cell r="I1672">
            <v>79.9709</v>
          </cell>
          <cell r="J1672">
            <v>6.9988</v>
          </cell>
        </row>
        <row r="1672">
          <cell r="AA1672" t="str">
            <v>2T2R</v>
          </cell>
        </row>
        <row r="1673">
          <cell r="E1673" t="str">
            <v>ZKAD40</v>
          </cell>
        </row>
        <row r="1673">
          <cell r="G1673" t="str">
            <v>ZKAD40-M-L21-A2</v>
          </cell>
        </row>
        <row r="1673">
          <cell r="I1673">
            <v>79.9709</v>
          </cell>
          <cell r="J1673">
            <v>6.9988</v>
          </cell>
        </row>
        <row r="1673">
          <cell r="AA1673" t="str">
            <v>2T2R</v>
          </cell>
        </row>
        <row r="1674">
          <cell r="E1674" t="str">
            <v>ZKAD22</v>
          </cell>
        </row>
        <row r="1674">
          <cell r="G1674" t="str">
            <v>ZKAD22I</v>
          </cell>
        </row>
        <row r="1674">
          <cell r="I1674">
            <v>79.9715</v>
          </cell>
          <cell r="J1674">
            <v>7.02692</v>
          </cell>
        </row>
        <row r="1674">
          <cell r="AA1674" t="str">
            <v>4T4R</v>
          </cell>
        </row>
        <row r="1675">
          <cell r="E1675" t="str">
            <v>ZKAD22</v>
          </cell>
        </row>
        <row r="1675">
          <cell r="G1675" t="str">
            <v>ZKAD22H</v>
          </cell>
        </row>
        <row r="1675">
          <cell r="I1675">
            <v>79.9715</v>
          </cell>
          <cell r="J1675">
            <v>7.02692</v>
          </cell>
        </row>
        <row r="1675">
          <cell r="AA1675" t="str">
            <v>4T4R</v>
          </cell>
        </row>
        <row r="1676">
          <cell r="E1676" t="str">
            <v>ZKAD22</v>
          </cell>
        </row>
        <row r="1676">
          <cell r="G1676" t="str">
            <v>ZKAD22G</v>
          </cell>
        </row>
        <row r="1676">
          <cell r="I1676">
            <v>79.9715</v>
          </cell>
          <cell r="J1676">
            <v>7.02692</v>
          </cell>
        </row>
        <row r="1676">
          <cell r="AA1676" t="str">
            <v>4T4R</v>
          </cell>
        </row>
        <row r="1677">
          <cell r="E1677" t="str">
            <v>ZKAD22</v>
          </cell>
        </row>
        <row r="1677">
          <cell r="G1677" t="str">
            <v>ZKAD22-M-L85-C1</v>
          </cell>
        </row>
        <row r="1677">
          <cell r="I1677">
            <v>79.9715</v>
          </cell>
          <cell r="J1677">
            <v>7.02692</v>
          </cell>
        </row>
        <row r="1677">
          <cell r="AA1677" t="str">
            <v>2T2R</v>
          </cell>
        </row>
        <row r="1678">
          <cell r="E1678" t="str">
            <v>ZKAD22</v>
          </cell>
        </row>
        <row r="1678">
          <cell r="G1678" t="str">
            <v>ZKAD22-M-L85-B1</v>
          </cell>
        </row>
        <row r="1678">
          <cell r="I1678">
            <v>79.9715</v>
          </cell>
          <cell r="J1678">
            <v>7.02692</v>
          </cell>
        </row>
        <row r="1678">
          <cell r="AA1678" t="str">
            <v>2T2R</v>
          </cell>
        </row>
        <row r="1679">
          <cell r="E1679" t="str">
            <v>ZKAD22</v>
          </cell>
        </row>
        <row r="1679">
          <cell r="G1679" t="str">
            <v>ZKAD22-M-L85-A1</v>
          </cell>
        </row>
        <row r="1679">
          <cell r="I1679">
            <v>79.9715</v>
          </cell>
          <cell r="J1679">
            <v>7.02692</v>
          </cell>
        </row>
        <row r="1679">
          <cell r="AA1679" t="str">
            <v>2T2R</v>
          </cell>
        </row>
        <row r="1680">
          <cell r="E1680" t="str">
            <v>ZKAD22</v>
          </cell>
        </row>
        <row r="1680">
          <cell r="G1680" t="str">
            <v>ZKAD22-M-L21-C2</v>
          </cell>
        </row>
        <row r="1680">
          <cell r="I1680">
            <v>79.9715</v>
          </cell>
          <cell r="J1680">
            <v>7.02692</v>
          </cell>
        </row>
        <row r="1680">
          <cell r="AA1680" t="str">
            <v>2T2R</v>
          </cell>
        </row>
        <row r="1681">
          <cell r="E1681" t="str">
            <v>ZKAD22</v>
          </cell>
        </row>
        <row r="1681">
          <cell r="G1681" t="str">
            <v>ZKAD22-M-L21-B2</v>
          </cell>
        </row>
        <row r="1681">
          <cell r="I1681">
            <v>79.9715</v>
          </cell>
          <cell r="J1681">
            <v>7.02692</v>
          </cell>
        </row>
        <row r="1681">
          <cell r="AA1681" t="str">
            <v>2T2R</v>
          </cell>
        </row>
        <row r="1682">
          <cell r="E1682" t="str">
            <v>ZKAD22</v>
          </cell>
        </row>
        <row r="1682">
          <cell r="G1682" t="str">
            <v>ZKAD22-M-L21-A2</v>
          </cell>
        </row>
        <row r="1682">
          <cell r="I1682">
            <v>79.9715</v>
          </cell>
          <cell r="J1682">
            <v>7.02692</v>
          </cell>
        </row>
        <row r="1682">
          <cell r="AA1682" t="str">
            <v>2T2R</v>
          </cell>
        </row>
        <row r="1683">
          <cell r="E1683" t="str">
            <v>GMMIN3</v>
          </cell>
        </row>
        <row r="1683">
          <cell r="G1683" t="str">
            <v>GMMIN3I</v>
          </cell>
        </row>
        <row r="1683">
          <cell r="I1683">
            <v>79.9717</v>
          </cell>
          <cell r="J1683">
            <v>7.18936</v>
          </cell>
        </row>
        <row r="1683">
          <cell r="AA1683" t="str">
            <v>2T2R</v>
          </cell>
        </row>
        <row r="1684">
          <cell r="E1684" t="str">
            <v>GMMIN3</v>
          </cell>
        </row>
        <row r="1684">
          <cell r="G1684" t="str">
            <v>GMMIN3H</v>
          </cell>
        </row>
        <row r="1684">
          <cell r="I1684">
            <v>79.9717</v>
          </cell>
          <cell r="J1684">
            <v>7.18936</v>
          </cell>
        </row>
        <row r="1684">
          <cell r="AA1684" t="str">
            <v>2T2R</v>
          </cell>
        </row>
        <row r="1685">
          <cell r="E1685" t="str">
            <v>GMMIN3</v>
          </cell>
        </row>
        <row r="1685">
          <cell r="G1685" t="str">
            <v>GMMIN3G</v>
          </cell>
        </row>
        <row r="1685">
          <cell r="I1685">
            <v>79.9717</v>
          </cell>
          <cell r="J1685">
            <v>7.18936</v>
          </cell>
        </row>
        <row r="1685">
          <cell r="AA1685" t="str">
            <v>2T2R</v>
          </cell>
        </row>
        <row r="1686">
          <cell r="E1686" t="str">
            <v>GMMIN3</v>
          </cell>
        </row>
        <row r="1686">
          <cell r="G1686" t="str">
            <v>GMMIN3-M-L85-C1</v>
          </cell>
        </row>
        <row r="1686">
          <cell r="I1686">
            <v>79.9717</v>
          </cell>
          <cell r="J1686">
            <v>7.18936</v>
          </cell>
        </row>
        <row r="1686">
          <cell r="AA1686" t="str">
            <v>2T2R</v>
          </cell>
        </row>
        <row r="1687">
          <cell r="E1687" t="str">
            <v>GMMIN3</v>
          </cell>
        </row>
        <row r="1687">
          <cell r="G1687" t="str">
            <v>GMMIN3-M-L85-B1</v>
          </cell>
        </row>
        <row r="1687">
          <cell r="I1687">
            <v>79.9717</v>
          </cell>
          <cell r="J1687">
            <v>7.18936</v>
          </cell>
        </row>
        <row r="1687">
          <cell r="AA1687" t="str">
            <v>2T2R</v>
          </cell>
        </row>
        <row r="1688">
          <cell r="E1688" t="str">
            <v>GMMIN3</v>
          </cell>
        </row>
        <row r="1688">
          <cell r="G1688" t="str">
            <v>GMMIN3-M-L85-A1</v>
          </cell>
        </row>
        <row r="1688">
          <cell r="I1688">
            <v>79.9717</v>
          </cell>
          <cell r="J1688">
            <v>7.18936</v>
          </cell>
        </row>
        <row r="1688">
          <cell r="AA1688" t="str">
            <v>2T2R</v>
          </cell>
        </row>
        <row r="1689">
          <cell r="E1689" t="str">
            <v>GMMIN3</v>
          </cell>
        </row>
        <row r="1689">
          <cell r="G1689" t="str">
            <v>GMMIN3-M-L18-H1</v>
          </cell>
        </row>
        <row r="1689">
          <cell r="I1689">
            <v>79.9717</v>
          </cell>
          <cell r="J1689">
            <v>7.18936</v>
          </cell>
        </row>
        <row r="1689">
          <cell r="AA1689" t="str">
            <v>2T2R</v>
          </cell>
        </row>
        <row r="1690">
          <cell r="E1690" t="str">
            <v>GMKRW2</v>
          </cell>
        </row>
        <row r="1690">
          <cell r="G1690" t="str">
            <v>GMKRW2-M-L85-A1</v>
          </cell>
        </row>
        <row r="1690">
          <cell r="I1690">
            <v>79.9726</v>
          </cell>
          <cell r="J1690">
            <v>7.082</v>
          </cell>
        </row>
        <row r="1690">
          <cell r="AA1690" t="str">
            <v>2T2R</v>
          </cell>
        </row>
        <row r="1691">
          <cell r="E1691" t="str">
            <v>GMKRW2</v>
          </cell>
        </row>
        <row r="1691">
          <cell r="G1691" t="str">
            <v>GMKRW2-M-L85-B1</v>
          </cell>
        </row>
        <row r="1691">
          <cell r="I1691">
            <v>79.9726</v>
          </cell>
          <cell r="J1691">
            <v>7.082</v>
          </cell>
        </row>
        <row r="1691">
          <cell r="AA1691" t="str">
            <v>2T2R</v>
          </cell>
        </row>
        <row r="1692">
          <cell r="E1692" t="str">
            <v>GMKRW2</v>
          </cell>
        </row>
        <row r="1692">
          <cell r="G1692" t="str">
            <v>GMKRW2-M-L85-C1</v>
          </cell>
        </row>
        <row r="1692">
          <cell r="I1692">
            <v>79.9726</v>
          </cell>
          <cell r="J1692">
            <v>7.082</v>
          </cell>
        </row>
        <row r="1692">
          <cell r="AA1692" t="str">
            <v>2T2R</v>
          </cell>
        </row>
        <row r="1693">
          <cell r="E1693" t="str">
            <v>GMKRW2</v>
          </cell>
        </row>
        <row r="1693">
          <cell r="G1693" t="str">
            <v>GMKRW2-M-L21-C2</v>
          </cell>
        </row>
        <row r="1693">
          <cell r="I1693">
            <v>79.9726</v>
          </cell>
          <cell r="J1693">
            <v>7.082</v>
          </cell>
        </row>
        <row r="1693">
          <cell r="AA1693" t="str">
            <v>2T2R</v>
          </cell>
        </row>
        <row r="1694">
          <cell r="E1694" t="str">
            <v>GMKRW2</v>
          </cell>
        </row>
        <row r="1694">
          <cell r="G1694" t="str">
            <v>GMKRW2-M-L21-B2</v>
          </cell>
        </row>
        <row r="1694">
          <cell r="I1694">
            <v>79.9726</v>
          </cell>
          <cell r="J1694">
            <v>7.082</v>
          </cell>
        </row>
        <row r="1694">
          <cell r="AA1694" t="str">
            <v>2T2R</v>
          </cell>
        </row>
        <row r="1695">
          <cell r="E1695" t="str">
            <v>GMKRW2</v>
          </cell>
        </row>
        <row r="1695">
          <cell r="G1695" t="str">
            <v>GMKRW2I</v>
          </cell>
        </row>
        <row r="1695">
          <cell r="I1695">
            <v>79.9726</v>
          </cell>
          <cell r="J1695">
            <v>7.082</v>
          </cell>
        </row>
        <row r="1695">
          <cell r="AA1695" t="str">
            <v>4T4R</v>
          </cell>
        </row>
        <row r="1696">
          <cell r="E1696" t="str">
            <v>GMKRW2</v>
          </cell>
        </row>
        <row r="1696">
          <cell r="G1696" t="str">
            <v>GMKRW2H</v>
          </cell>
        </row>
        <row r="1696">
          <cell r="I1696">
            <v>79.9726</v>
          </cell>
          <cell r="J1696">
            <v>7.082</v>
          </cell>
        </row>
        <row r="1696">
          <cell r="AA1696" t="str">
            <v>4T4R</v>
          </cell>
        </row>
        <row r="1697">
          <cell r="E1697" t="str">
            <v>GMKRW2</v>
          </cell>
        </row>
        <row r="1697">
          <cell r="G1697" t="str">
            <v>GMKRW2G</v>
          </cell>
        </row>
        <row r="1697">
          <cell r="I1697">
            <v>79.9726</v>
          </cell>
          <cell r="J1697">
            <v>7.082</v>
          </cell>
        </row>
        <row r="1697">
          <cell r="AA1697" t="str">
            <v>4T4R</v>
          </cell>
        </row>
        <row r="1698">
          <cell r="E1698" t="str">
            <v>GMBAD1</v>
          </cell>
        </row>
        <row r="1698">
          <cell r="G1698" t="str">
            <v>GMBAD1-M-L85-C1</v>
          </cell>
        </row>
        <row r="1698">
          <cell r="I1698">
            <v>79.9736</v>
          </cell>
          <cell r="J1698">
            <v>7.28053</v>
          </cell>
        </row>
        <row r="1698">
          <cell r="AA1698" t="str">
            <v>2T2R</v>
          </cell>
        </row>
        <row r="1699">
          <cell r="E1699" t="str">
            <v>GMBAD1</v>
          </cell>
        </row>
        <row r="1699">
          <cell r="G1699" t="str">
            <v>GMBAD1-M-L85-B1</v>
          </cell>
        </row>
        <row r="1699">
          <cell r="I1699">
            <v>79.9736</v>
          </cell>
          <cell r="J1699">
            <v>7.28053</v>
          </cell>
        </row>
        <row r="1699">
          <cell r="AA1699" t="str">
            <v>2T2R</v>
          </cell>
        </row>
        <row r="1700">
          <cell r="E1700" t="str">
            <v>GMBAD1</v>
          </cell>
        </row>
        <row r="1700">
          <cell r="G1700" t="str">
            <v>GMBAD1-M-L85-A1</v>
          </cell>
        </row>
        <row r="1700">
          <cell r="I1700">
            <v>79.9736</v>
          </cell>
          <cell r="J1700">
            <v>7.28053</v>
          </cell>
        </row>
        <row r="1700">
          <cell r="AA1700" t="str">
            <v>2T2R</v>
          </cell>
        </row>
        <row r="1701">
          <cell r="E1701" t="str">
            <v>GMBAD1</v>
          </cell>
        </row>
        <row r="1701">
          <cell r="G1701" t="str">
            <v>GMBAD1-M-L21-C2</v>
          </cell>
        </row>
        <row r="1701">
          <cell r="I1701">
            <v>79.9736</v>
          </cell>
          <cell r="J1701">
            <v>7.28053</v>
          </cell>
        </row>
        <row r="1701">
          <cell r="AA1701" t="str">
            <v>2T2R</v>
          </cell>
        </row>
        <row r="1702">
          <cell r="E1702" t="str">
            <v>GMBAD1</v>
          </cell>
        </row>
        <row r="1702">
          <cell r="G1702" t="str">
            <v>GMBAD1-M-L21-B2</v>
          </cell>
        </row>
        <row r="1702">
          <cell r="I1702">
            <v>79.9736</v>
          </cell>
          <cell r="J1702">
            <v>7.28053</v>
          </cell>
        </row>
        <row r="1702">
          <cell r="AA1702" t="str">
            <v>2T2R</v>
          </cell>
        </row>
        <row r="1703">
          <cell r="E1703" t="str">
            <v>GMBAD1</v>
          </cell>
        </row>
        <row r="1703">
          <cell r="G1703" t="str">
            <v>GMBAD1-M-L21-A2</v>
          </cell>
        </row>
        <row r="1703">
          <cell r="I1703">
            <v>79.9736</v>
          </cell>
          <cell r="J1703">
            <v>7.28053</v>
          </cell>
        </row>
        <row r="1703">
          <cell r="AA1703" t="str">
            <v>2T2R</v>
          </cell>
        </row>
        <row r="1704">
          <cell r="E1704" t="str">
            <v>GMWEE1</v>
          </cell>
        </row>
        <row r="1704">
          <cell r="G1704" t="str">
            <v>GMWEE1I</v>
          </cell>
        </row>
        <row r="1704">
          <cell r="I1704">
            <v>79.9742</v>
          </cell>
          <cell r="J1704">
            <v>7.14159</v>
          </cell>
        </row>
        <row r="1704">
          <cell r="AA1704" t="str">
            <v>2T2R</v>
          </cell>
        </row>
        <row r="1705">
          <cell r="E1705" t="str">
            <v>GMWEE1</v>
          </cell>
        </row>
        <row r="1705">
          <cell r="G1705" t="str">
            <v>GMWEE1H</v>
          </cell>
        </row>
        <row r="1705">
          <cell r="I1705">
            <v>79.9742</v>
          </cell>
          <cell r="J1705">
            <v>7.14159</v>
          </cell>
        </row>
        <row r="1705">
          <cell r="AA1705" t="str">
            <v>2T2R</v>
          </cell>
        </row>
        <row r="1706">
          <cell r="E1706" t="str">
            <v>GMWEE1</v>
          </cell>
        </row>
        <row r="1706">
          <cell r="G1706" t="str">
            <v>GMWEE1G</v>
          </cell>
        </row>
        <row r="1706">
          <cell r="I1706">
            <v>79.9742</v>
          </cell>
          <cell r="J1706">
            <v>7.14159</v>
          </cell>
        </row>
        <row r="1706">
          <cell r="AA1706" t="str">
            <v>2T2R</v>
          </cell>
        </row>
        <row r="1707">
          <cell r="E1707" t="str">
            <v>GMKOS1</v>
          </cell>
        </row>
        <row r="1707">
          <cell r="G1707" t="str">
            <v>GMKOS1I</v>
          </cell>
        </row>
        <row r="1707">
          <cell r="I1707">
            <v>79.9745</v>
          </cell>
          <cell r="J1707">
            <v>7.05276</v>
          </cell>
        </row>
        <row r="1707">
          <cell r="AA1707" t="str">
            <v>4T4R</v>
          </cell>
        </row>
        <row r="1708">
          <cell r="E1708" t="str">
            <v>GMKOS1</v>
          </cell>
        </row>
        <row r="1708">
          <cell r="G1708" t="str">
            <v>GMKOS1H</v>
          </cell>
        </row>
        <row r="1708">
          <cell r="I1708">
            <v>79.9745</v>
          </cell>
          <cell r="J1708">
            <v>7.05276</v>
          </cell>
        </row>
        <row r="1708">
          <cell r="AA1708" t="str">
            <v>4T4R</v>
          </cell>
        </row>
        <row r="1709">
          <cell r="E1709" t="str">
            <v>GMKOS1</v>
          </cell>
        </row>
        <row r="1709">
          <cell r="G1709" t="str">
            <v>GMKOS1G</v>
          </cell>
        </row>
        <row r="1709">
          <cell r="I1709">
            <v>79.9745</v>
          </cell>
          <cell r="J1709">
            <v>7.05276</v>
          </cell>
        </row>
        <row r="1709">
          <cell r="AA1709" t="str">
            <v>4T4R</v>
          </cell>
        </row>
        <row r="1710">
          <cell r="E1710" t="str">
            <v>GMKOS1</v>
          </cell>
        </row>
        <row r="1710">
          <cell r="G1710" t="str">
            <v>GMKOS1-M-L85-C1</v>
          </cell>
        </row>
        <row r="1710">
          <cell r="I1710">
            <v>79.9745</v>
          </cell>
          <cell r="J1710">
            <v>7.05276</v>
          </cell>
        </row>
        <row r="1710">
          <cell r="AA1710" t="str">
            <v>2T2R</v>
          </cell>
        </row>
        <row r="1711">
          <cell r="E1711" t="str">
            <v>GMKOS1</v>
          </cell>
        </row>
        <row r="1711">
          <cell r="G1711" t="str">
            <v>GMKOS1-M-L85-B1</v>
          </cell>
        </row>
        <row r="1711">
          <cell r="I1711">
            <v>79.9745</v>
          </cell>
          <cell r="J1711">
            <v>7.05276</v>
          </cell>
        </row>
        <row r="1711">
          <cell r="AA1711" t="str">
            <v>2T2R</v>
          </cell>
        </row>
        <row r="1712">
          <cell r="E1712" t="str">
            <v>GMKOS1</v>
          </cell>
        </row>
        <row r="1712">
          <cell r="G1712" t="str">
            <v>GMKOS1-M-L85-A1</v>
          </cell>
        </row>
        <row r="1712">
          <cell r="I1712">
            <v>79.9745</v>
          </cell>
          <cell r="J1712">
            <v>7.05276</v>
          </cell>
        </row>
        <row r="1712">
          <cell r="AA1712" t="str">
            <v>2T2R</v>
          </cell>
        </row>
        <row r="1713">
          <cell r="E1713" t="str">
            <v>GMKOS1</v>
          </cell>
        </row>
        <row r="1713">
          <cell r="G1713" t="str">
            <v>GMKOS1-M-L21-C2</v>
          </cell>
        </row>
        <row r="1713">
          <cell r="I1713">
            <v>79.9745</v>
          </cell>
          <cell r="J1713">
            <v>7.05276</v>
          </cell>
        </row>
        <row r="1713">
          <cell r="AA1713" t="str">
            <v>2T2R</v>
          </cell>
        </row>
        <row r="1714">
          <cell r="E1714" t="str">
            <v>GMKOS1</v>
          </cell>
        </row>
        <row r="1714">
          <cell r="G1714" t="str">
            <v>GMKOS1-M-L21-B2</v>
          </cell>
        </row>
        <row r="1714">
          <cell r="I1714">
            <v>79.9745</v>
          </cell>
          <cell r="J1714">
            <v>7.05276</v>
          </cell>
        </row>
        <row r="1714">
          <cell r="AA1714" t="str">
            <v>2T2R</v>
          </cell>
        </row>
        <row r="1715">
          <cell r="E1715" t="str">
            <v>GMKOS1</v>
          </cell>
        </row>
        <row r="1715">
          <cell r="G1715" t="str">
            <v>GMKOS1-M-L21-A2</v>
          </cell>
        </row>
        <row r="1715">
          <cell r="I1715">
            <v>79.9745</v>
          </cell>
          <cell r="J1715">
            <v>7.05276</v>
          </cell>
        </row>
        <row r="1715">
          <cell r="AA1715" t="str">
            <v>2T2R</v>
          </cell>
        </row>
        <row r="1716">
          <cell r="E1716" t="str">
            <v>ZKAD05</v>
          </cell>
        </row>
        <row r="1716">
          <cell r="G1716" t="str">
            <v>ZKAD05-M-L21-C2</v>
          </cell>
        </row>
        <row r="1716">
          <cell r="I1716">
            <v>79.9749</v>
          </cell>
          <cell r="J1716">
            <v>6.98645</v>
          </cell>
        </row>
        <row r="1716">
          <cell r="AA1716" t="str">
            <v>2T2R</v>
          </cell>
        </row>
        <row r="1717">
          <cell r="E1717" t="str">
            <v>ZKAD05</v>
          </cell>
        </row>
        <row r="1717">
          <cell r="G1717" t="str">
            <v>ZKAD05-M-L21-B2</v>
          </cell>
        </row>
        <row r="1717">
          <cell r="I1717">
            <v>79.9749</v>
          </cell>
          <cell r="J1717">
            <v>6.98645</v>
          </cell>
        </row>
        <row r="1717">
          <cell r="AA1717" t="str">
            <v>4T4R</v>
          </cell>
        </row>
        <row r="1718">
          <cell r="E1718" t="str">
            <v>ZKAD05</v>
          </cell>
        </row>
        <row r="1718">
          <cell r="G1718" t="str">
            <v>ZKAD05-M-L21-A2</v>
          </cell>
        </row>
        <row r="1718">
          <cell r="I1718">
            <v>79.9749</v>
          </cell>
          <cell r="J1718">
            <v>6.98645</v>
          </cell>
        </row>
        <row r="1718">
          <cell r="AA1718" t="str">
            <v>2T2R</v>
          </cell>
        </row>
        <row r="1719">
          <cell r="E1719" t="str">
            <v>ZKAD05</v>
          </cell>
        </row>
        <row r="1719">
          <cell r="G1719" t="str">
            <v>ZKAD05-M-L18-F1</v>
          </cell>
        </row>
        <row r="1719">
          <cell r="I1719">
            <v>79.9749</v>
          </cell>
          <cell r="J1719">
            <v>6.98645</v>
          </cell>
        </row>
        <row r="1719">
          <cell r="AA1719" t="str">
            <v>2T2R</v>
          </cell>
        </row>
        <row r="1720">
          <cell r="E1720" t="str">
            <v>ZKAD05</v>
          </cell>
        </row>
        <row r="1720">
          <cell r="G1720" t="str">
            <v>ZKAD05-M-L21-B1</v>
          </cell>
        </row>
        <row r="1720">
          <cell r="I1720">
            <v>79.9749</v>
          </cell>
          <cell r="J1720">
            <v>6.98645</v>
          </cell>
        </row>
        <row r="1720">
          <cell r="AA1720" t="str">
            <v>4T4R</v>
          </cell>
        </row>
        <row r="1721">
          <cell r="E1721" t="str">
            <v>ZKAD05</v>
          </cell>
        </row>
        <row r="1721">
          <cell r="G1721" t="str">
            <v>ZKAD05-M-L18-H1</v>
          </cell>
        </row>
        <row r="1721">
          <cell r="I1721">
            <v>79.9749</v>
          </cell>
          <cell r="J1721">
            <v>6.98645</v>
          </cell>
        </row>
        <row r="1721">
          <cell r="AA1721" t="str">
            <v>4T4R</v>
          </cell>
        </row>
        <row r="1722">
          <cell r="E1722" t="str">
            <v>ZKAD05</v>
          </cell>
        </row>
        <row r="1722">
          <cell r="G1722" t="str">
            <v>ZKAD05G</v>
          </cell>
        </row>
        <row r="1722">
          <cell r="I1722">
            <v>79.9749</v>
          </cell>
          <cell r="J1722">
            <v>6.98645</v>
          </cell>
        </row>
        <row r="1722">
          <cell r="AA1722" t="str">
            <v>2T2R</v>
          </cell>
        </row>
        <row r="1723">
          <cell r="E1723" t="str">
            <v>ZKAD05</v>
          </cell>
        </row>
        <row r="1723">
          <cell r="G1723" t="str">
            <v>ZKAD05H</v>
          </cell>
        </row>
        <row r="1723">
          <cell r="I1723">
            <v>79.9749</v>
          </cell>
          <cell r="J1723">
            <v>6.98645</v>
          </cell>
        </row>
        <row r="1723">
          <cell r="AA1723" t="str">
            <v>4T4R</v>
          </cell>
        </row>
        <row r="1724">
          <cell r="E1724" t="str">
            <v>ZKAD05</v>
          </cell>
        </row>
        <row r="1724">
          <cell r="G1724" t="str">
            <v>ZKAD05I</v>
          </cell>
        </row>
        <row r="1724">
          <cell r="I1724">
            <v>79.9749</v>
          </cell>
          <cell r="J1724">
            <v>6.98645</v>
          </cell>
        </row>
        <row r="1724">
          <cell r="AA1724" t="str">
            <v>2T2R</v>
          </cell>
        </row>
        <row r="1725">
          <cell r="E1725" t="str">
            <v>ZKAD05</v>
          </cell>
        </row>
        <row r="1725">
          <cell r="G1725" t="str">
            <v>ZKAD05-M-L85-C1</v>
          </cell>
        </row>
        <row r="1725">
          <cell r="I1725">
            <v>79.9749</v>
          </cell>
          <cell r="J1725">
            <v>6.98645</v>
          </cell>
        </row>
        <row r="1725">
          <cell r="AA1725" t="str">
            <v>2T2R</v>
          </cell>
        </row>
        <row r="1726">
          <cell r="E1726" t="str">
            <v>ZKAD05</v>
          </cell>
        </row>
        <row r="1726">
          <cell r="G1726" t="str">
            <v>ZKAD05-M-L85-B1</v>
          </cell>
        </row>
        <row r="1726">
          <cell r="I1726">
            <v>79.9749</v>
          </cell>
          <cell r="J1726">
            <v>6.98645</v>
          </cell>
        </row>
        <row r="1726">
          <cell r="AA1726" t="str">
            <v>2T2R</v>
          </cell>
        </row>
        <row r="1727">
          <cell r="E1727" t="str">
            <v>ZKAD05</v>
          </cell>
        </row>
        <row r="1727">
          <cell r="G1727" t="str">
            <v>ZKAD05-M-L85-A1</v>
          </cell>
        </row>
        <row r="1727">
          <cell r="I1727">
            <v>79.9749</v>
          </cell>
          <cell r="J1727">
            <v>6.98645</v>
          </cell>
        </row>
        <row r="1727">
          <cell r="AA1727" t="str">
            <v>2T2R</v>
          </cell>
        </row>
        <row r="1728">
          <cell r="E1728" t="str">
            <v>ZBIY32</v>
          </cell>
        </row>
        <row r="1728">
          <cell r="G1728" t="str">
            <v>ZBIY32-M-L21-C2</v>
          </cell>
        </row>
        <row r="1728">
          <cell r="I1728">
            <v>79.975257</v>
          </cell>
          <cell r="J1728">
            <v>6.93964</v>
          </cell>
        </row>
        <row r="1728">
          <cell r="AA1728" t="str">
            <v>2T2R</v>
          </cell>
        </row>
        <row r="1729">
          <cell r="E1729" t="str">
            <v>ZBIY32</v>
          </cell>
        </row>
        <row r="1729">
          <cell r="G1729" t="str">
            <v>ZBIY32-M-L21-B2</v>
          </cell>
        </row>
        <row r="1729">
          <cell r="I1729">
            <v>79.975257</v>
          </cell>
          <cell r="J1729">
            <v>6.93964</v>
          </cell>
        </row>
        <row r="1729">
          <cell r="AA1729" t="str">
            <v>2T2R</v>
          </cell>
        </row>
        <row r="1730">
          <cell r="E1730" t="str">
            <v>ZBIY32</v>
          </cell>
        </row>
        <row r="1730">
          <cell r="G1730" t="str">
            <v>ZBIY32-M-L21-A2</v>
          </cell>
        </row>
        <row r="1730">
          <cell r="I1730">
            <v>79.975257</v>
          </cell>
          <cell r="J1730">
            <v>6.93964</v>
          </cell>
        </row>
        <row r="1730">
          <cell r="AA1730" t="str">
            <v>2T2R</v>
          </cell>
        </row>
        <row r="1731">
          <cell r="E1731" t="str">
            <v>ZBIY32</v>
          </cell>
        </row>
        <row r="1731">
          <cell r="G1731" t="str">
            <v>ZBIY32F</v>
          </cell>
        </row>
        <row r="1731">
          <cell r="I1731">
            <v>79.975257</v>
          </cell>
          <cell r="J1731">
            <v>6.93964</v>
          </cell>
        </row>
        <row r="1731">
          <cell r="AA1731" t="str">
            <v>2T2R</v>
          </cell>
        </row>
        <row r="1732">
          <cell r="E1732" t="str">
            <v>ZBIY32</v>
          </cell>
        </row>
        <row r="1732">
          <cell r="G1732" t="str">
            <v>ZBIY32I</v>
          </cell>
        </row>
        <row r="1732">
          <cell r="I1732">
            <v>79.975257</v>
          </cell>
          <cell r="J1732">
            <v>6.93964</v>
          </cell>
        </row>
        <row r="1732">
          <cell r="AA1732" t="str">
            <v>4T4R</v>
          </cell>
        </row>
        <row r="1733">
          <cell r="E1733" t="str">
            <v>ZBIY32</v>
          </cell>
        </row>
        <row r="1733">
          <cell r="G1733" t="str">
            <v>ZBIY32H</v>
          </cell>
        </row>
        <row r="1733">
          <cell r="I1733">
            <v>79.975257</v>
          </cell>
          <cell r="J1733">
            <v>6.93964</v>
          </cell>
        </row>
        <row r="1733">
          <cell r="AA1733" t="str">
            <v>2T2R</v>
          </cell>
        </row>
        <row r="1734">
          <cell r="E1734" t="str">
            <v>ZBIY32</v>
          </cell>
        </row>
        <row r="1734">
          <cell r="G1734" t="str">
            <v>ZBIY32G</v>
          </cell>
        </row>
        <row r="1734">
          <cell r="I1734">
            <v>79.975257</v>
          </cell>
          <cell r="J1734">
            <v>6.93964</v>
          </cell>
        </row>
        <row r="1734">
          <cell r="AA1734" t="str">
            <v>2T2R</v>
          </cell>
        </row>
        <row r="1735">
          <cell r="E1735" t="str">
            <v>ZBIY33</v>
          </cell>
        </row>
        <row r="1735">
          <cell r="G1735" t="str">
            <v>ZBIY33I</v>
          </cell>
        </row>
        <row r="1735">
          <cell r="I1735">
            <v>79.97577</v>
          </cell>
          <cell r="J1735">
            <v>6.972301</v>
          </cell>
        </row>
        <row r="1735">
          <cell r="AA1735" t="str">
            <v>4T4R</v>
          </cell>
        </row>
        <row r="1736">
          <cell r="E1736" t="str">
            <v>ZBIY33</v>
          </cell>
        </row>
        <row r="1736">
          <cell r="G1736" t="str">
            <v>ZBIY33H</v>
          </cell>
        </row>
        <row r="1736">
          <cell r="I1736">
            <v>79.97577</v>
          </cell>
          <cell r="J1736">
            <v>6.972301</v>
          </cell>
        </row>
        <row r="1736">
          <cell r="AA1736" t="str">
            <v>4T4R</v>
          </cell>
        </row>
        <row r="1737">
          <cell r="E1737" t="str">
            <v>ZBIY33</v>
          </cell>
        </row>
        <row r="1737">
          <cell r="G1737" t="str">
            <v>ZBIY33G</v>
          </cell>
        </row>
        <row r="1737">
          <cell r="I1737">
            <v>79.97577</v>
          </cell>
          <cell r="J1737">
            <v>6.972301</v>
          </cell>
        </row>
        <row r="1737">
          <cell r="AA1737" t="str">
            <v>4T4R</v>
          </cell>
        </row>
        <row r="1738">
          <cell r="E1738" t="str">
            <v>ZBIY33</v>
          </cell>
        </row>
        <row r="1738">
          <cell r="G1738" t="str">
            <v>ZBIY33-M-L21-A2</v>
          </cell>
        </row>
        <row r="1738">
          <cell r="I1738">
            <v>79.97577</v>
          </cell>
          <cell r="J1738">
            <v>6.972301</v>
          </cell>
        </row>
        <row r="1738">
          <cell r="AA1738" t="str">
            <v>2T2R</v>
          </cell>
        </row>
        <row r="1739">
          <cell r="E1739" t="str">
            <v>ZBIY22</v>
          </cell>
        </row>
        <row r="1739">
          <cell r="G1739" t="str">
            <v>ZBIY22I</v>
          </cell>
        </row>
        <row r="1739">
          <cell r="I1739">
            <v>79.9769</v>
          </cell>
          <cell r="J1739">
            <v>6.95032</v>
          </cell>
        </row>
        <row r="1739">
          <cell r="AA1739" t="str">
            <v>4T4R</v>
          </cell>
        </row>
        <row r="1740">
          <cell r="E1740" t="str">
            <v>ZBIY22</v>
          </cell>
        </row>
        <row r="1740">
          <cell r="G1740" t="str">
            <v>ZBIY22H</v>
          </cell>
        </row>
        <row r="1740">
          <cell r="I1740">
            <v>79.9769</v>
          </cell>
          <cell r="J1740">
            <v>6.95032</v>
          </cell>
        </row>
        <row r="1740">
          <cell r="AA1740" t="str">
            <v>2T2R</v>
          </cell>
        </row>
        <row r="1741">
          <cell r="E1741" t="str">
            <v>ZBIY22</v>
          </cell>
        </row>
        <row r="1741">
          <cell r="G1741" t="str">
            <v>ZBIY22G</v>
          </cell>
        </row>
        <row r="1741">
          <cell r="I1741">
            <v>79.9769</v>
          </cell>
          <cell r="J1741">
            <v>6.95032</v>
          </cell>
        </row>
        <row r="1741">
          <cell r="AA1741" t="str">
            <v>2T2R</v>
          </cell>
        </row>
        <row r="1742">
          <cell r="E1742" t="str">
            <v>ZBIY22</v>
          </cell>
        </row>
        <row r="1742">
          <cell r="G1742" t="str">
            <v>ZBIY22-M-L85-C1</v>
          </cell>
        </row>
        <row r="1742">
          <cell r="I1742">
            <v>79.9769</v>
          </cell>
          <cell r="J1742">
            <v>6.95032</v>
          </cell>
        </row>
        <row r="1742">
          <cell r="AA1742" t="str">
            <v>2T2R</v>
          </cell>
        </row>
        <row r="1743">
          <cell r="E1743" t="str">
            <v>ZBIY22</v>
          </cell>
        </row>
        <row r="1743">
          <cell r="G1743" t="str">
            <v>ZBIY22-M-L85-B1</v>
          </cell>
        </row>
        <row r="1743">
          <cell r="I1743">
            <v>79.9769</v>
          </cell>
          <cell r="J1743">
            <v>6.95032</v>
          </cell>
        </row>
        <row r="1743">
          <cell r="AA1743" t="str">
            <v>2T2R</v>
          </cell>
        </row>
        <row r="1744">
          <cell r="E1744" t="str">
            <v>ZBIY22</v>
          </cell>
        </row>
        <row r="1744">
          <cell r="G1744" t="str">
            <v>ZBIY22-M-L85-A1</v>
          </cell>
        </row>
        <row r="1744">
          <cell r="I1744">
            <v>79.9769</v>
          </cell>
          <cell r="J1744">
            <v>6.95032</v>
          </cell>
        </row>
        <row r="1744">
          <cell r="AA1744" t="str">
            <v>2T2R</v>
          </cell>
        </row>
        <row r="1745">
          <cell r="E1745" t="str">
            <v>GMYGD3</v>
          </cell>
        </row>
        <row r="1745">
          <cell r="G1745" t="str">
            <v>GMYGD3-M-L21-C2</v>
          </cell>
        </row>
        <row r="1745">
          <cell r="I1745">
            <v>79.977</v>
          </cell>
          <cell r="J1745">
            <v>7.0709</v>
          </cell>
        </row>
        <row r="1745">
          <cell r="AA1745" t="str">
            <v>2T2R</v>
          </cell>
        </row>
        <row r="1746">
          <cell r="E1746" t="str">
            <v>GMYGD3</v>
          </cell>
        </row>
        <row r="1746">
          <cell r="G1746" t="str">
            <v>GMYGD3-M-L21-B2</v>
          </cell>
        </row>
        <row r="1746">
          <cell r="I1746">
            <v>79.977</v>
          </cell>
          <cell r="J1746">
            <v>7.0709</v>
          </cell>
        </row>
        <row r="1746">
          <cell r="AA1746" t="str">
            <v>2T2R</v>
          </cell>
        </row>
        <row r="1747">
          <cell r="E1747" t="str">
            <v>GMYGD3</v>
          </cell>
        </row>
        <row r="1747">
          <cell r="G1747" t="str">
            <v>GMYGD3-M-L21-A2</v>
          </cell>
        </row>
        <row r="1747">
          <cell r="I1747">
            <v>79.977</v>
          </cell>
          <cell r="J1747">
            <v>7.0709</v>
          </cell>
        </row>
        <row r="1747">
          <cell r="AA1747" t="str">
            <v>2T2R</v>
          </cell>
        </row>
        <row r="1748">
          <cell r="E1748" t="str">
            <v>GMASG1</v>
          </cell>
        </row>
        <row r="1748">
          <cell r="G1748" t="str">
            <v>GMASG1-M-L18-H1</v>
          </cell>
        </row>
        <row r="1748">
          <cell r="I1748">
            <v>79.9771</v>
          </cell>
          <cell r="J1748">
            <v>7.11481</v>
          </cell>
        </row>
        <row r="1748">
          <cell r="AA1748" t="str">
            <v>2T2R</v>
          </cell>
        </row>
        <row r="1749">
          <cell r="E1749" t="str">
            <v>GMPAR2</v>
          </cell>
        </row>
        <row r="1749">
          <cell r="G1749" t="str">
            <v>GMPAR2-M-L85-C1</v>
          </cell>
        </row>
        <row r="1749">
          <cell r="I1749">
            <v>79.9771</v>
          </cell>
          <cell r="J1749">
            <v>7.03353</v>
          </cell>
        </row>
        <row r="1749">
          <cell r="AA1749" t="str">
            <v>2T2R</v>
          </cell>
        </row>
        <row r="1750">
          <cell r="E1750" t="str">
            <v>GMPAR2</v>
          </cell>
        </row>
        <row r="1750">
          <cell r="G1750" t="str">
            <v>GMPAR2-M-L85-B1</v>
          </cell>
        </row>
        <row r="1750">
          <cell r="I1750">
            <v>79.9771</v>
          </cell>
          <cell r="J1750">
            <v>7.03353</v>
          </cell>
        </row>
        <row r="1750">
          <cell r="AA1750" t="str">
            <v>2T2R</v>
          </cell>
        </row>
        <row r="1751">
          <cell r="E1751" t="str">
            <v>GMPAR2</v>
          </cell>
        </row>
        <row r="1751">
          <cell r="G1751" t="str">
            <v>GMPAR2-M-L85-A1</v>
          </cell>
        </row>
        <row r="1751">
          <cell r="I1751">
            <v>79.9771</v>
          </cell>
          <cell r="J1751">
            <v>7.03353</v>
          </cell>
        </row>
        <row r="1751">
          <cell r="AA1751" t="str">
            <v>2T2R</v>
          </cell>
        </row>
        <row r="1752">
          <cell r="E1752" t="str">
            <v>GMPAR2</v>
          </cell>
        </row>
        <row r="1752">
          <cell r="G1752" t="str">
            <v>GMPAR2I</v>
          </cell>
        </row>
        <row r="1752">
          <cell r="I1752">
            <v>79.9771</v>
          </cell>
          <cell r="J1752">
            <v>7.03353</v>
          </cell>
        </row>
        <row r="1752">
          <cell r="AA1752" t="str">
            <v>4T4R</v>
          </cell>
        </row>
        <row r="1753">
          <cell r="E1753" t="str">
            <v>GMPAR2</v>
          </cell>
        </row>
        <row r="1753">
          <cell r="G1753" t="str">
            <v>GMPAR2H</v>
          </cell>
        </row>
        <row r="1753">
          <cell r="I1753">
            <v>79.9771</v>
          </cell>
          <cell r="J1753">
            <v>7.03353</v>
          </cell>
        </row>
        <row r="1753">
          <cell r="AA1753" t="str">
            <v>4T4R</v>
          </cell>
        </row>
        <row r="1754">
          <cell r="E1754" t="str">
            <v>GMPAR2</v>
          </cell>
        </row>
        <row r="1754">
          <cell r="G1754" t="str">
            <v>GMPAR2G</v>
          </cell>
        </row>
        <row r="1754">
          <cell r="I1754">
            <v>79.9771</v>
          </cell>
          <cell r="J1754">
            <v>7.03353</v>
          </cell>
        </row>
        <row r="1754">
          <cell r="AA1754" t="str">
            <v>4T4R</v>
          </cell>
        </row>
        <row r="1755">
          <cell r="E1755" t="str">
            <v>GMASG1</v>
          </cell>
        </row>
        <row r="1755">
          <cell r="G1755" t="str">
            <v>GMASG1I</v>
          </cell>
        </row>
        <row r="1755">
          <cell r="I1755">
            <v>79.9771</v>
          </cell>
          <cell r="J1755">
            <v>7.11481</v>
          </cell>
        </row>
        <row r="1755">
          <cell r="AA1755" t="str">
            <v>2T2R</v>
          </cell>
        </row>
        <row r="1756">
          <cell r="E1756" t="str">
            <v>GMASG1</v>
          </cell>
        </row>
        <row r="1756">
          <cell r="G1756" t="str">
            <v>GMASG1H</v>
          </cell>
        </row>
        <row r="1756">
          <cell r="I1756">
            <v>79.9771</v>
          </cell>
          <cell r="J1756">
            <v>7.11481</v>
          </cell>
        </row>
        <row r="1756">
          <cell r="AA1756" t="str">
            <v>2T2R</v>
          </cell>
        </row>
        <row r="1757">
          <cell r="E1757" t="str">
            <v>GMASG1</v>
          </cell>
        </row>
        <row r="1757">
          <cell r="G1757" t="str">
            <v>GMASG1G</v>
          </cell>
        </row>
        <row r="1757">
          <cell r="I1757">
            <v>79.9771</v>
          </cell>
          <cell r="J1757">
            <v>7.11481</v>
          </cell>
        </row>
        <row r="1757">
          <cell r="AA1757" t="str">
            <v>2T2R</v>
          </cell>
        </row>
        <row r="1758">
          <cell r="E1758" t="str">
            <v>GMBGM1</v>
          </cell>
        </row>
        <row r="1758">
          <cell r="G1758" t="str">
            <v>GMBGM1-M-L85-C1</v>
          </cell>
        </row>
        <row r="1758">
          <cell r="I1758">
            <v>79.9785</v>
          </cell>
          <cell r="J1758">
            <v>7.16347</v>
          </cell>
        </row>
        <row r="1758">
          <cell r="AA1758" t="str">
            <v>2T2R</v>
          </cell>
        </row>
        <row r="1759">
          <cell r="E1759" t="str">
            <v>GMBGM1</v>
          </cell>
        </row>
        <row r="1759">
          <cell r="G1759" t="str">
            <v>GMBGM1-M-L85-B1</v>
          </cell>
        </row>
        <row r="1759">
          <cell r="I1759">
            <v>79.9785</v>
          </cell>
          <cell r="J1759">
            <v>7.16347</v>
          </cell>
        </row>
        <row r="1759">
          <cell r="AA1759" t="str">
            <v>2T2R</v>
          </cell>
        </row>
        <row r="1760">
          <cell r="E1760" t="str">
            <v>GMBGM1</v>
          </cell>
        </row>
        <row r="1760">
          <cell r="G1760" t="str">
            <v>GMBGM1-M-L85-A1</v>
          </cell>
        </row>
        <row r="1760">
          <cell r="I1760">
            <v>79.9785</v>
          </cell>
          <cell r="J1760">
            <v>7.16347</v>
          </cell>
        </row>
        <row r="1760">
          <cell r="AA1760" t="str">
            <v>2T2R</v>
          </cell>
        </row>
        <row r="1761">
          <cell r="E1761" t="str">
            <v>GMBGM1</v>
          </cell>
        </row>
        <row r="1761">
          <cell r="G1761" t="str">
            <v>GMBGM1I</v>
          </cell>
        </row>
        <row r="1761">
          <cell r="I1761">
            <v>79.9785</v>
          </cell>
          <cell r="J1761">
            <v>7.16347</v>
          </cell>
        </row>
        <row r="1761">
          <cell r="AA1761" t="str">
            <v>2T2R</v>
          </cell>
        </row>
        <row r="1762">
          <cell r="E1762" t="str">
            <v>GMBGM1</v>
          </cell>
        </row>
        <row r="1762">
          <cell r="G1762" t="str">
            <v>GMBGM1H</v>
          </cell>
        </row>
        <row r="1762">
          <cell r="I1762">
            <v>79.9785</v>
          </cell>
          <cell r="J1762">
            <v>7.16347</v>
          </cell>
        </row>
        <row r="1762">
          <cell r="AA1762" t="str">
            <v>2T2R</v>
          </cell>
        </row>
        <row r="1763">
          <cell r="E1763" t="str">
            <v>GMBGM1</v>
          </cell>
        </row>
        <row r="1763">
          <cell r="G1763" t="str">
            <v>GMBGM1G</v>
          </cell>
        </row>
        <row r="1763">
          <cell r="I1763">
            <v>79.9785</v>
          </cell>
          <cell r="J1763">
            <v>7.16347</v>
          </cell>
        </row>
        <row r="1763">
          <cell r="AA1763" t="str">
            <v>2T2R</v>
          </cell>
        </row>
        <row r="1764">
          <cell r="E1764" t="str">
            <v>ZKAD10</v>
          </cell>
        </row>
        <row r="1764">
          <cell r="G1764" t="str">
            <v>ZKAD10-M-L21-C2</v>
          </cell>
        </row>
        <row r="1764">
          <cell r="I1764">
            <v>79.9789</v>
          </cell>
          <cell r="J1764">
            <v>7.00338</v>
          </cell>
        </row>
        <row r="1764">
          <cell r="AA1764" t="str">
            <v>2T2R</v>
          </cell>
        </row>
        <row r="1765">
          <cell r="E1765" t="str">
            <v>ZKAD10</v>
          </cell>
        </row>
        <row r="1765">
          <cell r="G1765" t="str">
            <v>ZKAD10-M-L21-B2</v>
          </cell>
        </row>
        <row r="1765">
          <cell r="I1765">
            <v>79.9789</v>
          </cell>
          <cell r="J1765">
            <v>7.00338</v>
          </cell>
        </row>
        <row r="1765">
          <cell r="AA1765" t="str">
            <v>2T2R</v>
          </cell>
        </row>
        <row r="1766">
          <cell r="E1766" t="str">
            <v>ZKAD10</v>
          </cell>
        </row>
        <row r="1766">
          <cell r="G1766" t="str">
            <v>ZKAD10-M-L21-A2</v>
          </cell>
        </row>
        <row r="1766">
          <cell r="I1766">
            <v>79.9789</v>
          </cell>
          <cell r="J1766">
            <v>7.00338</v>
          </cell>
        </row>
        <row r="1766">
          <cell r="AA1766" t="str">
            <v>2T2R</v>
          </cell>
        </row>
        <row r="1767">
          <cell r="E1767" t="str">
            <v>ZKAD10</v>
          </cell>
        </row>
        <row r="1767">
          <cell r="G1767" t="str">
            <v>ZKAD10-M-L18-I1</v>
          </cell>
        </row>
        <row r="1767">
          <cell r="I1767">
            <v>79.9789</v>
          </cell>
          <cell r="J1767">
            <v>7.00338</v>
          </cell>
        </row>
        <row r="1767">
          <cell r="AA1767" t="str">
            <v>2T2R</v>
          </cell>
        </row>
        <row r="1768">
          <cell r="E1768" t="str">
            <v>ZKAD10</v>
          </cell>
        </row>
        <row r="1768">
          <cell r="G1768" t="str">
            <v>ZKAD10-M-L23-C1</v>
          </cell>
        </row>
        <row r="1768">
          <cell r="I1768">
            <v>79.9789</v>
          </cell>
          <cell r="J1768">
            <v>7.00338</v>
          </cell>
        </row>
        <row r="1768">
          <cell r="AA1768" t="str">
            <v>4T4R</v>
          </cell>
        </row>
        <row r="1769">
          <cell r="E1769" t="str">
            <v>ZKAD10</v>
          </cell>
        </row>
        <row r="1769">
          <cell r="G1769" t="str">
            <v>ZKAD10-M-L23-B1</v>
          </cell>
        </row>
        <row r="1769">
          <cell r="I1769">
            <v>79.9789</v>
          </cell>
          <cell r="J1769">
            <v>7.00338</v>
          </cell>
        </row>
        <row r="1769">
          <cell r="AA1769" t="str">
            <v>4T4R</v>
          </cell>
        </row>
        <row r="1770">
          <cell r="E1770" t="str">
            <v>ZKAD10</v>
          </cell>
        </row>
        <row r="1770">
          <cell r="G1770" t="str">
            <v>ZKAD10-M-L23-A1</v>
          </cell>
        </row>
        <row r="1770">
          <cell r="I1770">
            <v>79.9789</v>
          </cell>
          <cell r="J1770">
            <v>7.00338</v>
          </cell>
        </row>
        <row r="1770">
          <cell r="AA1770" t="str">
            <v>4T4R</v>
          </cell>
        </row>
        <row r="1771">
          <cell r="E1771" t="str">
            <v>ZKAD10</v>
          </cell>
        </row>
        <row r="1771">
          <cell r="G1771" t="str">
            <v>ZKAD10I</v>
          </cell>
        </row>
        <row r="1771">
          <cell r="I1771">
            <v>79.9789</v>
          </cell>
          <cell r="J1771">
            <v>7.00338</v>
          </cell>
        </row>
        <row r="1771">
          <cell r="AA1771" t="str">
            <v>2T2R</v>
          </cell>
        </row>
        <row r="1772">
          <cell r="E1772" t="str">
            <v>ZKAD10</v>
          </cell>
        </row>
        <row r="1772">
          <cell r="G1772" t="str">
            <v>ZKAD10H</v>
          </cell>
        </row>
        <row r="1772">
          <cell r="I1772">
            <v>79.9789</v>
          </cell>
          <cell r="J1772">
            <v>7.00338</v>
          </cell>
        </row>
        <row r="1772">
          <cell r="AA1772" t="str">
            <v>2T2R</v>
          </cell>
        </row>
        <row r="1773">
          <cell r="E1773" t="str">
            <v>ZKAD10</v>
          </cell>
        </row>
        <row r="1773">
          <cell r="G1773" t="str">
            <v>ZKAD10G</v>
          </cell>
        </row>
        <row r="1773">
          <cell r="I1773">
            <v>79.9789</v>
          </cell>
          <cell r="J1773">
            <v>7.00338</v>
          </cell>
        </row>
        <row r="1773">
          <cell r="AA1773" t="str">
            <v>2T2R</v>
          </cell>
        </row>
        <row r="1774">
          <cell r="E1774" t="str">
            <v>ZKAD10</v>
          </cell>
        </row>
        <row r="1774">
          <cell r="G1774" t="str">
            <v>ZKAD10-M-L85-C1</v>
          </cell>
        </row>
        <row r="1774">
          <cell r="I1774">
            <v>79.9789</v>
          </cell>
          <cell r="J1774">
            <v>7.00338</v>
          </cell>
        </row>
        <row r="1774">
          <cell r="AA1774" t="str">
            <v>2T2R</v>
          </cell>
        </row>
        <row r="1775">
          <cell r="E1775" t="str">
            <v>ZKAD10</v>
          </cell>
        </row>
        <row r="1775">
          <cell r="G1775" t="str">
            <v>ZKAD10-M-L85-B1</v>
          </cell>
        </row>
        <row r="1775">
          <cell r="I1775">
            <v>79.9789</v>
          </cell>
          <cell r="J1775">
            <v>7.00338</v>
          </cell>
        </row>
        <row r="1775">
          <cell r="AA1775" t="str">
            <v>2T2R</v>
          </cell>
        </row>
        <row r="1776">
          <cell r="E1776" t="str">
            <v>ZKAD10</v>
          </cell>
        </row>
        <row r="1776">
          <cell r="G1776" t="str">
            <v>ZKAD10-M-L85-A1</v>
          </cell>
        </row>
        <row r="1776">
          <cell r="I1776">
            <v>79.9789</v>
          </cell>
          <cell r="J1776">
            <v>7.00338</v>
          </cell>
        </row>
        <row r="1776">
          <cell r="AA1776" t="str">
            <v>2T2R</v>
          </cell>
        </row>
        <row r="1777">
          <cell r="E1777" t="str">
            <v>ZKAD10</v>
          </cell>
        </row>
        <row r="1777">
          <cell r="G1777" t="str">
            <v>ZKAD10-M-L18-A1</v>
          </cell>
        </row>
        <row r="1777">
          <cell r="I1777">
            <v>79.9789</v>
          </cell>
          <cell r="J1777">
            <v>7.00338</v>
          </cell>
        </row>
        <row r="1777">
          <cell r="AA1777" t="str">
            <v>2T2R</v>
          </cell>
        </row>
        <row r="1778">
          <cell r="E1778" t="str">
            <v>ZKAD26</v>
          </cell>
        </row>
        <row r="1778">
          <cell r="G1778" t="str">
            <v>ZKAD26-M-L85-C1</v>
          </cell>
        </row>
        <row r="1778">
          <cell r="I1778">
            <v>79.979608</v>
          </cell>
          <cell r="J1778">
            <v>7.017806</v>
          </cell>
        </row>
        <row r="1778">
          <cell r="AA1778" t="str">
            <v>2T2R</v>
          </cell>
        </row>
        <row r="1779">
          <cell r="E1779" t="str">
            <v>ZKAD26</v>
          </cell>
        </row>
        <row r="1779">
          <cell r="G1779" t="str">
            <v>ZKAD26-M-L85-B1</v>
          </cell>
        </row>
        <row r="1779">
          <cell r="I1779">
            <v>79.979608</v>
          </cell>
          <cell r="J1779">
            <v>7.017806</v>
          </cell>
        </row>
        <row r="1779">
          <cell r="AA1779" t="str">
            <v>2T2R</v>
          </cell>
        </row>
        <row r="1780">
          <cell r="E1780" t="str">
            <v>ZKAD26</v>
          </cell>
        </row>
        <row r="1780">
          <cell r="G1780" t="str">
            <v>ZKAD26-M-L85-A1</v>
          </cell>
        </row>
        <row r="1780">
          <cell r="I1780">
            <v>79.979608</v>
          </cell>
          <cell r="J1780">
            <v>7.017806</v>
          </cell>
        </row>
        <row r="1780">
          <cell r="AA1780" t="str">
            <v>2T2R</v>
          </cell>
        </row>
        <row r="1781">
          <cell r="E1781" t="str">
            <v>ZKAD26</v>
          </cell>
        </row>
        <row r="1781">
          <cell r="G1781" t="str">
            <v>ZKAD26I</v>
          </cell>
        </row>
        <row r="1781">
          <cell r="I1781">
            <v>79.979608</v>
          </cell>
          <cell r="J1781">
            <v>7.017806</v>
          </cell>
        </row>
        <row r="1781">
          <cell r="AA1781" t="str">
            <v>2T2R</v>
          </cell>
        </row>
        <row r="1782">
          <cell r="E1782" t="str">
            <v>ZKAD26</v>
          </cell>
        </row>
        <row r="1782">
          <cell r="G1782" t="str">
            <v>ZKAD26H</v>
          </cell>
        </row>
        <row r="1782">
          <cell r="I1782">
            <v>79.979608</v>
          </cell>
          <cell r="J1782">
            <v>7.017806</v>
          </cell>
        </row>
        <row r="1782">
          <cell r="AA1782" t="str">
            <v>2T2R</v>
          </cell>
        </row>
        <row r="1783">
          <cell r="E1783" t="str">
            <v>ZKAD26</v>
          </cell>
        </row>
        <row r="1783">
          <cell r="G1783" t="str">
            <v>ZKAD26G</v>
          </cell>
        </row>
        <row r="1783">
          <cell r="I1783">
            <v>79.979608</v>
          </cell>
          <cell r="J1783">
            <v>7.017806</v>
          </cell>
        </row>
        <row r="1783">
          <cell r="AA1783" t="str">
            <v>2T2R</v>
          </cell>
        </row>
        <row r="1784">
          <cell r="E1784" t="str">
            <v>GMKIR2</v>
          </cell>
        </row>
        <row r="1784">
          <cell r="G1784" t="str">
            <v>GMKIR2-M-L21-B2</v>
          </cell>
        </row>
        <row r="1784">
          <cell r="I1784">
            <v>79.9804</v>
          </cell>
          <cell r="J1784">
            <v>7.03982</v>
          </cell>
        </row>
        <row r="1784">
          <cell r="AA1784" t="str">
            <v>4T4R</v>
          </cell>
        </row>
        <row r="1785">
          <cell r="E1785" t="str">
            <v>GMKIR2</v>
          </cell>
        </row>
        <row r="1785">
          <cell r="G1785" t="str">
            <v>GMKIR2-M-L21-C2</v>
          </cell>
        </row>
        <row r="1785">
          <cell r="I1785">
            <v>79.9804</v>
          </cell>
          <cell r="J1785">
            <v>7.03982</v>
          </cell>
        </row>
        <row r="1785">
          <cell r="AA1785" t="str">
            <v>4T4R</v>
          </cell>
        </row>
        <row r="1786">
          <cell r="E1786" t="str">
            <v>GMKIR2</v>
          </cell>
        </row>
        <row r="1786">
          <cell r="G1786" t="str">
            <v>GMKIR2-M-L21-A2</v>
          </cell>
        </row>
        <row r="1786">
          <cell r="I1786">
            <v>79.9804</v>
          </cell>
          <cell r="J1786">
            <v>7.03982</v>
          </cell>
        </row>
        <row r="1786">
          <cell r="AA1786" t="str">
            <v>4T4R</v>
          </cell>
        </row>
        <row r="1787">
          <cell r="E1787" t="str">
            <v>GMKIR2</v>
          </cell>
        </row>
        <row r="1787">
          <cell r="G1787" t="str">
            <v>GMKIR2-M-L18-B1</v>
          </cell>
        </row>
        <row r="1787">
          <cell r="I1787">
            <v>79.9804</v>
          </cell>
          <cell r="J1787">
            <v>7.03982</v>
          </cell>
        </row>
        <row r="1787">
          <cell r="AA1787" t="str">
            <v>2T2R</v>
          </cell>
        </row>
        <row r="1788">
          <cell r="E1788" t="str">
            <v>GMKIR2</v>
          </cell>
        </row>
        <row r="1788">
          <cell r="G1788" t="str">
            <v>GMKIR2I</v>
          </cell>
        </row>
        <row r="1788">
          <cell r="I1788">
            <v>79.9804</v>
          </cell>
          <cell r="J1788">
            <v>7.03982</v>
          </cell>
        </row>
        <row r="1788">
          <cell r="AA1788" t="str">
            <v>4T4R</v>
          </cell>
        </row>
        <row r="1789">
          <cell r="E1789" t="str">
            <v>GMKIR2</v>
          </cell>
        </row>
        <row r="1789">
          <cell r="G1789" t="str">
            <v>GMKIR2H</v>
          </cell>
        </row>
        <row r="1789">
          <cell r="I1789">
            <v>79.9804</v>
          </cell>
          <cell r="J1789">
            <v>7.03982</v>
          </cell>
        </row>
        <row r="1789">
          <cell r="AA1789" t="str">
            <v>4T4R</v>
          </cell>
        </row>
        <row r="1790">
          <cell r="E1790" t="str">
            <v>GMKIR2</v>
          </cell>
        </row>
        <row r="1790">
          <cell r="G1790" t="str">
            <v>GMKIR2G</v>
          </cell>
        </row>
        <row r="1790">
          <cell r="I1790">
            <v>79.9804</v>
          </cell>
          <cell r="J1790">
            <v>7.03982</v>
          </cell>
        </row>
        <row r="1790">
          <cell r="AA1790" t="str">
            <v>4T4R</v>
          </cell>
        </row>
        <row r="1791">
          <cell r="E1791" t="str">
            <v>GMKIR2</v>
          </cell>
        </row>
        <row r="1791">
          <cell r="G1791" t="str">
            <v>GMKIR2-M-L85-C1</v>
          </cell>
        </row>
        <row r="1791">
          <cell r="I1791">
            <v>79.9804</v>
          </cell>
          <cell r="J1791">
            <v>7.03982</v>
          </cell>
        </row>
        <row r="1791">
          <cell r="AA1791" t="str">
            <v>2T2R</v>
          </cell>
        </row>
        <row r="1792">
          <cell r="E1792" t="str">
            <v>GMKIR2</v>
          </cell>
        </row>
        <row r="1792">
          <cell r="G1792" t="str">
            <v>GMKIR2-M-L85-B1</v>
          </cell>
        </row>
        <row r="1792">
          <cell r="I1792">
            <v>79.9804</v>
          </cell>
          <cell r="J1792">
            <v>7.03982</v>
          </cell>
        </row>
        <row r="1792">
          <cell r="AA1792" t="str">
            <v>2T2R</v>
          </cell>
        </row>
        <row r="1793">
          <cell r="E1793" t="str">
            <v>GMKIR2</v>
          </cell>
        </row>
        <row r="1793">
          <cell r="G1793" t="str">
            <v>GMKIR2-M-L85-A1</v>
          </cell>
        </row>
        <row r="1793">
          <cell r="I1793">
            <v>79.9804</v>
          </cell>
          <cell r="J1793">
            <v>7.03982</v>
          </cell>
        </row>
        <row r="1793">
          <cell r="AA1793" t="str">
            <v>2T2R</v>
          </cell>
        </row>
        <row r="1794">
          <cell r="E1794" t="str">
            <v>GMYGD1</v>
          </cell>
        </row>
        <row r="1794">
          <cell r="G1794" t="str">
            <v>GMYGD1I</v>
          </cell>
        </row>
        <row r="1794">
          <cell r="I1794">
            <v>79.9812</v>
          </cell>
          <cell r="J1794">
            <v>7.06311</v>
          </cell>
        </row>
        <row r="1794">
          <cell r="AA1794" t="str">
            <v>4T4R</v>
          </cell>
        </row>
        <row r="1795">
          <cell r="E1795" t="str">
            <v>GMYGD1</v>
          </cell>
        </row>
        <row r="1795">
          <cell r="G1795" t="str">
            <v>GMYGD1H</v>
          </cell>
        </row>
        <row r="1795">
          <cell r="I1795">
            <v>79.9812</v>
          </cell>
          <cell r="J1795">
            <v>7.06311</v>
          </cell>
        </row>
        <row r="1795">
          <cell r="AA1795" t="str">
            <v>4T4R</v>
          </cell>
        </row>
        <row r="1796">
          <cell r="E1796" t="str">
            <v>GMYGD1</v>
          </cell>
        </row>
        <row r="1796">
          <cell r="G1796" t="str">
            <v>GMYGD1G</v>
          </cell>
        </row>
        <row r="1796">
          <cell r="I1796">
            <v>79.9812</v>
          </cell>
          <cell r="J1796">
            <v>7.06311</v>
          </cell>
        </row>
        <row r="1796">
          <cell r="AA1796" t="str">
            <v>4T4R</v>
          </cell>
        </row>
        <row r="1797">
          <cell r="E1797" t="str">
            <v>GMYGD1</v>
          </cell>
        </row>
        <row r="1797">
          <cell r="G1797" t="str">
            <v>GMYGD1-M-L85-C1</v>
          </cell>
        </row>
        <row r="1797">
          <cell r="I1797">
            <v>79.9812</v>
          </cell>
          <cell r="J1797">
            <v>7.06311</v>
          </cell>
        </row>
        <row r="1797">
          <cell r="AA1797" t="str">
            <v>2T2R</v>
          </cell>
        </row>
        <row r="1798">
          <cell r="E1798" t="str">
            <v>GMYGD1</v>
          </cell>
        </row>
        <row r="1798">
          <cell r="G1798" t="str">
            <v>GMYGD1-M-L85-B1</v>
          </cell>
        </row>
        <row r="1798">
          <cell r="I1798">
            <v>79.9812</v>
          </cell>
          <cell r="J1798">
            <v>7.06311</v>
          </cell>
        </row>
        <row r="1798">
          <cell r="AA1798" t="str">
            <v>2T2R</v>
          </cell>
        </row>
        <row r="1799">
          <cell r="E1799" t="str">
            <v>GMYGD1</v>
          </cell>
        </row>
        <row r="1799">
          <cell r="G1799" t="str">
            <v>GMYGD1-M-L85-A1</v>
          </cell>
        </row>
        <row r="1799">
          <cell r="I1799">
            <v>79.9812</v>
          </cell>
          <cell r="J1799">
            <v>7.06311</v>
          </cell>
        </row>
        <row r="1799">
          <cell r="AA1799" t="str">
            <v>2T2R</v>
          </cell>
        </row>
        <row r="1800">
          <cell r="E1800" t="str">
            <v>GMMAR1</v>
          </cell>
        </row>
        <row r="1800">
          <cell r="G1800" t="str">
            <v>GMMAR1I</v>
          </cell>
        </row>
        <row r="1800">
          <cell r="I1800">
            <v>79.982</v>
          </cell>
          <cell r="J1800">
            <v>7.23333</v>
          </cell>
        </row>
        <row r="1800">
          <cell r="AA1800" t="str">
            <v>2T2R</v>
          </cell>
        </row>
        <row r="1801">
          <cell r="E1801" t="str">
            <v>GMMAR1</v>
          </cell>
        </row>
        <row r="1801">
          <cell r="G1801" t="str">
            <v>GMMAR1H</v>
          </cell>
        </row>
        <row r="1801">
          <cell r="I1801">
            <v>79.982</v>
          </cell>
          <cell r="J1801">
            <v>7.23333</v>
          </cell>
        </row>
        <row r="1801">
          <cell r="AA1801" t="str">
            <v>2T2R</v>
          </cell>
        </row>
        <row r="1802">
          <cell r="E1802" t="str">
            <v>GMMAR1</v>
          </cell>
        </row>
        <row r="1802">
          <cell r="G1802" t="str">
            <v>GMMAR1G</v>
          </cell>
        </row>
        <row r="1802">
          <cell r="I1802">
            <v>79.982</v>
          </cell>
          <cell r="J1802">
            <v>7.23333</v>
          </cell>
        </row>
        <row r="1802">
          <cell r="AA1802" t="str">
            <v>2T2R</v>
          </cell>
        </row>
        <row r="1803">
          <cell r="E1803" t="str">
            <v>GMMAR1</v>
          </cell>
        </row>
        <row r="1803">
          <cell r="G1803" t="str">
            <v>GMMAR1-M-L85-C1</v>
          </cell>
        </row>
        <row r="1803">
          <cell r="I1803">
            <v>79.982</v>
          </cell>
          <cell r="J1803">
            <v>7.23333</v>
          </cell>
        </row>
        <row r="1803">
          <cell r="AA1803" t="str">
            <v>2T2R</v>
          </cell>
        </row>
        <row r="1804">
          <cell r="E1804" t="str">
            <v>GMMAR1</v>
          </cell>
        </row>
        <row r="1804">
          <cell r="G1804" t="str">
            <v>GMMAR1-M-L85-B1</v>
          </cell>
        </row>
        <row r="1804">
          <cell r="I1804">
            <v>79.982</v>
          </cell>
          <cell r="J1804">
            <v>7.23333</v>
          </cell>
        </row>
        <row r="1804">
          <cell r="AA1804" t="str">
            <v>2T2R</v>
          </cell>
        </row>
        <row r="1805">
          <cell r="E1805" t="str">
            <v>GMMAR1</v>
          </cell>
        </row>
        <row r="1805">
          <cell r="G1805" t="str">
            <v>GMMAR1-M-L85-A1</v>
          </cell>
        </row>
        <row r="1805">
          <cell r="I1805">
            <v>79.982</v>
          </cell>
          <cell r="J1805">
            <v>7.23333</v>
          </cell>
        </row>
        <row r="1805">
          <cell r="AA1805" t="str">
            <v>2T2R</v>
          </cell>
        </row>
        <row r="1806">
          <cell r="E1806" t="str">
            <v>GMMAR1</v>
          </cell>
        </row>
        <row r="1806">
          <cell r="G1806" t="str">
            <v>GMMAR1F</v>
          </cell>
        </row>
        <row r="1806">
          <cell r="I1806">
            <v>79.982</v>
          </cell>
          <cell r="J1806">
            <v>7.23333</v>
          </cell>
        </row>
        <row r="1806">
          <cell r="AA1806" t="str">
            <v>2T2R</v>
          </cell>
        </row>
        <row r="1807">
          <cell r="E1807" t="str">
            <v>ZKAD33</v>
          </cell>
        </row>
        <row r="1807">
          <cell r="G1807" t="str">
            <v>ZKAD33I</v>
          </cell>
        </row>
        <row r="1807">
          <cell r="I1807">
            <v>79.9825</v>
          </cell>
          <cell r="J1807">
            <v>6.982778</v>
          </cell>
        </row>
        <row r="1807">
          <cell r="AA1807" t="str">
            <v>2T2R</v>
          </cell>
        </row>
        <row r="1808">
          <cell r="E1808" t="str">
            <v>ZKAD33</v>
          </cell>
        </row>
        <row r="1808">
          <cell r="G1808" t="str">
            <v>ZKAD33H</v>
          </cell>
        </row>
        <row r="1808">
          <cell r="I1808">
            <v>79.9825</v>
          </cell>
          <cell r="J1808">
            <v>6.982778</v>
          </cell>
        </row>
        <row r="1808">
          <cell r="AA1808" t="str">
            <v>2T2R</v>
          </cell>
        </row>
        <row r="1809">
          <cell r="E1809" t="str">
            <v>ZKAD33</v>
          </cell>
        </row>
        <row r="1809">
          <cell r="G1809" t="str">
            <v>ZKAD33G</v>
          </cell>
        </row>
        <row r="1809">
          <cell r="I1809">
            <v>79.9825</v>
          </cell>
          <cell r="J1809">
            <v>6.982778</v>
          </cell>
        </row>
        <row r="1809">
          <cell r="AA1809" t="str">
            <v>2T2R</v>
          </cell>
        </row>
        <row r="1810">
          <cell r="E1810" t="str">
            <v>ZBIY13</v>
          </cell>
        </row>
        <row r="1810">
          <cell r="G1810" t="str">
            <v>ZBIY13I</v>
          </cell>
        </row>
        <row r="1810">
          <cell r="I1810">
            <v>79.9836</v>
          </cell>
          <cell r="J1810">
            <v>6.96908</v>
          </cell>
        </row>
        <row r="1810">
          <cell r="AA1810" t="str">
            <v>2T2R</v>
          </cell>
        </row>
        <row r="1811">
          <cell r="E1811" t="str">
            <v>ZBIY13</v>
          </cell>
        </row>
        <row r="1811">
          <cell r="G1811" t="str">
            <v>ZBIY13H</v>
          </cell>
        </row>
        <row r="1811">
          <cell r="I1811">
            <v>79.9836</v>
          </cell>
          <cell r="J1811">
            <v>6.96908</v>
          </cell>
        </row>
        <row r="1811">
          <cell r="AA1811" t="str">
            <v>2T2R</v>
          </cell>
        </row>
        <row r="1812">
          <cell r="E1812" t="str">
            <v>ZBIY13</v>
          </cell>
        </row>
        <row r="1812">
          <cell r="G1812" t="str">
            <v>ZBIY13G</v>
          </cell>
        </row>
        <row r="1812">
          <cell r="I1812">
            <v>79.9836</v>
          </cell>
          <cell r="J1812">
            <v>6.96908</v>
          </cell>
        </row>
        <row r="1812">
          <cell r="AA1812" t="str">
            <v>2T2R</v>
          </cell>
        </row>
        <row r="1813">
          <cell r="E1813" t="str">
            <v>GMUDU2</v>
          </cell>
        </row>
        <row r="1813">
          <cell r="G1813" t="str">
            <v>GMUDU2-M-L21-B2</v>
          </cell>
        </row>
        <row r="1813">
          <cell r="I1813">
            <v>79.9847</v>
          </cell>
          <cell r="J1813">
            <v>7.12655</v>
          </cell>
        </row>
        <row r="1813">
          <cell r="AA1813" t="str">
            <v>2T2R</v>
          </cell>
        </row>
        <row r="1814">
          <cell r="E1814" t="str">
            <v>GMUDU2</v>
          </cell>
        </row>
        <row r="1814">
          <cell r="G1814" t="str">
            <v>GMUDU2I</v>
          </cell>
        </row>
        <row r="1814">
          <cell r="I1814">
            <v>79.9847</v>
          </cell>
          <cell r="J1814">
            <v>7.12655</v>
          </cell>
        </row>
        <row r="1814">
          <cell r="AA1814" t="str">
            <v>4T4R</v>
          </cell>
        </row>
        <row r="1815">
          <cell r="E1815" t="str">
            <v>GMUDU2</v>
          </cell>
        </row>
        <row r="1815">
          <cell r="G1815" t="str">
            <v>GMUDU2H</v>
          </cell>
        </row>
        <row r="1815">
          <cell r="I1815">
            <v>79.9847</v>
          </cell>
          <cell r="J1815">
            <v>7.12655</v>
          </cell>
        </row>
        <row r="1815">
          <cell r="AA1815" t="str">
            <v>4T4R</v>
          </cell>
        </row>
        <row r="1816">
          <cell r="E1816" t="str">
            <v>GMUDU2</v>
          </cell>
        </row>
        <row r="1816">
          <cell r="G1816" t="str">
            <v>GMUDU2G</v>
          </cell>
        </row>
        <row r="1816">
          <cell r="I1816">
            <v>79.9847</v>
          </cell>
          <cell r="J1816">
            <v>7.12655</v>
          </cell>
        </row>
        <row r="1816">
          <cell r="AA1816" t="str">
            <v>4T4R</v>
          </cell>
        </row>
        <row r="1817">
          <cell r="E1817" t="str">
            <v>GMUDU2</v>
          </cell>
        </row>
        <row r="1817">
          <cell r="G1817" t="str">
            <v>GMUDU2-M-L85-C1</v>
          </cell>
        </row>
        <row r="1817">
          <cell r="I1817">
            <v>79.9847</v>
          </cell>
          <cell r="J1817">
            <v>7.12655</v>
          </cell>
        </row>
        <row r="1817">
          <cell r="AA1817" t="str">
            <v>2T2R</v>
          </cell>
        </row>
        <row r="1818">
          <cell r="E1818" t="str">
            <v>GMUDU2</v>
          </cell>
        </row>
        <row r="1818">
          <cell r="G1818" t="str">
            <v>GMUDU2-M-L85-B1</v>
          </cell>
        </row>
        <row r="1818">
          <cell r="I1818">
            <v>79.9847</v>
          </cell>
          <cell r="J1818">
            <v>7.12655</v>
          </cell>
        </row>
        <row r="1818">
          <cell r="AA1818" t="str">
            <v>2T2R</v>
          </cell>
        </row>
        <row r="1819">
          <cell r="E1819" t="str">
            <v>GMUDU2</v>
          </cell>
        </row>
        <row r="1819">
          <cell r="G1819" t="str">
            <v>GMUDU2-M-L85-A1</v>
          </cell>
        </row>
        <row r="1819">
          <cell r="I1819">
            <v>79.9847</v>
          </cell>
          <cell r="J1819">
            <v>7.12655</v>
          </cell>
        </row>
        <row r="1819">
          <cell r="AA1819" t="str">
            <v>2T2R</v>
          </cell>
        </row>
        <row r="1820">
          <cell r="E1820" t="str">
            <v>GMBAD2</v>
          </cell>
        </row>
        <row r="1820">
          <cell r="G1820" t="str">
            <v>GMBAD2-M-L85-C1</v>
          </cell>
        </row>
        <row r="1820">
          <cell r="I1820">
            <v>79.9851</v>
          </cell>
          <cell r="J1820">
            <v>7.28635</v>
          </cell>
        </row>
        <row r="1820">
          <cell r="AA1820" t="str">
            <v>2T2R</v>
          </cell>
        </row>
        <row r="1821">
          <cell r="E1821" t="str">
            <v>GMBAD2</v>
          </cell>
        </row>
        <row r="1821">
          <cell r="G1821" t="str">
            <v>GMBAD2-M-L85-B1</v>
          </cell>
        </row>
        <row r="1821">
          <cell r="I1821">
            <v>79.9851</v>
          </cell>
          <cell r="J1821">
            <v>7.28635</v>
          </cell>
        </row>
        <row r="1821">
          <cell r="AA1821" t="str">
            <v>2T2R</v>
          </cell>
        </row>
        <row r="1822">
          <cell r="E1822" t="str">
            <v>GMBAD2</v>
          </cell>
        </row>
        <row r="1822">
          <cell r="G1822" t="str">
            <v>GMBAD2-M-L85-A1</v>
          </cell>
        </row>
        <row r="1822">
          <cell r="I1822">
            <v>79.9851</v>
          </cell>
          <cell r="J1822">
            <v>7.28635</v>
          </cell>
        </row>
        <row r="1822">
          <cell r="AA1822" t="str">
            <v>2T2R</v>
          </cell>
        </row>
        <row r="1823">
          <cell r="E1823" t="str">
            <v>GMBAD2</v>
          </cell>
        </row>
        <row r="1823">
          <cell r="G1823" t="str">
            <v>GMBAD2I</v>
          </cell>
        </row>
        <row r="1823">
          <cell r="I1823">
            <v>79.9851</v>
          </cell>
          <cell r="J1823">
            <v>7.28635</v>
          </cell>
        </row>
        <row r="1823">
          <cell r="AA1823" t="str">
            <v>2T2R</v>
          </cell>
        </row>
        <row r="1824">
          <cell r="E1824" t="str">
            <v>GMBAD2</v>
          </cell>
        </row>
        <row r="1824">
          <cell r="G1824" t="str">
            <v>GMBAD2H</v>
          </cell>
        </row>
        <row r="1824">
          <cell r="I1824">
            <v>79.9851</v>
          </cell>
          <cell r="J1824">
            <v>7.28635</v>
          </cell>
        </row>
        <row r="1824">
          <cell r="AA1824" t="str">
            <v>2T2R</v>
          </cell>
        </row>
        <row r="1825">
          <cell r="E1825" t="str">
            <v>GMBAD2</v>
          </cell>
        </row>
        <row r="1825">
          <cell r="G1825" t="str">
            <v>GMBAD2G</v>
          </cell>
        </row>
        <row r="1825">
          <cell r="I1825">
            <v>79.9851</v>
          </cell>
          <cell r="J1825">
            <v>7.28635</v>
          </cell>
        </row>
        <row r="1825">
          <cell r="AA1825" t="str">
            <v>2T2R</v>
          </cell>
        </row>
        <row r="1826">
          <cell r="E1826" t="str">
            <v>ZBIY49</v>
          </cell>
        </row>
        <row r="1826">
          <cell r="G1826" t="str">
            <v>ZBIY49I</v>
          </cell>
        </row>
        <row r="1826">
          <cell r="I1826">
            <v>79.986222</v>
          </cell>
          <cell r="J1826">
            <v>6.949339</v>
          </cell>
        </row>
        <row r="1826">
          <cell r="AA1826" t="str">
            <v>2T2R</v>
          </cell>
        </row>
        <row r="1827">
          <cell r="E1827" t="str">
            <v>ZBIY49</v>
          </cell>
        </row>
        <row r="1827">
          <cell r="G1827" t="str">
            <v>ZBIY49H</v>
          </cell>
        </row>
        <row r="1827">
          <cell r="I1827">
            <v>79.986222</v>
          </cell>
          <cell r="J1827">
            <v>6.949339</v>
          </cell>
        </row>
        <row r="1827">
          <cell r="AA1827" t="str">
            <v>2T2R</v>
          </cell>
        </row>
        <row r="1828">
          <cell r="E1828" t="str">
            <v>ZBIY49</v>
          </cell>
        </row>
        <row r="1828">
          <cell r="G1828" t="str">
            <v>ZBIY49G</v>
          </cell>
        </row>
        <row r="1828">
          <cell r="I1828">
            <v>79.986222</v>
          </cell>
          <cell r="J1828">
            <v>6.949339</v>
          </cell>
        </row>
        <row r="1828">
          <cell r="AA1828" t="str">
            <v>2T2R</v>
          </cell>
        </row>
        <row r="1829">
          <cell r="E1829" t="str">
            <v>ZBIY19</v>
          </cell>
        </row>
        <row r="1829">
          <cell r="G1829" t="str">
            <v>ZBIY19I</v>
          </cell>
        </row>
        <row r="1829">
          <cell r="I1829">
            <v>79.9867</v>
          </cell>
          <cell r="J1829">
            <v>6.94167</v>
          </cell>
        </row>
        <row r="1829">
          <cell r="AA1829" t="str">
            <v>2T2R</v>
          </cell>
        </row>
        <row r="1830">
          <cell r="E1830" t="str">
            <v>ZBIY19</v>
          </cell>
        </row>
        <row r="1830">
          <cell r="G1830" t="str">
            <v>ZBIY19H</v>
          </cell>
        </row>
        <row r="1830">
          <cell r="I1830">
            <v>79.9867</v>
          </cell>
          <cell r="J1830">
            <v>6.94167</v>
          </cell>
        </row>
        <row r="1830">
          <cell r="AA1830" t="str">
            <v>2T2R</v>
          </cell>
        </row>
        <row r="1831">
          <cell r="E1831" t="str">
            <v>ZBIY19</v>
          </cell>
        </row>
        <row r="1831">
          <cell r="G1831" t="str">
            <v>ZBIY19G</v>
          </cell>
        </row>
        <row r="1831">
          <cell r="I1831">
            <v>79.9867</v>
          </cell>
          <cell r="J1831">
            <v>6.94167</v>
          </cell>
        </row>
        <row r="1831">
          <cell r="AA1831" t="str">
            <v>4T4R</v>
          </cell>
        </row>
        <row r="1832">
          <cell r="E1832" t="str">
            <v>GMKIR1</v>
          </cell>
        </row>
        <row r="1832">
          <cell r="G1832" t="str">
            <v>GMKIR1-M-L18-C1</v>
          </cell>
        </row>
        <row r="1832">
          <cell r="I1832">
            <v>79.9872</v>
          </cell>
          <cell r="J1832">
            <v>7.0314</v>
          </cell>
        </row>
        <row r="1832">
          <cell r="AA1832" t="str">
            <v>2T2R</v>
          </cell>
        </row>
        <row r="1833">
          <cell r="E1833" t="str">
            <v>GMKIR1</v>
          </cell>
        </row>
        <row r="1833">
          <cell r="G1833" t="str">
            <v>GMKIR1-M-L21-C2</v>
          </cell>
        </row>
        <row r="1833">
          <cell r="I1833">
            <v>79.9872</v>
          </cell>
          <cell r="J1833">
            <v>7.0314</v>
          </cell>
        </row>
        <row r="1833">
          <cell r="AA1833" t="str">
            <v>2T2R</v>
          </cell>
        </row>
        <row r="1834">
          <cell r="E1834" t="str">
            <v>GMKIR1</v>
          </cell>
        </row>
        <row r="1834">
          <cell r="G1834" t="str">
            <v>GMKIR1-M-L21-B2</v>
          </cell>
        </row>
        <row r="1834">
          <cell r="I1834">
            <v>79.9872</v>
          </cell>
          <cell r="J1834">
            <v>7.0314</v>
          </cell>
        </row>
        <row r="1834">
          <cell r="AA1834" t="str">
            <v>2T2R</v>
          </cell>
        </row>
        <row r="1835">
          <cell r="E1835" t="str">
            <v>GMKIR1</v>
          </cell>
        </row>
        <row r="1835">
          <cell r="G1835" t="str">
            <v>GMKIR1-M-L18-A1</v>
          </cell>
        </row>
        <row r="1835">
          <cell r="I1835">
            <v>79.9872</v>
          </cell>
          <cell r="J1835">
            <v>7.0314</v>
          </cell>
        </row>
        <row r="1835">
          <cell r="AA1835" t="str">
            <v>2T2R</v>
          </cell>
        </row>
        <row r="1836">
          <cell r="E1836" t="str">
            <v>GMKIR1</v>
          </cell>
        </row>
        <row r="1836">
          <cell r="G1836" t="str">
            <v>GMKIR1I</v>
          </cell>
        </row>
        <row r="1836">
          <cell r="I1836">
            <v>79.9872</v>
          </cell>
          <cell r="J1836">
            <v>7.0314</v>
          </cell>
        </row>
        <row r="1836">
          <cell r="AA1836" t="str">
            <v>2T2R</v>
          </cell>
        </row>
        <row r="1837">
          <cell r="E1837" t="str">
            <v>GMKIR1</v>
          </cell>
        </row>
        <row r="1837">
          <cell r="G1837" t="str">
            <v>GMKIR1H</v>
          </cell>
        </row>
        <row r="1837">
          <cell r="I1837">
            <v>79.9872</v>
          </cell>
          <cell r="J1837">
            <v>7.0314</v>
          </cell>
        </row>
        <row r="1837">
          <cell r="AA1837" t="str">
            <v>4T4R</v>
          </cell>
        </row>
        <row r="1838">
          <cell r="E1838" t="str">
            <v>GMKIR1</v>
          </cell>
        </row>
        <row r="1838">
          <cell r="G1838" t="str">
            <v>GMKIR1G</v>
          </cell>
        </row>
        <row r="1838">
          <cell r="I1838">
            <v>79.9872</v>
          </cell>
          <cell r="J1838">
            <v>7.0314</v>
          </cell>
        </row>
        <row r="1838">
          <cell r="AA1838" t="str">
            <v>2T2R</v>
          </cell>
        </row>
        <row r="1839">
          <cell r="E1839" t="str">
            <v>GMKIR1</v>
          </cell>
        </row>
        <row r="1839">
          <cell r="G1839" t="str">
            <v>GMKIR1-M-L85-C1</v>
          </cell>
        </row>
        <row r="1839">
          <cell r="I1839">
            <v>79.9872</v>
          </cell>
          <cell r="J1839">
            <v>7.0314</v>
          </cell>
        </row>
        <row r="1839">
          <cell r="AA1839" t="str">
            <v>2T2R</v>
          </cell>
        </row>
        <row r="1840">
          <cell r="E1840" t="str">
            <v>GMKIR1</v>
          </cell>
        </row>
        <row r="1840">
          <cell r="G1840" t="str">
            <v>GMKIR1-M-L85-B1</v>
          </cell>
        </row>
        <row r="1840">
          <cell r="I1840">
            <v>79.9872</v>
          </cell>
          <cell r="J1840">
            <v>7.0314</v>
          </cell>
        </row>
        <row r="1840">
          <cell r="AA1840" t="str">
            <v>2T2R</v>
          </cell>
        </row>
        <row r="1841">
          <cell r="E1841" t="str">
            <v>GMKIR1</v>
          </cell>
        </row>
        <row r="1841">
          <cell r="G1841" t="str">
            <v>GMKIR1-M-L85-A1</v>
          </cell>
        </row>
        <row r="1841">
          <cell r="I1841">
            <v>79.9872</v>
          </cell>
          <cell r="J1841">
            <v>7.0314</v>
          </cell>
        </row>
        <row r="1841">
          <cell r="AA1841" t="str">
            <v>2T2R</v>
          </cell>
        </row>
        <row r="1842">
          <cell r="E1842" t="str">
            <v>ZBIY29</v>
          </cell>
        </row>
        <row r="1842">
          <cell r="G1842" t="str">
            <v>ZBIY29-M-L18-B1</v>
          </cell>
        </row>
        <row r="1842">
          <cell r="I1842">
            <v>79.9873</v>
          </cell>
          <cell r="J1842">
            <v>6.96249</v>
          </cell>
        </row>
        <row r="1842">
          <cell r="AA1842" t="str">
            <v>2T2R</v>
          </cell>
        </row>
        <row r="1843">
          <cell r="E1843" t="str">
            <v>ZBIY29</v>
          </cell>
        </row>
        <row r="1843">
          <cell r="G1843" t="str">
            <v>ZBIY29-M-L18-D1</v>
          </cell>
        </row>
        <row r="1843">
          <cell r="I1843">
            <v>79.9873</v>
          </cell>
          <cell r="J1843">
            <v>6.96249</v>
          </cell>
        </row>
        <row r="1843">
          <cell r="AA1843" t="str">
            <v>4T4R</v>
          </cell>
        </row>
        <row r="1844">
          <cell r="E1844" t="str">
            <v>ZBIY29</v>
          </cell>
        </row>
        <row r="1844">
          <cell r="G1844" t="str">
            <v>ZBIY29-M-L21-B2</v>
          </cell>
        </row>
        <row r="1844">
          <cell r="I1844">
            <v>79.9873</v>
          </cell>
          <cell r="J1844">
            <v>6.96249</v>
          </cell>
        </row>
        <row r="1844">
          <cell r="AA1844" t="str">
            <v>2T2R</v>
          </cell>
        </row>
        <row r="1845">
          <cell r="E1845" t="str">
            <v>ZBIY29</v>
          </cell>
        </row>
        <row r="1845">
          <cell r="G1845" t="str">
            <v>ZBIY29-M-L21-A2</v>
          </cell>
        </row>
        <row r="1845">
          <cell r="I1845">
            <v>79.9873</v>
          </cell>
          <cell r="J1845">
            <v>6.96249</v>
          </cell>
        </row>
        <row r="1845">
          <cell r="AA1845" t="str">
            <v>4T4R</v>
          </cell>
        </row>
        <row r="1846">
          <cell r="E1846" t="str">
            <v>ZBIY29</v>
          </cell>
        </row>
        <row r="1846">
          <cell r="G1846" t="str">
            <v>ZBIY29-M-L21-C2</v>
          </cell>
        </row>
        <row r="1846">
          <cell r="I1846">
            <v>79.9873</v>
          </cell>
          <cell r="J1846">
            <v>6.96249</v>
          </cell>
        </row>
        <row r="1846">
          <cell r="AA1846" t="str">
            <v>2T2R</v>
          </cell>
        </row>
        <row r="1847">
          <cell r="E1847" t="str">
            <v>ZBIY29</v>
          </cell>
        </row>
        <row r="1847">
          <cell r="G1847" t="str">
            <v>ZBIY29I</v>
          </cell>
        </row>
        <row r="1847">
          <cell r="I1847">
            <v>79.9873</v>
          </cell>
          <cell r="J1847">
            <v>6.96249</v>
          </cell>
        </row>
        <row r="1847">
          <cell r="AA1847" t="str">
            <v>4T4R</v>
          </cell>
        </row>
        <row r="1848">
          <cell r="E1848" t="str">
            <v>ZBIY29</v>
          </cell>
        </row>
        <row r="1848">
          <cell r="G1848" t="str">
            <v>ZBIY29H</v>
          </cell>
        </row>
        <row r="1848">
          <cell r="I1848">
            <v>79.9873</v>
          </cell>
          <cell r="J1848">
            <v>6.96249</v>
          </cell>
        </row>
        <row r="1848">
          <cell r="AA1848" t="str">
            <v>4T4R</v>
          </cell>
        </row>
        <row r="1849">
          <cell r="E1849" t="str">
            <v>ZBIY29</v>
          </cell>
        </row>
        <row r="1849">
          <cell r="G1849" t="str">
            <v>ZBIY29G</v>
          </cell>
        </row>
        <row r="1849">
          <cell r="I1849">
            <v>79.9873</v>
          </cell>
          <cell r="J1849">
            <v>6.96249</v>
          </cell>
        </row>
        <row r="1849">
          <cell r="AA1849" t="str">
            <v>4T4R</v>
          </cell>
        </row>
        <row r="1850">
          <cell r="E1850" t="str">
            <v>ZBIY29</v>
          </cell>
        </row>
        <row r="1850">
          <cell r="G1850" t="str">
            <v>ZBIY29-M-L85-C1</v>
          </cell>
        </row>
        <row r="1850">
          <cell r="I1850">
            <v>79.9873</v>
          </cell>
          <cell r="J1850">
            <v>6.96249</v>
          </cell>
        </row>
        <row r="1850">
          <cell r="AA1850" t="str">
            <v>2T2R</v>
          </cell>
        </row>
        <row r="1851">
          <cell r="E1851" t="str">
            <v>ZBIY29</v>
          </cell>
        </row>
        <row r="1851">
          <cell r="G1851" t="str">
            <v>ZBIY29-M-L85-B1</v>
          </cell>
        </row>
        <row r="1851">
          <cell r="I1851">
            <v>79.9873</v>
          </cell>
          <cell r="J1851">
            <v>6.96249</v>
          </cell>
        </row>
        <row r="1851">
          <cell r="AA1851" t="str">
            <v>2T2R</v>
          </cell>
        </row>
        <row r="1852">
          <cell r="E1852" t="str">
            <v>ZBIY29</v>
          </cell>
        </row>
        <row r="1852">
          <cell r="G1852" t="str">
            <v>ZBIY29-M-L85-A1</v>
          </cell>
        </row>
        <row r="1852">
          <cell r="I1852">
            <v>79.9873</v>
          </cell>
          <cell r="J1852">
            <v>6.96249</v>
          </cell>
        </row>
        <row r="1852">
          <cell r="AA1852" t="str">
            <v>2T2R</v>
          </cell>
        </row>
        <row r="1853">
          <cell r="E1853" t="str">
            <v>ZBIY43</v>
          </cell>
        </row>
        <row r="1853">
          <cell r="G1853" t="str">
            <v>ZBIY43I</v>
          </cell>
        </row>
        <row r="1853">
          <cell r="I1853">
            <v>79.9891</v>
          </cell>
          <cell r="J1853">
            <v>6.98251</v>
          </cell>
        </row>
        <row r="1853">
          <cell r="AA1853" t="str">
            <v>2T2R</v>
          </cell>
        </row>
        <row r="1854">
          <cell r="E1854" t="str">
            <v>ZBIY43</v>
          </cell>
        </row>
        <row r="1854">
          <cell r="G1854" t="str">
            <v>ZBIY43H</v>
          </cell>
        </row>
        <row r="1854">
          <cell r="I1854">
            <v>79.9891</v>
          </cell>
          <cell r="J1854">
            <v>6.98251</v>
          </cell>
        </row>
        <row r="1854">
          <cell r="AA1854" t="str">
            <v>2T2R</v>
          </cell>
        </row>
        <row r="1855">
          <cell r="E1855" t="str">
            <v>ZBIY43</v>
          </cell>
        </row>
        <row r="1855">
          <cell r="G1855" t="str">
            <v>ZBIY43G</v>
          </cell>
        </row>
        <row r="1855">
          <cell r="I1855">
            <v>79.9891</v>
          </cell>
          <cell r="J1855">
            <v>6.98251</v>
          </cell>
        </row>
        <row r="1855">
          <cell r="AA1855" t="str">
            <v>4T4R</v>
          </cell>
        </row>
        <row r="1856">
          <cell r="E1856" t="str">
            <v>ZBIY43</v>
          </cell>
        </row>
        <row r="1856">
          <cell r="G1856" t="str">
            <v>ZBIY43-M-L18-B1</v>
          </cell>
        </row>
        <row r="1856">
          <cell r="I1856">
            <v>79.9891</v>
          </cell>
          <cell r="J1856">
            <v>6.98251</v>
          </cell>
        </row>
        <row r="1856">
          <cell r="AA1856" t="str">
            <v>2T2R</v>
          </cell>
        </row>
        <row r="1857">
          <cell r="E1857" t="str">
            <v>GMGAM3</v>
          </cell>
        </row>
        <row r="1857">
          <cell r="G1857" t="str">
            <v>GMGAM3F</v>
          </cell>
        </row>
        <row r="1857">
          <cell r="I1857">
            <v>79.9898</v>
          </cell>
          <cell r="J1857">
            <v>7.1095</v>
          </cell>
        </row>
        <row r="1857">
          <cell r="AA1857" t="str">
            <v>2T2R</v>
          </cell>
        </row>
        <row r="1858">
          <cell r="E1858" t="str">
            <v>GMGAM3</v>
          </cell>
        </row>
        <row r="1858">
          <cell r="G1858" t="str">
            <v>GMGAM3-M-L21-C2</v>
          </cell>
        </row>
        <row r="1858">
          <cell r="I1858">
            <v>79.9898</v>
          </cell>
          <cell r="J1858">
            <v>7.1095</v>
          </cell>
        </row>
        <row r="1858">
          <cell r="AA1858" t="str">
            <v>2T2R</v>
          </cell>
        </row>
        <row r="1859">
          <cell r="E1859" t="str">
            <v>GMGAM3</v>
          </cell>
        </row>
        <row r="1859">
          <cell r="G1859" t="str">
            <v>GMGAM3-M-L21-B2</v>
          </cell>
        </row>
        <row r="1859">
          <cell r="I1859">
            <v>79.9898</v>
          </cell>
          <cell r="J1859">
            <v>7.1095</v>
          </cell>
        </row>
        <row r="1859">
          <cell r="AA1859" t="str">
            <v>8T8R</v>
          </cell>
        </row>
        <row r="1860">
          <cell r="E1860" t="str">
            <v>GMGAM3</v>
          </cell>
        </row>
        <row r="1860">
          <cell r="G1860" t="str">
            <v>GMGAM3-M-L21-A2</v>
          </cell>
        </row>
        <row r="1860">
          <cell r="I1860">
            <v>79.9898</v>
          </cell>
          <cell r="J1860">
            <v>7.1095</v>
          </cell>
        </row>
        <row r="1860">
          <cell r="AA1860" t="str">
            <v>2T2R</v>
          </cell>
        </row>
        <row r="1861">
          <cell r="E1861" t="str">
            <v>GMGAM3</v>
          </cell>
        </row>
        <row r="1861">
          <cell r="G1861" t="str">
            <v>GMGAM3-M-L18-H1</v>
          </cell>
        </row>
        <row r="1861">
          <cell r="I1861">
            <v>79.9898</v>
          </cell>
          <cell r="J1861">
            <v>7.1095</v>
          </cell>
        </row>
        <row r="1861">
          <cell r="AA1861" t="str">
            <v>8T8R</v>
          </cell>
        </row>
        <row r="1862">
          <cell r="E1862" t="str">
            <v>GMGAM3</v>
          </cell>
        </row>
        <row r="1862">
          <cell r="G1862" t="str">
            <v>GMGAM3G</v>
          </cell>
        </row>
        <row r="1862">
          <cell r="I1862">
            <v>79.9898</v>
          </cell>
          <cell r="J1862">
            <v>7.1095</v>
          </cell>
        </row>
        <row r="1862">
          <cell r="AA1862" t="str">
            <v>4T4R</v>
          </cell>
        </row>
        <row r="1863">
          <cell r="E1863" t="str">
            <v>GMGAM3</v>
          </cell>
        </row>
        <row r="1863">
          <cell r="G1863" t="str">
            <v>GMGAM3H</v>
          </cell>
        </row>
        <row r="1863">
          <cell r="I1863">
            <v>79.9898</v>
          </cell>
          <cell r="J1863">
            <v>7.1095</v>
          </cell>
        </row>
        <row r="1863">
          <cell r="AA1863" t="str">
            <v>8T8R</v>
          </cell>
        </row>
        <row r="1864">
          <cell r="E1864" t="str">
            <v>GMGAM3</v>
          </cell>
        </row>
        <row r="1864">
          <cell r="G1864" t="str">
            <v>GMGAM3I</v>
          </cell>
        </row>
        <row r="1864">
          <cell r="I1864">
            <v>79.9898</v>
          </cell>
          <cell r="J1864">
            <v>7.1095</v>
          </cell>
        </row>
        <row r="1864">
          <cell r="AA1864" t="str">
            <v>4T4R</v>
          </cell>
        </row>
        <row r="1865">
          <cell r="E1865" t="str">
            <v>GMGAM3</v>
          </cell>
        </row>
        <row r="1865">
          <cell r="G1865" t="str">
            <v>GMGAM3-M-L85-C1</v>
          </cell>
        </row>
        <row r="1865">
          <cell r="I1865">
            <v>79.9898</v>
          </cell>
          <cell r="J1865">
            <v>7.1095</v>
          </cell>
        </row>
        <row r="1865">
          <cell r="AA1865" t="str">
            <v>2T2R</v>
          </cell>
        </row>
        <row r="1866">
          <cell r="E1866" t="str">
            <v>GMGAM3</v>
          </cell>
        </row>
        <row r="1866">
          <cell r="G1866" t="str">
            <v>GMGAM3-M-L85-B1</v>
          </cell>
        </row>
        <row r="1866">
          <cell r="I1866">
            <v>79.9898</v>
          </cell>
          <cell r="J1866">
            <v>7.1095</v>
          </cell>
        </row>
        <row r="1866">
          <cell r="AA1866" t="str">
            <v>2T2R</v>
          </cell>
        </row>
        <row r="1867">
          <cell r="E1867" t="str">
            <v>GMGAM3</v>
          </cell>
        </row>
        <row r="1867">
          <cell r="G1867" t="str">
            <v>GMGAM3-M-L85-A1</v>
          </cell>
        </row>
        <row r="1867">
          <cell r="I1867">
            <v>79.9898</v>
          </cell>
          <cell r="J1867">
            <v>7.1095</v>
          </cell>
        </row>
        <row r="1867">
          <cell r="AA1867" t="str">
            <v>2T2R</v>
          </cell>
        </row>
        <row r="1868">
          <cell r="E1868" t="str">
            <v>LGM041</v>
          </cell>
        </row>
        <row r="1868">
          <cell r="G1868" t="str">
            <v>LGM041-M-L21-C2</v>
          </cell>
        </row>
        <row r="1868">
          <cell r="I1868">
            <v>79.9899</v>
          </cell>
          <cell r="J1868">
            <v>7.0881</v>
          </cell>
        </row>
        <row r="1868">
          <cell r="AA1868" t="str">
            <v>2T2R</v>
          </cell>
        </row>
        <row r="1869">
          <cell r="E1869" t="str">
            <v>LGM041</v>
          </cell>
        </row>
        <row r="1869">
          <cell r="G1869" t="str">
            <v>LGM041-M-L21-B2</v>
          </cell>
        </row>
        <row r="1869">
          <cell r="I1869">
            <v>79.9899</v>
          </cell>
          <cell r="J1869">
            <v>7.0881</v>
          </cell>
        </row>
        <row r="1869">
          <cell r="AA1869" t="str">
            <v>2T2R</v>
          </cell>
        </row>
        <row r="1870">
          <cell r="E1870" t="str">
            <v>LGM041</v>
          </cell>
        </row>
        <row r="1870">
          <cell r="G1870" t="str">
            <v>LGM041-M-L21-A2</v>
          </cell>
        </row>
        <row r="1870">
          <cell r="I1870">
            <v>79.9899</v>
          </cell>
          <cell r="J1870">
            <v>7.0881</v>
          </cell>
        </row>
        <row r="1870">
          <cell r="AA1870" t="str">
            <v>2T2R</v>
          </cell>
        </row>
        <row r="1871">
          <cell r="E1871" t="str">
            <v>GMYGD2</v>
          </cell>
        </row>
        <row r="1871">
          <cell r="G1871" t="str">
            <v>GMYGD2-M-L85-C1</v>
          </cell>
        </row>
        <row r="1871">
          <cell r="I1871">
            <v>79.9923</v>
          </cell>
          <cell r="J1871">
            <v>7.0568</v>
          </cell>
        </row>
        <row r="1871">
          <cell r="AA1871" t="str">
            <v>2T2R</v>
          </cell>
        </row>
        <row r="1872">
          <cell r="E1872" t="str">
            <v>GMYGD2</v>
          </cell>
        </row>
        <row r="1872">
          <cell r="G1872" t="str">
            <v>GMYGD2-M-L85-B1</v>
          </cell>
        </row>
        <row r="1872">
          <cell r="I1872">
            <v>79.9923</v>
          </cell>
          <cell r="J1872">
            <v>7.0568</v>
          </cell>
        </row>
        <row r="1872">
          <cell r="AA1872" t="str">
            <v>2T2R</v>
          </cell>
        </row>
        <row r="1873">
          <cell r="E1873" t="str">
            <v>GMYGD2</v>
          </cell>
        </row>
        <row r="1873">
          <cell r="G1873" t="str">
            <v>GMYGD2-M-L85-A1</v>
          </cell>
        </row>
        <row r="1873">
          <cell r="I1873">
            <v>79.9923</v>
          </cell>
          <cell r="J1873">
            <v>7.0568</v>
          </cell>
        </row>
        <row r="1873">
          <cell r="AA1873" t="str">
            <v>2T2R</v>
          </cell>
        </row>
        <row r="1874">
          <cell r="E1874" t="str">
            <v>GMYGD2</v>
          </cell>
        </row>
        <row r="1874">
          <cell r="G1874" t="str">
            <v>GMYGD2I</v>
          </cell>
        </row>
        <row r="1874">
          <cell r="I1874">
            <v>79.9923</v>
          </cell>
          <cell r="J1874">
            <v>7.0568</v>
          </cell>
        </row>
        <row r="1874">
          <cell r="AA1874" t="str">
            <v>2T2R</v>
          </cell>
        </row>
        <row r="1875">
          <cell r="E1875" t="str">
            <v>GMYGD2</v>
          </cell>
        </row>
        <row r="1875">
          <cell r="G1875" t="str">
            <v>GMYGD2H</v>
          </cell>
        </row>
        <row r="1875">
          <cell r="I1875">
            <v>79.9923</v>
          </cell>
          <cell r="J1875">
            <v>7.0568</v>
          </cell>
        </row>
        <row r="1875">
          <cell r="AA1875" t="str">
            <v>2T2R</v>
          </cell>
        </row>
        <row r="1876">
          <cell r="E1876" t="str">
            <v>GMYGD2</v>
          </cell>
        </row>
        <row r="1876">
          <cell r="G1876" t="str">
            <v>GMYGD2G</v>
          </cell>
        </row>
        <row r="1876">
          <cell r="I1876">
            <v>79.9923</v>
          </cell>
          <cell r="J1876">
            <v>7.0568</v>
          </cell>
        </row>
        <row r="1876">
          <cell r="AA1876" t="str">
            <v>2T2R</v>
          </cell>
        </row>
        <row r="1877">
          <cell r="E1877" t="str">
            <v>GMGAM1</v>
          </cell>
        </row>
        <row r="1877">
          <cell r="G1877" t="str">
            <v>GMGAM1-M-L18-C1</v>
          </cell>
        </row>
        <row r="1877">
          <cell r="I1877">
            <v>79.9935</v>
          </cell>
          <cell r="J1877">
            <v>7.0903</v>
          </cell>
        </row>
        <row r="1877">
          <cell r="AA1877" t="str">
            <v>4T4R</v>
          </cell>
        </row>
        <row r="1878">
          <cell r="E1878" t="str">
            <v>GMGAM1</v>
          </cell>
        </row>
        <row r="1878">
          <cell r="G1878" t="str">
            <v>GMGAM1-M-L18-A1</v>
          </cell>
        </row>
        <row r="1878">
          <cell r="I1878">
            <v>79.9935</v>
          </cell>
          <cell r="J1878">
            <v>7.0903</v>
          </cell>
        </row>
        <row r="1878">
          <cell r="AA1878" t="str">
            <v>2T2R</v>
          </cell>
        </row>
        <row r="1879">
          <cell r="E1879" t="str">
            <v>GMGAM1</v>
          </cell>
        </row>
        <row r="1879">
          <cell r="G1879" t="str">
            <v>GMGAM1-M-L21-C2</v>
          </cell>
        </row>
        <row r="1879">
          <cell r="I1879">
            <v>79.9935</v>
          </cell>
          <cell r="J1879">
            <v>7.0903</v>
          </cell>
        </row>
        <row r="1879">
          <cell r="AA1879" t="str">
            <v>4T4R</v>
          </cell>
        </row>
        <row r="1880">
          <cell r="E1880" t="str">
            <v>GMGAM1</v>
          </cell>
        </row>
        <row r="1880">
          <cell r="G1880" t="str">
            <v>GMGAM1-M-L21-B2</v>
          </cell>
        </row>
        <row r="1880">
          <cell r="I1880">
            <v>79.9935</v>
          </cell>
          <cell r="J1880">
            <v>7.0903</v>
          </cell>
        </row>
        <row r="1880">
          <cell r="AA1880" t="str">
            <v>2T2R</v>
          </cell>
        </row>
        <row r="1881">
          <cell r="E1881" t="str">
            <v>GMGAM1</v>
          </cell>
        </row>
        <row r="1881">
          <cell r="G1881" t="str">
            <v>GMGAM1-M-L21-A2</v>
          </cell>
        </row>
        <row r="1881">
          <cell r="I1881">
            <v>79.9935</v>
          </cell>
          <cell r="J1881">
            <v>7.0903</v>
          </cell>
        </row>
        <row r="1881">
          <cell r="AA1881" t="str">
            <v>2T2R</v>
          </cell>
        </row>
        <row r="1882">
          <cell r="E1882" t="str">
            <v>GMGAM1</v>
          </cell>
        </row>
        <row r="1882">
          <cell r="G1882" t="str">
            <v>GMGAM1-M-L21-C1</v>
          </cell>
        </row>
        <row r="1882">
          <cell r="I1882">
            <v>79.9935</v>
          </cell>
          <cell r="J1882">
            <v>7.0903</v>
          </cell>
        </row>
        <row r="1882">
          <cell r="AA1882" t="str">
            <v>4T4R</v>
          </cell>
        </row>
        <row r="1883">
          <cell r="E1883" t="str">
            <v>GMGAM1</v>
          </cell>
        </row>
        <row r="1883">
          <cell r="G1883" t="str">
            <v>GMGAM1-M-L23-C1</v>
          </cell>
        </row>
        <row r="1883">
          <cell r="I1883">
            <v>79.9935</v>
          </cell>
          <cell r="J1883">
            <v>7.0903</v>
          </cell>
        </row>
        <row r="1883">
          <cell r="AA1883" t="str">
            <v>2T2R</v>
          </cell>
        </row>
        <row r="1884">
          <cell r="E1884" t="str">
            <v>GMGAM1</v>
          </cell>
        </row>
        <row r="1884">
          <cell r="G1884" t="str">
            <v>GMGAM1-M-L23-B1</v>
          </cell>
        </row>
        <row r="1884">
          <cell r="I1884">
            <v>79.9935</v>
          </cell>
          <cell r="J1884">
            <v>7.0903</v>
          </cell>
        </row>
        <row r="1884">
          <cell r="AA1884" t="str">
            <v>2T2R</v>
          </cell>
        </row>
        <row r="1885">
          <cell r="E1885" t="str">
            <v>GMGAM1</v>
          </cell>
        </row>
        <row r="1885">
          <cell r="G1885" t="str">
            <v>GMGAM1-M-L23-A1</v>
          </cell>
        </row>
        <row r="1885">
          <cell r="I1885">
            <v>79.9935</v>
          </cell>
          <cell r="J1885">
            <v>7.0903</v>
          </cell>
        </row>
        <row r="1885">
          <cell r="AA1885" t="str">
            <v>2T2R</v>
          </cell>
        </row>
        <row r="1886">
          <cell r="E1886" t="str">
            <v>GMGAM1</v>
          </cell>
        </row>
        <row r="1886">
          <cell r="G1886" t="str">
            <v>GMGAM1G</v>
          </cell>
        </row>
        <row r="1886">
          <cell r="I1886">
            <v>79.9935</v>
          </cell>
          <cell r="J1886">
            <v>7.0903</v>
          </cell>
        </row>
        <row r="1886">
          <cell r="AA1886" t="str">
            <v>4T4R</v>
          </cell>
        </row>
        <row r="1887">
          <cell r="E1887" t="str">
            <v>GMGAM1</v>
          </cell>
        </row>
        <row r="1887">
          <cell r="G1887" t="str">
            <v>GMGAM1H</v>
          </cell>
        </row>
        <row r="1887">
          <cell r="I1887">
            <v>79.9935</v>
          </cell>
          <cell r="J1887">
            <v>7.0903</v>
          </cell>
        </row>
        <row r="1887">
          <cell r="AA1887" t="str">
            <v>2T2R</v>
          </cell>
        </row>
        <row r="1888">
          <cell r="E1888" t="str">
            <v>GMGAM1</v>
          </cell>
        </row>
        <row r="1888">
          <cell r="G1888" t="str">
            <v>GMGAM1I</v>
          </cell>
        </row>
        <row r="1888">
          <cell r="I1888">
            <v>79.9935</v>
          </cell>
          <cell r="J1888">
            <v>7.0903</v>
          </cell>
        </row>
        <row r="1888">
          <cell r="AA1888" t="str">
            <v>4T4R</v>
          </cell>
        </row>
        <row r="1889">
          <cell r="E1889" t="str">
            <v>GMGAM1</v>
          </cell>
        </row>
        <row r="1889">
          <cell r="G1889" t="str">
            <v>GMGAM1-M-L85-C1</v>
          </cell>
        </row>
        <row r="1889">
          <cell r="I1889">
            <v>79.9935</v>
          </cell>
          <cell r="J1889">
            <v>7.0903</v>
          </cell>
        </row>
        <row r="1889">
          <cell r="AA1889" t="str">
            <v>2T2R</v>
          </cell>
        </row>
        <row r="1890">
          <cell r="E1890" t="str">
            <v>GMGAM1</v>
          </cell>
        </row>
        <row r="1890">
          <cell r="G1890" t="str">
            <v>GMGAM1-M-L85-B1</v>
          </cell>
        </row>
        <row r="1890">
          <cell r="I1890">
            <v>79.9935</v>
          </cell>
          <cell r="J1890">
            <v>7.0903</v>
          </cell>
        </row>
        <row r="1890">
          <cell r="AA1890" t="str">
            <v>2T2R</v>
          </cell>
        </row>
        <row r="1891">
          <cell r="E1891" t="str">
            <v>GMGAM1</v>
          </cell>
        </row>
        <row r="1891">
          <cell r="G1891" t="str">
            <v>GMGAM1-M-L85-A1</v>
          </cell>
        </row>
        <row r="1891">
          <cell r="I1891">
            <v>79.9935</v>
          </cell>
          <cell r="J1891">
            <v>7.0903</v>
          </cell>
        </row>
        <row r="1891">
          <cell r="AA1891" t="str">
            <v>2T2R</v>
          </cell>
        </row>
        <row r="1892">
          <cell r="E1892" t="str">
            <v>GMGAM1</v>
          </cell>
        </row>
        <row r="1892">
          <cell r="G1892" t="str">
            <v>GMGAM1-M-L18-B1</v>
          </cell>
        </row>
        <row r="1892">
          <cell r="I1892">
            <v>79.9935</v>
          </cell>
          <cell r="J1892">
            <v>7.0903</v>
          </cell>
        </row>
        <row r="1892">
          <cell r="AA1892" t="str">
            <v>2T2R</v>
          </cell>
        </row>
        <row r="1893">
          <cell r="E1893" t="str">
            <v>GMGAM7</v>
          </cell>
        </row>
        <row r="1893">
          <cell r="G1893" t="str">
            <v>GMGAM7-M-L23-C1</v>
          </cell>
        </row>
        <row r="1893">
          <cell r="I1893">
            <v>79.994</v>
          </cell>
          <cell r="J1893">
            <v>7.09244</v>
          </cell>
        </row>
        <row r="1893">
          <cell r="AA1893" t="str">
            <v>2T2R</v>
          </cell>
        </row>
        <row r="1894">
          <cell r="E1894" t="str">
            <v>GMGAM7</v>
          </cell>
        </row>
        <row r="1894">
          <cell r="G1894" t="str">
            <v>GMGAM7-M-L23-B1</v>
          </cell>
        </row>
        <row r="1894">
          <cell r="I1894">
            <v>79.994</v>
          </cell>
          <cell r="J1894">
            <v>7.09244</v>
          </cell>
        </row>
        <row r="1894">
          <cell r="AA1894" t="str">
            <v>2T2R</v>
          </cell>
        </row>
        <row r="1895">
          <cell r="E1895" t="str">
            <v>GMGAM7</v>
          </cell>
        </row>
        <row r="1895">
          <cell r="G1895" t="str">
            <v>GMGAM7-M-L23-A1</v>
          </cell>
        </row>
        <row r="1895">
          <cell r="I1895">
            <v>79.994</v>
          </cell>
          <cell r="J1895">
            <v>7.09244</v>
          </cell>
        </row>
        <row r="1895">
          <cell r="AA1895" t="str">
            <v>2T2R</v>
          </cell>
        </row>
        <row r="1896">
          <cell r="E1896" t="str">
            <v>GMGAM7</v>
          </cell>
        </row>
        <row r="1896">
          <cell r="G1896" t="str">
            <v>GMGAM7I</v>
          </cell>
        </row>
        <row r="1896">
          <cell r="I1896">
            <v>79.994</v>
          </cell>
          <cell r="J1896">
            <v>7.09244</v>
          </cell>
        </row>
        <row r="1896">
          <cell r="AA1896" t="str">
            <v>2T2R</v>
          </cell>
        </row>
        <row r="1897">
          <cell r="E1897" t="str">
            <v>GMGAM7</v>
          </cell>
        </row>
        <row r="1897">
          <cell r="G1897" t="str">
            <v>GMGAM7H</v>
          </cell>
        </row>
        <row r="1897">
          <cell r="I1897">
            <v>79.994</v>
          </cell>
          <cell r="J1897">
            <v>7.09244</v>
          </cell>
        </row>
        <row r="1897">
          <cell r="AA1897" t="str">
            <v>2T2R</v>
          </cell>
        </row>
        <row r="1898">
          <cell r="E1898" t="str">
            <v>ZKAD06</v>
          </cell>
        </row>
        <row r="1898">
          <cell r="G1898" t="str">
            <v>ZKAD06-M-L85-C1</v>
          </cell>
        </row>
        <row r="1898">
          <cell r="I1898">
            <v>79.9941</v>
          </cell>
          <cell r="J1898">
            <v>7.00423</v>
          </cell>
        </row>
        <row r="1898">
          <cell r="AA1898" t="str">
            <v>2T2R</v>
          </cell>
        </row>
        <row r="1899">
          <cell r="E1899" t="str">
            <v>ZKAD06</v>
          </cell>
        </row>
        <row r="1899">
          <cell r="G1899" t="str">
            <v>ZKAD06-M-L85-B1</v>
          </cell>
        </row>
        <row r="1899">
          <cell r="I1899">
            <v>79.9941</v>
          </cell>
          <cell r="J1899">
            <v>7.00423</v>
          </cell>
        </row>
        <row r="1899">
          <cell r="AA1899" t="str">
            <v>2T2R</v>
          </cell>
        </row>
        <row r="1900">
          <cell r="E1900" t="str">
            <v>ZKAD06</v>
          </cell>
        </row>
        <row r="1900">
          <cell r="G1900" t="str">
            <v>ZKAD06-M-L85-A1</v>
          </cell>
        </row>
        <row r="1900">
          <cell r="I1900">
            <v>79.9941</v>
          </cell>
          <cell r="J1900">
            <v>7.00423</v>
          </cell>
        </row>
        <row r="1900">
          <cell r="AA1900" t="str">
            <v>2T2R</v>
          </cell>
        </row>
        <row r="1901">
          <cell r="E1901" t="str">
            <v>ZKAD06</v>
          </cell>
        </row>
        <row r="1901">
          <cell r="G1901" t="str">
            <v>ZKAD06-M-L21-C2</v>
          </cell>
        </row>
        <row r="1901">
          <cell r="I1901">
            <v>79.9941</v>
          </cell>
          <cell r="J1901">
            <v>7.00423</v>
          </cell>
        </row>
        <row r="1901">
          <cell r="AA1901" t="str">
            <v>2T2R</v>
          </cell>
        </row>
        <row r="1902">
          <cell r="E1902" t="str">
            <v>ZKAD06</v>
          </cell>
        </row>
        <row r="1902">
          <cell r="G1902" t="str">
            <v>ZKAD06-M-L21-B2</v>
          </cell>
        </row>
        <row r="1902">
          <cell r="I1902">
            <v>79.9941</v>
          </cell>
          <cell r="J1902">
            <v>7.00423</v>
          </cell>
        </row>
        <row r="1902">
          <cell r="AA1902" t="str">
            <v>2T2R</v>
          </cell>
        </row>
        <row r="1903">
          <cell r="E1903" t="str">
            <v>ZKAD06</v>
          </cell>
        </row>
        <row r="1903">
          <cell r="G1903" t="str">
            <v>ZKAD06I</v>
          </cell>
        </row>
        <row r="1903">
          <cell r="I1903">
            <v>79.9941</v>
          </cell>
          <cell r="J1903">
            <v>7.00423</v>
          </cell>
        </row>
        <row r="1903">
          <cell r="AA1903" t="str">
            <v>4T4R</v>
          </cell>
        </row>
        <row r="1904">
          <cell r="E1904" t="str">
            <v>ZKAD06</v>
          </cell>
        </row>
        <row r="1904">
          <cell r="G1904" t="str">
            <v>ZKAD06H</v>
          </cell>
        </row>
        <row r="1904">
          <cell r="I1904">
            <v>79.9941</v>
          </cell>
          <cell r="J1904">
            <v>7.00423</v>
          </cell>
        </row>
        <row r="1904">
          <cell r="AA1904" t="str">
            <v>4T4R</v>
          </cell>
        </row>
        <row r="1905">
          <cell r="E1905" t="str">
            <v>ZKAD06</v>
          </cell>
        </row>
        <row r="1905">
          <cell r="G1905" t="str">
            <v>ZKAD06G</v>
          </cell>
        </row>
        <row r="1905">
          <cell r="I1905">
            <v>79.9941</v>
          </cell>
          <cell r="J1905">
            <v>7.00423</v>
          </cell>
        </row>
        <row r="1905">
          <cell r="AA1905" t="str">
            <v>4T4R</v>
          </cell>
        </row>
        <row r="1906">
          <cell r="E1906" t="str">
            <v>QGMCM3</v>
          </cell>
        </row>
        <row r="1906">
          <cell r="G1906" t="str">
            <v>QGMCM3G</v>
          </cell>
        </row>
        <row r="1906">
          <cell r="I1906">
            <v>79.9943</v>
          </cell>
          <cell r="J1906">
            <v>7.0919</v>
          </cell>
        </row>
        <row r="1906">
          <cell r="AA1906" t="str"/>
        </row>
        <row r="1907">
          <cell r="E1907" t="str">
            <v>QGMCM3</v>
          </cell>
        </row>
        <row r="1907">
          <cell r="G1907" t="str">
            <v>QGMCM3-M-L21-A2</v>
          </cell>
        </row>
        <row r="1907">
          <cell r="I1907">
            <v>79.9943</v>
          </cell>
          <cell r="J1907">
            <v>7.0919</v>
          </cell>
        </row>
        <row r="1907">
          <cell r="AA1907" t="str"/>
        </row>
        <row r="1908">
          <cell r="E1908" t="str">
            <v>GMKAM1</v>
          </cell>
        </row>
        <row r="1908">
          <cell r="G1908" t="str">
            <v>GMKAM1-M-L85-C1</v>
          </cell>
        </row>
        <row r="1908">
          <cell r="I1908">
            <v>79.995</v>
          </cell>
          <cell r="J1908">
            <v>7.17618</v>
          </cell>
        </row>
        <row r="1908">
          <cell r="AA1908" t="str">
            <v>2T2R</v>
          </cell>
        </row>
        <row r="1909">
          <cell r="E1909" t="str">
            <v>GMKAM1</v>
          </cell>
        </row>
        <row r="1909">
          <cell r="G1909" t="str">
            <v>GMKAM1-M-L85-B1</v>
          </cell>
        </row>
        <row r="1909">
          <cell r="I1909">
            <v>79.995</v>
          </cell>
          <cell r="J1909">
            <v>7.17618</v>
          </cell>
        </row>
        <row r="1909">
          <cell r="AA1909" t="str">
            <v>2T2R</v>
          </cell>
        </row>
        <row r="1910">
          <cell r="E1910" t="str">
            <v>GMKAM1</v>
          </cell>
        </row>
        <row r="1910">
          <cell r="G1910" t="str">
            <v>GMKAM1-M-L85-A1</v>
          </cell>
        </row>
        <row r="1910">
          <cell r="I1910">
            <v>79.995</v>
          </cell>
          <cell r="J1910">
            <v>7.17618</v>
          </cell>
        </row>
        <row r="1910">
          <cell r="AA1910" t="str">
            <v>2T2R</v>
          </cell>
        </row>
        <row r="1911">
          <cell r="E1911" t="str">
            <v>GMGAM5</v>
          </cell>
        </row>
        <row r="1911">
          <cell r="G1911" t="str">
            <v>GMGAM5-M-L21-A2</v>
          </cell>
        </row>
        <row r="1911">
          <cell r="I1911">
            <v>79.995</v>
          </cell>
          <cell r="J1911">
            <v>7.09311</v>
          </cell>
        </row>
        <row r="1911">
          <cell r="AA1911" t="str">
            <v>2T2R</v>
          </cell>
        </row>
        <row r="1912">
          <cell r="E1912" t="str">
            <v>GMGAM5</v>
          </cell>
        </row>
        <row r="1912">
          <cell r="G1912" t="str">
            <v>GMGAM5-M-L21-C2</v>
          </cell>
        </row>
        <row r="1912">
          <cell r="I1912">
            <v>79.995</v>
          </cell>
          <cell r="J1912">
            <v>7.09311</v>
          </cell>
        </row>
        <row r="1912">
          <cell r="AA1912" t="str">
            <v>2T2R</v>
          </cell>
        </row>
        <row r="1913">
          <cell r="E1913" t="str">
            <v>GMGAM5</v>
          </cell>
        </row>
        <row r="1913">
          <cell r="G1913" t="str">
            <v>GMGAM5-M-L23-C1</v>
          </cell>
        </row>
        <row r="1913">
          <cell r="I1913">
            <v>79.995</v>
          </cell>
          <cell r="J1913">
            <v>7.09311</v>
          </cell>
        </row>
        <row r="1913">
          <cell r="AA1913" t="str">
            <v>2T2R</v>
          </cell>
        </row>
        <row r="1914">
          <cell r="E1914" t="str">
            <v>GMGAM5</v>
          </cell>
        </row>
        <row r="1914">
          <cell r="G1914" t="str">
            <v>GMGAM5-M-L23-B1</v>
          </cell>
        </row>
        <row r="1914">
          <cell r="I1914">
            <v>79.995</v>
          </cell>
          <cell r="J1914">
            <v>7.09311</v>
          </cell>
        </row>
        <row r="1914">
          <cell r="AA1914" t="str">
            <v>2T2R</v>
          </cell>
        </row>
        <row r="1915">
          <cell r="E1915" t="str">
            <v>GMGAM5</v>
          </cell>
        </row>
        <row r="1915">
          <cell r="G1915" t="str">
            <v>GMGAM5-M-L23-A1</v>
          </cell>
        </row>
        <row r="1915">
          <cell r="I1915">
            <v>79.995</v>
          </cell>
          <cell r="J1915">
            <v>7.09311</v>
          </cell>
        </row>
        <row r="1915">
          <cell r="AA1915" t="str">
            <v>2T2R</v>
          </cell>
        </row>
        <row r="1916">
          <cell r="E1916" t="str">
            <v>GMGAM5</v>
          </cell>
        </row>
        <row r="1916">
          <cell r="G1916" t="str">
            <v>GMGAM5I</v>
          </cell>
        </row>
        <row r="1916">
          <cell r="I1916">
            <v>79.995</v>
          </cell>
          <cell r="J1916">
            <v>7.09311</v>
          </cell>
        </row>
        <row r="1916">
          <cell r="AA1916" t="str">
            <v>2T2R</v>
          </cell>
        </row>
        <row r="1917">
          <cell r="E1917" t="str">
            <v>GMGAM5</v>
          </cell>
        </row>
        <row r="1917">
          <cell r="G1917" t="str">
            <v>GMGAM5H</v>
          </cell>
        </row>
        <row r="1917">
          <cell r="I1917">
            <v>79.995</v>
          </cell>
          <cell r="J1917">
            <v>7.09311</v>
          </cell>
        </row>
        <row r="1917">
          <cell r="AA1917" t="str">
            <v>2T2R</v>
          </cell>
        </row>
        <row r="1918">
          <cell r="E1918" t="str">
            <v>GMGAM5</v>
          </cell>
        </row>
        <row r="1918">
          <cell r="G1918" t="str">
            <v>GMGAM5G</v>
          </cell>
        </row>
        <row r="1918">
          <cell r="I1918">
            <v>79.995</v>
          </cell>
          <cell r="J1918">
            <v>7.09311</v>
          </cell>
        </row>
        <row r="1918">
          <cell r="AA1918" t="str">
            <v>2T2R</v>
          </cell>
        </row>
        <row r="1919">
          <cell r="E1919" t="str">
            <v>GMKAM1</v>
          </cell>
        </row>
        <row r="1919">
          <cell r="G1919" t="str">
            <v>GMKAM1-M-L21-C2</v>
          </cell>
        </row>
        <row r="1919">
          <cell r="I1919">
            <v>79.995</v>
          </cell>
          <cell r="J1919">
            <v>7.17618</v>
          </cell>
        </row>
        <row r="1919">
          <cell r="AA1919" t="str">
            <v>2T2R</v>
          </cell>
        </row>
        <row r="1920">
          <cell r="E1920" t="str">
            <v>GMKAM1</v>
          </cell>
        </row>
        <row r="1920">
          <cell r="G1920" t="str">
            <v>GMKAM1-M-L21-B2</v>
          </cell>
        </row>
        <row r="1920">
          <cell r="I1920">
            <v>79.995</v>
          </cell>
          <cell r="J1920">
            <v>7.17618</v>
          </cell>
        </row>
        <row r="1920">
          <cell r="AA1920" t="str">
            <v>2T2R</v>
          </cell>
        </row>
        <row r="1921">
          <cell r="E1921" t="str">
            <v>GMKAM1</v>
          </cell>
        </row>
        <row r="1921">
          <cell r="G1921" t="str">
            <v>GMKAM1-M-L21-A2</v>
          </cell>
        </row>
        <row r="1921">
          <cell r="I1921">
            <v>79.995</v>
          </cell>
          <cell r="J1921">
            <v>7.17618</v>
          </cell>
        </row>
        <row r="1921">
          <cell r="AA1921" t="str">
            <v>2T2R</v>
          </cell>
        </row>
        <row r="1922">
          <cell r="E1922" t="str">
            <v>GMKAM1</v>
          </cell>
        </row>
        <row r="1922">
          <cell r="G1922" t="str">
            <v>GMKAM1I</v>
          </cell>
        </row>
        <row r="1922">
          <cell r="I1922">
            <v>79.995</v>
          </cell>
          <cell r="J1922">
            <v>7.17618</v>
          </cell>
        </row>
        <row r="1922">
          <cell r="AA1922" t="str">
            <v>2T2R</v>
          </cell>
        </row>
        <row r="1923">
          <cell r="E1923" t="str">
            <v>GMKAM1</v>
          </cell>
        </row>
        <row r="1923">
          <cell r="G1923" t="str">
            <v>GMKAM1H</v>
          </cell>
        </row>
        <row r="1923">
          <cell r="I1923">
            <v>79.995</v>
          </cell>
          <cell r="J1923">
            <v>7.17618</v>
          </cell>
        </row>
        <row r="1923">
          <cell r="AA1923" t="str">
            <v>2T2R</v>
          </cell>
        </row>
        <row r="1924">
          <cell r="E1924" t="str">
            <v>GMKAM1</v>
          </cell>
        </row>
        <row r="1924">
          <cell r="G1924" t="str">
            <v>GMKAM1G</v>
          </cell>
        </row>
        <row r="1924">
          <cell r="I1924">
            <v>79.995</v>
          </cell>
          <cell r="J1924">
            <v>7.17618</v>
          </cell>
        </row>
        <row r="1924">
          <cell r="AA1924" t="str">
            <v>2T2R</v>
          </cell>
        </row>
        <row r="1925">
          <cell r="E1925" t="str">
            <v>ZBIY09</v>
          </cell>
        </row>
        <row r="1925">
          <cell r="G1925" t="str">
            <v>ZBIY09I</v>
          </cell>
        </row>
        <row r="1925">
          <cell r="I1925">
            <v>79.9952</v>
          </cell>
          <cell r="J1925">
            <v>6.95392</v>
          </cell>
        </row>
        <row r="1925">
          <cell r="AA1925" t="str">
            <v>4T4R</v>
          </cell>
        </row>
        <row r="1926">
          <cell r="E1926" t="str">
            <v>ZBIY09</v>
          </cell>
        </row>
        <row r="1926">
          <cell r="G1926" t="str">
            <v>ZBIY09H</v>
          </cell>
        </row>
        <row r="1926">
          <cell r="I1926">
            <v>79.9952</v>
          </cell>
          <cell r="J1926">
            <v>6.95392</v>
          </cell>
        </row>
        <row r="1926">
          <cell r="AA1926" t="str">
            <v>4T4R</v>
          </cell>
        </row>
        <row r="1927">
          <cell r="E1927" t="str">
            <v>ZBIY09</v>
          </cell>
        </row>
        <row r="1927">
          <cell r="G1927" t="str">
            <v>ZBIY09G</v>
          </cell>
        </row>
        <row r="1927">
          <cell r="I1927">
            <v>79.9952</v>
          </cell>
          <cell r="J1927">
            <v>6.95392</v>
          </cell>
        </row>
        <row r="1927">
          <cell r="AA1927" t="str">
            <v>4T4R</v>
          </cell>
        </row>
        <row r="1928">
          <cell r="E1928" t="str">
            <v>ZBIY09</v>
          </cell>
        </row>
        <row r="1928">
          <cell r="G1928" t="str">
            <v>ZBIY09-M-L85-C1</v>
          </cell>
        </row>
        <row r="1928">
          <cell r="I1928">
            <v>79.9952</v>
          </cell>
          <cell r="J1928">
            <v>6.95392</v>
          </cell>
        </row>
        <row r="1928">
          <cell r="AA1928" t="str">
            <v>2T2R</v>
          </cell>
        </row>
        <row r="1929">
          <cell r="E1929" t="str">
            <v>ZBIY09</v>
          </cell>
        </row>
        <row r="1929">
          <cell r="G1929" t="str">
            <v>ZBIY09-M-L85-B1</v>
          </cell>
        </row>
        <row r="1929">
          <cell r="I1929">
            <v>79.9952</v>
          </cell>
          <cell r="J1929">
            <v>6.95392</v>
          </cell>
        </row>
        <row r="1929">
          <cell r="AA1929" t="str">
            <v>2T2R</v>
          </cell>
        </row>
        <row r="1930">
          <cell r="E1930" t="str">
            <v>ZBIY09</v>
          </cell>
        </row>
        <row r="1930">
          <cell r="G1930" t="str">
            <v>ZBIY09-M-L85-A1</v>
          </cell>
        </row>
        <row r="1930">
          <cell r="I1930">
            <v>79.9952</v>
          </cell>
          <cell r="J1930">
            <v>6.95392</v>
          </cell>
        </row>
        <row r="1930">
          <cell r="AA1930" t="str">
            <v>2T2R</v>
          </cell>
        </row>
        <row r="1931">
          <cell r="E1931" t="str">
            <v>ZBIY09</v>
          </cell>
        </row>
        <row r="1931">
          <cell r="G1931" t="str">
            <v>ZBIY09-M-L21-C2</v>
          </cell>
        </row>
        <row r="1931">
          <cell r="I1931">
            <v>79.9952</v>
          </cell>
          <cell r="J1931">
            <v>6.95392</v>
          </cell>
        </row>
        <row r="1931">
          <cell r="AA1931" t="str">
            <v>2T2R</v>
          </cell>
        </row>
        <row r="1932">
          <cell r="E1932" t="str">
            <v>ZBIY09</v>
          </cell>
        </row>
        <row r="1932">
          <cell r="G1932" t="str">
            <v>ZBIY09-M-L21-B2</v>
          </cell>
        </row>
        <row r="1932">
          <cell r="I1932">
            <v>79.9952</v>
          </cell>
          <cell r="J1932">
            <v>6.95392</v>
          </cell>
        </row>
        <row r="1932">
          <cell r="AA1932" t="str">
            <v>2T2R</v>
          </cell>
        </row>
        <row r="1933">
          <cell r="E1933" t="str">
            <v>ZBIY09</v>
          </cell>
        </row>
        <row r="1933">
          <cell r="G1933" t="str">
            <v>ZBIY09-M-L21-A2</v>
          </cell>
        </row>
        <row r="1933">
          <cell r="I1933">
            <v>79.9952</v>
          </cell>
          <cell r="J1933">
            <v>6.95392</v>
          </cell>
        </row>
        <row r="1933">
          <cell r="AA1933" t="str">
            <v>2T2R</v>
          </cell>
        </row>
        <row r="1934">
          <cell r="E1934" t="str">
            <v>GMWEB1</v>
          </cell>
        </row>
        <row r="1934">
          <cell r="G1934" t="str">
            <v>GMWEB1-M-L85-A1</v>
          </cell>
        </row>
        <row r="1934">
          <cell r="I1934">
            <v>79.9954</v>
          </cell>
          <cell r="J1934">
            <v>7.0161</v>
          </cell>
        </row>
        <row r="1934">
          <cell r="AA1934" t="str">
            <v>2T2R</v>
          </cell>
        </row>
        <row r="1935">
          <cell r="E1935" t="str">
            <v>GMWEB1</v>
          </cell>
        </row>
        <row r="1935">
          <cell r="G1935" t="str">
            <v>GMWEB1-M-L85-B1</v>
          </cell>
        </row>
        <row r="1935">
          <cell r="I1935">
            <v>79.9954</v>
          </cell>
          <cell r="J1935">
            <v>7.0161</v>
          </cell>
        </row>
        <row r="1935">
          <cell r="AA1935" t="str">
            <v>2T2R</v>
          </cell>
        </row>
        <row r="1936">
          <cell r="E1936" t="str">
            <v>GMWEB1</v>
          </cell>
        </row>
        <row r="1936">
          <cell r="G1936" t="str">
            <v>GMWEB1-M-L85-C1</v>
          </cell>
        </row>
        <row r="1936">
          <cell r="I1936">
            <v>79.9954</v>
          </cell>
          <cell r="J1936">
            <v>7.0161</v>
          </cell>
        </row>
        <row r="1936">
          <cell r="AA1936" t="str">
            <v>2T2R</v>
          </cell>
        </row>
        <row r="1937">
          <cell r="E1937" t="str">
            <v>GMWEB1</v>
          </cell>
        </row>
        <row r="1937">
          <cell r="G1937" t="str">
            <v>GMWEB1I</v>
          </cell>
        </row>
        <row r="1937">
          <cell r="I1937">
            <v>79.9954</v>
          </cell>
          <cell r="J1937">
            <v>7.0161</v>
          </cell>
        </row>
        <row r="1937">
          <cell r="AA1937" t="str">
            <v>4T4R</v>
          </cell>
        </row>
        <row r="1938">
          <cell r="E1938" t="str">
            <v>GMWEB1</v>
          </cell>
        </row>
        <row r="1938">
          <cell r="G1938" t="str">
            <v>GMWEB1H</v>
          </cell>
        </row>
        <row r="1938">
          <cell r="I1938">
            <v>79.9954</v>
          </cell>
          <cell r="J1938">
            <v>7.0161</v>
          </cell>
        </row>
        <row r="1938">
          <cell r="AA1938" t="str">
            <v>2T2R</v>
          </cell>
        </row>
        <row r="1939">
          <cell r="E1939" t="str">
            <v>GMWEB1</v>
          </cell>
        </row>
        <row r="1939">
          <cell r="G1939" t="str">
            <v>GMWEB1G</v>
          </cell>
        </row>
        <row r="1939">
          <cell r="I1939">
            <v>79.9954</v>
          </cell>
          <cell r="J1939">
            <v>7.0161</v>
          </cell>
        </row>
        <row r="1939">
          <cell r="AA1939" t="str">
            <v>2T2R</v>
          </cell>
        </row>
        <row r="1940">
          <cell r="E1940" t="str">
            <v>GMORU1</v>
          </cell>
        </row>
        <row r="1940">
          <cell r="G1940" t="str">
            <v>GMORU1I</v>
          </cell>
        </row>
        <row r="1940">
          <cell r="I1940">
            <v>79.996</v>
          </cell>
          <cell r="J1940">
            <v>7.07303</v>
          </cell>
        </row>
        <row r="1940">
          <cell r="AA1940" t="str">
            <v>4T4R</v>
          </cell>
        </row>
        <row r="1941">
          <cell r="E1941" t="str">
            <v>GMORU1</v>
          </cell>
        </row>
        <row r="1941">
          <cell r="G1941" t="str">
            <v>GMORU1H</v>
          </cell>
        </row>
        <row r="1941">
          <cell r="I1941">
            <v>79.996</v>
          </cell>
          <cell r="J1941">
            <v>7.07303</v>
          </cell>
        </row>
        <row r="1941">
          <cell r="AA1941" t="str">
            <v>4T4R</v>
          </cell>
        </row>
        <row r="1942">
          <cell r="E1942" t="str">
            <v>GMORU1</v>
          </cell>
        </row>
        <row r="1942">
          <cell r="G1942" t="str">
            <v>GMORU1G</v>
          </cell>
        </row>
        <row r="1942">
          <cell r="I1942">
            <v>79.996</v>
          </cell>
          <cell r="J1942">
            <v>7.07303</v>
          </cell>
        </row>
        <row r="1942">
          <cell r="AA1942" t="str">
            <v>4T4R</v>
          </cell>
        </row>
        <row r="1943">
          <cell r="E1943" t="str">
            <v>GMORU1</v>
          </cell>
        </row>
        <row r="1943">
          <cell r="G1943" t="str">
            <v>GMORU1-M-L85-C1</v>
          </cell>
        </row>
        <row r="1943">
          <cell r="I1943">
            <v>79.996</v>
          </cell>
          <cell r="J1943">
            <v>7.07303</v>
          </cell>
        </row>
        <row r="1943">
          <cell r="AA1943" t="str">
            <v>2T2R</v>
          </cell>
        </row>
        <row r="1944">
          <cell r="E1944" t="str">
            <v>GMORU1</v>
          </cell>
        </row>
        <row r="1944">
          <cell r="G1944" t="str">
            <v>GMORU1-M-L85-B1</v>
          </cell>
        </row>
        <row r="1944">
          <cell r="I1944">
            <v>79.996</v>
          </cell>
          <cell r="J1944">
            <v>7.07303</v>
          </cell>
        </row>
        <row r="1944">
          <cell r="AA1944" t="str">
            <v>2T2R</v>
          </cell>
        </row>
        <row r="1945">
          <cell r="E1945" t="str">
            <v>GMORU1</v>
          </cell>
        </row>
        <row r="1945">
          <cell r="G1945" t="str">
            <v>GMORU1-M-L85-A1</v>
          </cell>
        </row>
        <row r="1945">
          <cell r="I1945">
            <v>79.996</v>
          </cell>
          <cell r="J1945">
            <v>7.07303</v>
          </cell>
        </row>
        <row r="1945">
          <cell r="AA1945" t="str">
            <v>2T2R</v>
          </cell>
        </row>
        <row r="1946">
          <cell r="E1946" t="str">
            <v>GMORU1</v>
          </cell>
        </row>
        <row r="1946">
          <cell r="G1946" t="str">
            <v>GMORU1-M-L21-B2</v>
          </cell>
        </row>
        <row r="1946">
          <cell r="I1946">
            <v>79.996</v>
          </cell>
          <cell r="J1946">
            <v>7.07303</v>
          </cell>
        </row>
        <row r="1946">
          <cell r="AA1946" t="str">
            <v>4T4R</v>
          </cell>
        </row>
        <row r="1947">
          <cell r="E1947" t="str">
            <v>ZBIY42</v>
          </cell>
        </row>
        <row r="1947">
          <cell r="G1947" t="str">
            <v>ZBIY42I</v>
          </cell>
        </row>
        <row r="1947">
          <cell r="I1947">
            <v>79.996273</v>
          </cell>
          <cell r="J1947">
            <v>6.975404</v>
          </cell>
        </row>
        <row r="1947">
          <cell r="AA1947" t="str">
            <v>4T4R</v>
          </cell>
        </row>
        <row r="1948">
          <cell r="E1948" t="str">
            <v>ZBIY42</v>
          </cell>
        </row>
        <row r="1948">
          <cell r="G1948" t="str">
            <v>ZBIY42H</v>
          </cell>
        </row>
        <row r="1948">
          <cell r="I1948">
            <v>79.996273</v>
          </cell>
          <cell r="J1948">
            <v>6.975404</v>
          </cell>
        </row>
        <row r="1948">
          <cell r="AA1948" t="str">
            <v>4T4R</v>
          </cell>
        </row>
        <row r="1949">
          <cell r="E1949" t="str">
            <v>ZBIY42</v>
          </cell>
        </row>
        <row r="1949">
          <cell r="G1949" t="str">
            <v>ZBIY42G</v>
          </cell>
        </row>
        <row r="1949">
          <cell r="I1949">
            <v>79.996273</v>
          </cell>
          <cell r="J1949">
            <v>6.975404</v>
          </cell>
        </row>
        <row r="1949">
          <cell r="AA1949" t="str">
            <v>4T4R</v>
          </cell>
        </row>
        <row r="1950">
          <cell r="E1950" t="str">
            <v>ZBIY10</v>
          </cell>
        </row>
        <row r="1950">
          <cell r="G1950" t="str">
            <v>ZBIY10I</v>
          </cell>
        </row>
        <row r="1950">
          <cell r="I1950">
            <v>79.9963</v>
          </cell>
          <cell r="J1950">
            <v>6.9873</v>
          </cell>
        </row>
        <row r="1950">
          <cell r="AA1950" t="str">
            <v>2T2R</v>
          </cell>
        </row>
        <row r="1951">
          <cell r="E1951" t="str">
            <v>ZBIY10</v>
          </cell>
        </row>
        <row r="1951">
          <cell r="G1951" t="str">
            <v>ZBIY10H</v>
          </cell>
        </row>
        <row r="1951">
          <cell r="I1951">
            <v>79.9963</v>
          </cell>
          <cell r="J1951">
            <v>6.9873</v>
          </cell>
        </row>
        <row r="1951">
          <cell r="AA1951" t="str">
            <v>2T2R</v>
          </cell>
        </row>
        <row r="1952">
          <cell r="E1952" t="str">
            <v>ZBIY10</v>
          </cell>
        </row>
        <row r="1952">
          <cell r="G1952" t="str">
            <v>ZBIY10G</v>
          </cell>
        </row>
        <row r="1952">
          <cell r="I1952">
            <v>79.9963</v>
          </cell>
          <cell r="J1952">
            <v>6.9873</v>
          </cell>
        </row>
        <row r="1952">
          <cell r="AA1952" t="str">
            <v>2T2R</v>
          </cell>
        </row>
        <row r="1953">
          <cell r="E1953" t="str">
            <v>GMHUN1</v>
          </cell>
        </row>
        <row r="1953">
          <cell r="G1953" t="str">
            <v>GMHUN1I</v>
          </cell>
        </row>
        <row r="1953">
          <cell r="I1953">
            <v>79.9973</v>
          </cell>
          <cell r="J1953">
            <v>7.25146</v>
          </cell>
        </row>
        <row r="1953">
          <cell r="AA1953" t="str">
            <v>2T2R</v>
          </cell>
        </row>
        <row r="1954">
          <cell r="E1954" t="str">
            <v>GMHUN1</v>
          </cell>
        </row>
        <row r="1954">
          <cell r="G1954" t="str">
            <v>GMHUN1H</v>
          </cell>
        </row>
        <row r="1954">
          <cell r="I1954">
            <v>79.9973</v>
          </cell>
          <cell r="J1954">
            <v>7.25146</v>
          </cell>
        </row>
        <row r="1954">
          <cell r="AA1954" t="str">
            <v>2T2R</v>
          </cell>
        </row>
        <row r="1955">
          <cell r="E1955" t="str">
            <v>GMHUN1</v>
          </cell>
        </row>
        <row r="1955">
          <cell r="G1955" t="str">
            <v>GMHUN1G</v>
          </cell>
        </row>
        <row r="1955">
          <cell r="I1955">
            <v>79.9973</v>
          </cell>
          <cell r="J1955">
            <v>7.25146</v>
          </cell>
        </row>
        <row r="1955">
          <cell r="AA1955" t="str">
            <v>2T2R</v>
          </cell>
        </row>
        <row r="1956">
          <cell r="E1956" t="str">
            <v>GMHUN1</v>
          </cell>
        </row>
        <row r="1956">
          <cell r="G1956" t="str">
            <v>GMHUN1-M-L85-A1</v>
          </cell>
        </row>
        <row r="1956">
          <cell r="I1956">
            <v>79.9973</v>
          </cell>
          <cell r="J1956">
            <v>7.25146</v>
          </cell>
        </row>
        <row r="1956">
          <cell r="AA1956" t="str">
            <v>2T2R</v>
          </cell>
        </row>
        <row r="1957">
          <cell r="E1957" t="str">
            <v>GMHUN1</v>
          </cell>
        </row>
        <row r="1957">
          <cell r="G1957" t="str">
            <v>GMHUN1-M-L85-B1</v>
          </cell>
        </row>
        <row r="1957">
          <cell r="I1957">
            <v>79.9973</v>
          </cell>
          <cell r="J1957">
            <v>7.25146</v>
          </cell>
        </row>
        <row r="1957">
          <cell r="AA1957" t="str">
            <v>2T2R</v>
          </cell>
        </row>
        <row r="1958">
          <cell r="E1958" t="str">
            <v>GMHUN1</v>
          </cell>
        </row>
        <row r="1958">
          <cell r="G1958" t="str">
            <v>GMHUN1-M-L85-C1</v>
          </cell>
        </row>
        <row r="1958">
          <cell r="I1958">
            <v>79.9973</v>
          </cell>
          <cell r="J1958">
            <v>7.25146</v>
          </cell>
        </row>
        <row r="1958">
          <cell r="AA1958" t="str">
            <v>2T2R</v>
          </cell>
        </row>
        <row r="1959">
          <cell r="E1959" t="str">
            <v>ZBIY48</v>
          </cell>
        </row>
        <row r="1959">
          <cell r="G1959" t="str">
            <v>ZBIY48I</v>
          </cell>
        </row>
        <row r="1959">
          <cell r="I1959">
            <v>79.997694</v>
          </cell>
          <cell r="J1959">
            <v>6.948111</v>
          </cell>
        </row>
        <row r="1959">
          <cell r="AA1959" t="str">
            <v>2T2R</v>
          </cell>
        </row>
        <row r="1960">
          <cell r="E1960" t="str">
            <v>ZBIY48</v>
          </cell>
        </row>
        <row r="1960">
          <cell r="G1960" t="str">
            <v>ZBIY48H</v>
          </cell>
        </row>
        <row r="1960">
          <cell r="I1960">
            <v>79.997694</v>
          </cell>
          <cell r="J1960">
            <v>6.948111</v>
          </cell>
        </row>
        <row r="1960">
          <cell r="AA1960" t="str">
            <v>2T2R</v>
          </cell>
        </row>
        <row r="1961">
          <cell r="E1961" t="str">
            <v>ZBIY48</v>
          </cell>
        </row>
        <row r="1961">
          <cell r="G1961" t="str">
            <v>ZBIY48G</v>
          </cell>
        </row>
        <row r="1961">
          <cell r="I1961">
            <v>79.997694</v>
          </cell>
          <cell r="J1961">
            <v>6.948111</v>
          </cell>
        </row>
        <row r="1961">
          <cell r="AA1961" t="str">
            <v>2T2R</v>
          </cell>
        </row>
        <row r="1962">
          <cell r="E1962" t="str">
            <v>GMBAL1</v>
          </cell>
        </row>
        <row r="1962">
          <cell r="G1962" t="str">
            <v>GMBAL1I</v>
          </cell>
        </row>
        <row r="1962">
          <cell r="I1962">
            <v>79.9985</v>
          </cell>
          <cell r="J1962">
            <v>7.20422</v>
          </cell>
        </row>
        <row r="1962">
          <cell r="AA1962" t="str">
            <v>2T2R</v>
          </cell>
        </row>
        <row r="1963">
          <cell r="E1963" t="str">
            <v>GMBAL1</v>
          </cell>
        </row>
        <row r="1963">
          <cell r="G1963" t="str">
            <v>GMBAL1H</v>
          </cell>
        </row>
        <row r="1963">
          <cell r="I1963">
            <v>79.9985</v>
          </cell>
          <cell r="J1963">
            <v>7.20422</v>
          </cell>
        </row>
        <row r="1963">
          <cell r="AA1963" t="str">
            <v>2T2R</v>
          </cell>
        </row>
        <row r="1964">
          <cell r="E1964" t="str">
            <v>GMBAL1</v>
          </cell>
        </row>
        <row r="1964">
          <cell r="G1964" t="str">
            <v>GMBAL1G</v>
          </cell>
        </row>
        <row r="1964">
          <cell r="I1964">
            <v>79.9985</v>
          </cell>
          <cell r="J1964">
            <v>7.20422</v>
          </cell>
        </row>
        <row r="1964">
          <cell r="AA1964" t="str">
            <v>2T2R</v>
          </cell>
        </row>
        <row r="1965">
          <cell r="E1965" t="str">
            <v>GMBAL1</v>
          </cell>
        </row>
        <row r="1965">
          <cell r="G1965" t="str">
            <v>GMBAL1-M-L85-C1</v>
          </cell>
        </row>
        <row r="1965">
          <cell r="I1965">
            <v>79.9985</v>
          </cell>
          <cell r="J1965">
            <v>7.20422</v>
          </cell>
        </row>
        <row r="1965">
          <cell r="AA1965" t="str">
            <v>2T2R</v>
          </cell>
        </row>
        <row r="1966">
          <cell r="E1966" t="str">
            <v>GMBAL1</v>
          </cell>
        </row>
        <row r="1966">
          <cell r="G1966" t="str">
            <v>GMBAL1-M-L85-B1</v>
          </cell>
        </row>
        <row r="1966">
          <cell r="I1966">
            <v>79.9985</v>
          </cell>
          <cell r="J1966">
            <v>7.20422</v>
          </cell>
        </row>
        <row r="1966">
          <cell r="AA1966" t="str">
            <v>2T2R</v>
          </cell>
        </row>
        <row r="1967">
          <cell r="E1967" t="str">
            <v>GMBAL1</v>
          </cell>
        </row>
        <row r="1967">
          <cell r="G1967" t="str">
            <v>GMBAL1-M-L85-A1</v>
          </cell>
        </row>
        <row r="1967">
          <cell r="I1967">
            <v>79.9985</v>
          </cell>
          <cell r="J1967">
            <v>7.20422</v>
          </cell>
        </row>
        <row r="1967">
          <cell r="AA1967" t="str">
            <v>2T2R</v>
          </cell>
        </row>
        <row r="1968">
          <cell r="E1968" t="str">
            <v>ZBIY16</v>
          </cell>
        </row>
        <row r="1968">
          <cell r="G1968" t="str">
            <v>ZBIY16I</v>
          </cell>
        </row>
        <row r="1968">
          <cell r="I1968">
            <v>79.999444</v>
          </cell>
          <cell r="J1968">
            <v>6.965</v>
          </cell>
        </row>
        <row r="1968">
          <cell r="AA1968" t="str">
            <v>4T4R</v>
          </cell>
        </row>
        <row r="1969">
          <cell r="E1969" t="str">
            <v>ZBIY16</v>
          </cell>
        </row>
        <row r="1969">
          <cell r="G1969" t="str">
            <v>ZBIY16H</v>
          </cell>
        </row>
        <row r="1969">
          <cell r="I1969">
            <v>79.999444</v>
          </cell>
          <cell r="J1969">
            <v>6.965</v>
          </cell>
        </row>
        <row r="1969">
          <cell r="AA1969" t="str">
            <v>4T4R</v>
          </cell>
        </row>
        <row r="1970">
          <cell r="E1970" t="str">
            <v>ZBIY16</v>
          </cell>
        </row>
        <row r="1970">
          <cell r="G1970" t="str">
            <v>ZBIY16G</v>
          </cell>
        </row>
        <row r="1970">
          <cell r="I1970">
            <v>79.999444</v>
          </cell>
          <cell r="J1970">
            <v>6.965</v>
          </cell>
        </row>
        <row r="1970">
          <cell r="AA1970" t="str">
            <v>2T2R</v>
          </cell>
        </row>
        <row r="1971">
          <cell r="E1971" t="str">
            <v>ZBIY16</v>
          </cell>
        </row>
        <row r="1971">
          <cell r="G1971" t="str">
            <v>ZBIY16-M-L18-C1</v>
          </cell>
        </row>
        <row r="1971">
          <cell r="I1971">
            <v>79.999444</v>
          </cell>
          <cell r="J1971">
            <v>6.965</v>
          </cell>
        </row>
        <row r="1971">
          <cell r="AA1971" t="str">
            <v>2T2R</v>
          </cell>
        </row>
        <row r="1972">
          <cell r="E1972" t="str">
            <v>ZBIY16</v>
          </cell>
        </row>
        <row r="1972">
          <cell r="G1972" t="str">
            <v>ZBIY16-M-L18-D1</v>
          </cell>
        </row>
        <row r="1972">
          <cell r="I1972">
            <v>79.999444</v>
          </cell>
          <cell r="J1972">
            <v>6.965</v>
          </cell>
        </row>
        <row r="1972">
          <cell r="AA1972" t="str">
            <v>2T2R</v>
          </cell>
        </row>
        <row r="1973">
          <cell r="E1973" t="str">
            <v>ZBIY16</v>
          </cell>
        </row>
        <row r="1973">
          <cell r="G1973" t="str">
            <v>ZBIY16-M-L21-C2</v>
          </cell>
        </row>
        <row r="1973">
          <cell r="I1973">
            <v>79.999444</v>
          </cell>
          <cell r="J1973">
            <v>6.965</v>
          </cell>
        </row>
        <row r="1973">
          <cell r="AA1973" t="str">
            <v>2T2R</v>
          </cell>
        </row>
        <row r="1974">
          <cell r="E1974" t="str">
            <v>ZBIY16</v>
          </cell>
        </row>
        <row r="1974">
          <cell r="G1974" t="str">
            <v>ZBIY16-M-L21-A2</v>
          </cell>
        </row>
        <row r="1974">
          <cell r="I1974">
            <v>79.999444</v>
          </cell>
          <cell r="J1974">
            <v>6.965</v>
          </cell>
        </row>
        <row r="1974">
          <cell r="AA1974" t="str">
            <v>2T2R</v>
          </cell>
        </row>
        <row r="1975">
          <cell r="E1975" t="str">
            <v>ZBIY16</v>
          </cell>
        </row>
        <row r="1975">
          <cell r="G1975" t="str">
            <v>ZBIY16-M-L21-B2</v>
          </cell>
        </row>
        <row r="1975">
          <cell r="I1975">
            <v>79.999444</v>
          </cell>
          <cell r="J1975">
            <v>6.965</v>
          </cell>
        </row>
        <row r="1975">
          <cell r="AA1975" t="str">
            <v>2T2R</v>
          </cell>
        </row>
        <row r="1976">
          <cell r="E1976" t="str">
            <v>IBGMH1</v>
          </cell>
        </row>
        <row r="1976">
          <cell r="G1976" t="str">
            <v>IBGMH1F</v>
          </cell>
        </row>
        <row r="1976">
          <cell r="I1976">
            <v>80.0001</v>
          </cell>
          <cell r="J1976">
            <v>7.0914</v>
          </cell>
        </row>
        <row r="1976">
          <cell r="AA1976" t="str">
            <v>1T1R</v>
          </cell>
        </row>
        <row r="1977">
          <cell r="E1977" t="str">
            <v>IBGMH1</v>
          </cell>
        </row>
        <row r="1977">
          <cell r="G1977" t="str">
            <v>IBGMH1I</v>
          </cell>
        </row>
        <row r="1977">
          <cell r="I1977">
            <v>80.0001</v>
          </cell>
          <cell r="J1977">
            <v>7.0914</v>
          </cell>
        </row>
        <row r="1977">
          <cell r="AA1977" t="str">
            <v>1T1R</v>
          </cell>
        </row>
        <row r="1978">
          <cell r="E1978" t="str">
            <v>IBGMH1</v>
          </cell>
        </row>
        <row r="1978">
          <cell r="G1978" t="str">
            <v>IBGMH1H</v>
          </cell>
        </row>
        <row r="1978">
          <cell r="I1978">
            <v>80.0001</v>
          </cell>
          <cell r="J1978">
            <v>7.0914</v>
          </cell>
        </row>
        <row r="1978">
          <cell r="AA1978" t="str">
            <v>1T1R</v>
          </cell>
        </row>
        <row r="1979">
          <cell r="E1979" t="str">
            <v>IBGMH1</v>
          </cell>
        </row>
        <row r="1979">
          <cell r="G1979" t="str">
            <v>IBGMH1G</v>
          </cell>
        </row>
        <row r="1979">
          <cell r="I1979">
            <v>80.0001</v>
          </cell>
          <cell r="J1979">
            <v>7.0914</v>
          </cell>
        </row>
        <row r="1979">
          <cell r="AA1979" t="str">
            <v>1T1R</v>
          </cell>
        </row>
        <row r="1980">
          <cell r="E1980" t="str">
            <v>GMDIV3</v>
          </cell>
        </row>
        <row r="1980">
          <cell r="G1980" t="str">
            <v>GMDIV3I</v>
          </cell>
        </row>
        <row r="1980">
          <cell r="I1980">
            <v>80.000278</v>
          </cell>
          <cell r="J1980">
            <v>7.228889</v>
          </cell>
        </row>
        <row r="1980">
          <cell r="AA1980" t="str">
            <v>2T2R</v>
          </cell>
        </row>
        <row r="1981">
          <cell r="E1981" t="str">
            <v>GMDIV3</v>
          </cell>
        </row>
        <row r="1981">
          <cell r="G1981" t="str">
            <v>GMDIV3H</v>
          </cell>
        </row>
        <row r="1981">
          <cell r="I1981">
            <v>80.000278</v>
          </cell>
          <cell r="J1981">
            <v>7.228889</v>
          </cell>
        </row>
        <row r="1981">
          <cell r="AA1981" t="str">
            <v>2T2R</v>
          </cell>
        </row>
        <row r="1982">
          <cell r="E1982" t="str">
            <v>GMDIV3</v>
          </cell>
        </row>
        <row r="1982">
          <cell r="G1982" t="str">
            <v>GMDIV3G</v>
          </cell>
        </row>
        <row r="1982">
          <cell r="I1982">
            <v>80.000278</v>
          </cell>
          <cell r="J1982">
            <v>7.228889</v>
          </cell>
        </row>
        <row r="1982">
          <cell r="AA1982" t="str">
            <v>2T2R</v>
          </cell>
        </row>
        <row r="1983">
          <cell r="E1983" t="str">
            <v>GMMEE1</v>
          </cell>
        </row>
        <row r="1983">
          <cell r="G1983" t="str">
            <v>GMMEE1-M-L85-C1</v>
          </cell>
        </row>
        <row r="1983">
          <cell r="I1983">
            <v>80.0008</v>
          </cell>
          <cell r="J1983">
            <v>7.16303</v>
          </cell>
        </row>
        <row r="1983">
          <cell r="AA1983" t="str">
            <v>2T2R</v>
          </cell>
        </row>
        <row r="1984">
          <cell r="E1984" t="str">
            <v>GMMEE1</v>
          </cell>
        </row>
        <row r="1984">
          <cell r="G1984" t="str">
            <v>GMMEE1-M-L85-B1</v>
          </cell>
        </row>
        <row r="1984">
          <cell r="I1984">
            <v>80.0008</v>
          </cell>
          <cell r="J1984">
            <v>7.16303</v>
          </cell>
        </row>
        <row r="1984">
          <cell r="AA1984" t="str">
            <v>2T2R</v>
          </cell>
        </row>
        <row r="1985">
          <cell r="E1985" t="str">
            <v>GMMEE1</v>
          </cell>
        </row>
        <row r="1985">
          <cell r="G1985" t="str">
            <v>GMMEE1-M-L85-A1</v>
          </cell>
        </row>
        <row r="1985">
          <cell r="I1985">
            <v>80.0008</v>
          </cell>
          <cell r="J1985">
            <v>7.16303</v>
          </cell>
        </row>
        <row r="1985">
          <cell r="AA1985" t="str">
            <v>2T2R</v>
          </cell>
        </row>
        <row r="1986">
          <cell r="E1986" t="str">
            <v>GMMEE1</v>
          </cell>
        </row>
        <row r="1986">
          <cell r="G1986" t="str">
            <v>GMMEE1-M-L21-C2</v>
          </cell>
        </row>
        <row r="1986">
          <cell r="I1986">
            <v>80.0008</v>
          </cell>
          <cell r="J1986">
            <v>7.16303</v>
          </cell>
        </row>
        <row r="1986">
          <cell r="AA1986" t="str">
            <v>2T2R</v>
          </cell>
        </row>
        <row r="1987">
          <cell r="E1987" t="str">
            <v>GMMEE1</v>
          </cell>
        </row>
        <row r="1987">
          <cell r="G1987" t="str">
            <v>GMMEE1I</v>
          </cell>
        </row>
        <row r="1987">
          <cell r="I1987">
            <v>80.0008</v>
          </cell>
          <cell r="J1987">
            <v>7.16303</v>
          </cell>
        </row>
        <row r="1987">
          <cell r="AA1987" t="str">
            <v>4T4R</v>
          </cell>
        </row>
        <row r="1988">
          <cell r="E1988" t="str">
            <v>GMMEE1</v>
          </cell>
        </row>
        <row r="1988">
          <cell r="G1988" t="str">
            <v>GMMEE1H</v>
          </cell>
        </row>
        <row r="1988">
          <cell r="I1988">
            <v>80.0008</v>
          </cell>
          <cell r="J1988">
            <v>7.16303</v>
          </cell>
        </row>
        <row r="1988">
          <cell r="AA1988" t="str">
            <v>2T2R</v>
          </cell>
        </row>
        <row r="1989">
          <cell r="E1989" t="str">
            <v>GMMEE1</v>
          </cell>
        </row>
        <row r="1989">
          <cell r="G1989" t="str">
            <v>GMMEE1G</v>
          </cell>
        </row>
        <row r="1989">
          <cell r="I1989">
            <v>80.0008</v>
          </cell>
          <cell r="J1989">
            <v>7.16303</v>
          </cell>
        </row>
        <row r="1989">
          <cell r="AA1989" t="str">
            <v>2T2R</v>
          </cell>
        </row>
        <row r="1990">
          <cell r="E1990" t="str">
            <v>ZBIY52</v>
          </cell>
        </row>
        <row r="1990">
          <cell r="G1990" t="str">
            <v>ZBIY52I</v>
          </cell>
        </row>
        <row r="1990">
          <cell r="I1990">
            <v>80.001944</v>
          </cell>
          <cell r="J1990">
            <v>6.990556</v>
          </cell>
        </row>
        <row r="1990">
          <cell r="AA1990" t="str">
            <v>2T2R</v>
          </cell>
        </row>
        <row r="1991">
          <cell r="E1991" t="str">
            <v>ZBIY52</v>
          </cell>
        </row>
        <row r="1991">
          <cell r="G1991" t="str">
            <v>ZBIY52H</v>
          </cell>
        </row>
        <row r="1991">
          <cell r="I1991">
            <v>80.001944</v>
          </cell>
          <cell r="J1991">
            <v>6.990556</v>
          </cell>
        </row>
        <row r="1991">
          <cell r="AA1991" t="str">
            <v>2T2R</v>
          </cell>
        </row>
        <row r="1992">
          <cell r="E1992" t="str">
            <v>ZBIY52</v>
          </cell>
        </row>
        <row r="1992">
          <cell r="G1992" t="str">
            <v>ZBIY52G</v>
          </cell>
        </row>
        <row r="1992">
          <cell r="I1992">
            <v>80.001944</v>
          </cell>
          <cell r="J1992">
            <v>6.990556</v>
          </cell>
        </row>
        <row r="1992">
          <cell r="AA1992" t="str">
            <v>2T2R</v>
          </cell>
        </row>
        <row r="1993">
          <cell r="E1993" t="str">
            <v>GMIMB1</v>
          </cell>
        </row>
        <row r="1993">
          <cell r="G1993" t="str">
            <v>GMIMB1-M-L85-C1</v>
          </cell>
        </row>
        <row r="1993">
          <cell r="I1993">
            <v>80.0021</v>
          </cell>
          <cell r="J1993">
            <v>7.046</v>
          </cell>
        </row>
        <row r="1993">
          <cell r="AA1993" t="str">
            <v>2T2R</v>
          </cell>
        </row>
        <row r="1994">
          <cell r="E1994" t="str">
            <v>GMIMB1</v>
          </cell>
        </row>
        <row r="1994">
          <cell r="G1994" t="str">
            <v>GMIMB1-M-L85-B1</v>
          </cell>
        </row>
        <row r="1994">
          <cell r="I1994">
            <v>80.0021</v>
          </cell>
          <cell r="J1994">
            <v>7.046</v>
          </cell>
        </row>
        <row r="1994">
          <cell r="AA1994" t="str">
            <v>2T2R</v>
          </cell>
        </row>
        <row r="1995">
          <cell r="E1995" t="str">
            <v>GMIMB1</v>
          </cell>
        </row>
        <row r="1995">
          <cell r="G1995" t="str">
            <v>GMIMB1-M-L85-A1</v>
          </cell>
        </row>
        <row r="1995">
          <cell r="I1995">
            <v>80.0021</v>
          </cell>
          <cell r="J1995">
            <v>7.046</v>
          </cell>
        </row>
        <row r="1995">
          <cell r="AA1995" t="str">
            <v>2T2R</v>
          </cell>
        </row>
        <row r="1996">
          <cell r="E1996" t="str">
            <v>GMIMB1</v>
          </cell>
        </row>
        <row r="1996">
          <cell r="G1996" t="str">
            <v>GMIMB1-M-L21-C2</v>
          </cell>
        </row>
        <row r="1996">
          <cell r="I1996">
            <v>80.0021</v>
          </cell>
          <cell r="J1996">
            <v>7.046</v>
          </cell>
        </row>
        <row r="1996">
          <cell r="AA1996" t="str">
            <v>2T2R</v>
          </cell>
        </row>
        <row r="1997">
          <cell r="E1997" t="str">
            <v>GMIMB1</v>
          </cell>
        </row>
        <row r="1997">
          <cell r="G1997" t="str">
            <v>GMIMB1-M-L21-B2</v>
          </cell>
        </row>
        <row r="1997">
          <cell r="I1997">
            <v>80.0021</v>
          </cell>
          <cell r="J1997">
            <v>7.046</v>
          </cell>
        </row>
        <row r="1997">
          <cell r="AA1997" t="str">
            <v>2T2R</v>
          </cell>
        </row>
        <row r="1998">
          <cell r="E1998" t="str">
            <v>GMIMB1</v>
          </cell>
        </row>
        <row r="1998">
          <cell r="G1998" t="str">
            <v>GMIMB1-M-L21-A2</v>
          </cell>
        </row>
        <row r="1998">
          <cell r="I1998">
            <v>80.0021</v>
          </cell>
          <cell r="J1998">
            <v>7.046</v>
          </cell>
        </row>
        <row r="1998">
          <cell r="AA1998" t="str">
            <v>2T2R</v>
          </cell>
        </row>
        <row r="1999">
          <cell r="E1999" t="str">
            <v>GMIMB1</v>
          </cell>
        </row>
        <row r="1999">
          <cell r="G1999" t="str">
            <v>GMIMB1-M-L18-C1</v>
          </cell>
        </row>
        <row r="1999">
          <cell r="I1999">
            <v>80.0021</v>
          </cell>
          <cell r="J1999">
            <v>7.046</v>
          </cell>
        </row>
        <row r="1999">
          <cell r="AA1999" t="str">
            <v>2T2R</v>
          </cell>
        </row>
        <row r="2000">
          <cell r="E2000" t="str">
            <v>GMIMB1</v>
          </cell>
        </row>
        <row r="2000">
          <cell r="G2000" t="str">
            <v>GMIMB1I</v>
          </cell>
        </row>
        <row r="2000">
          <cell r="I2000">
            <v>80.0021</v>
          </cell>
          <cell r="J2000">
            <v>7.046</v>
          </cell>
        </row>
        <row r="2000">
          <cell r="AA2000" t="str">
            <v>2T2R</v>
          </cell>
        </row>
        <row r="2001">
          <cell r="E2001" t="str">
            <v>GMIMB1</v>
          </cell>
        </row>
        <row r="2001">
          <cell r="G2001" t="str">
            <v>GMIMB1H</v>
          </cell>
        </row>
        <row r="2001">
          <cell r="I2001">
            <v>80.0021</v>
          </cell>
          <cell r="J2001">
            <v>7.046</v>
          </cell>
        </row>
        <row r="2001">
          <cell r="AA2001" t="str">
            <v>4T4R</v>
          </cell>
        </row>
        <row r="2002">
          <cell r="E2002" t="str">
            <v>GMIMB1</v>
          </cell>
        </row>
        <row r="2002">
          <cell r="G2002" t="str">
            <v>GMIMB1G</v>
          </cell>
        </row>
        <row r="2002">
          <cell r="I2002">
            <v>80.0021</v>
          </cell>
          <cell r="J2002">
            <v>7.046</v>
          </cell>
        </row>
        <row r="2002">
          <cell r="AA2002" t="str">
            <v>2T2R</v>
          </cell>
        </row>
        <row r="2003">
          <cell r="E2003" t="str">
            <v>GMIMB1</v>
          </cell>
        </row>
        <row r="2003">
          <cell r="G2003" t="str">
            <v>GMIMB1-M-L18-I1</v>
          </cell>
        </row>
        <row r="2003">
          <cell r="I2003">
            <v>80.0021</v>
          </cell>
          <cell r="J2003">
            <v>7.046</v>
          </cell>
        </row>
        <row r="2003">
          <cell r="AA2003" t="str">
            <v>4T4R</v>
          </cell>
        </row>
        <row r="2004">
          <cell r="E2004" t="str">
            <v>GMIMB1</v>
          </cell>
        </row>
        <row r="2004">
          <cell r="G2004" t="str">
            <v>GMIMB1-M-L23-C1</v>
          </cell>
        </row>
        <row r="2004">
          <cell r="I2004">
            <v>80.0021</v>
          </cell>
          <cell r="J2004">
            <v>7.046</v>
          </cell>
        </row>
        <row r="2004">
          <cell r="AA2004" t="str">
            <v>2T2R</v>
          </cell>
        </row>
        <row r="2005">
          <cell r="E2005" t="str">
            <v>GMIMB1</v>
          </cell>
        </row>
        <row r="2005">
          <cell r="G2005" t="str">
            <v>GMIMB1-M-L23-B1</v>
          </cell>
        </row>
        <row r="2005">
          <cell r="I2005">
            <v>80.0021</v>
          </cell>
          <cell r="J2005">
            <v>7.046</v>
          </cell>
        </row>
        <row r="2005">
          <cell r="AA2005" t="str">
            <v>2T2R</v>
          </cell>
        </row>
        <row r="2006">
          <cell r="E2006" t="str">
            <v>GMIMB1</v>
          </cell>
        </row>
        <row r="2006">
          <cell r="G2006" t="str">
            <v>GMIMB1-M-L23-A1</v>
          </cell>
        </row>
        <row r="2006">
          <cell r="I2006">
            <v>80.0021</v>
          </cell>
          <cell r="J2006">
            <v>7.046</v>
          </cell>
        </row>
        <row r="2006">
          <cell r="AA2006" t="str">
            <v>2T2R</v>
          </cell>
        </row>
        <row r="2007">
          <cell r="E2007" t="str">
            <v>ZBIY21</v>
          </cell>
        </row>
        <row r="2007">
          <cell r="G2007" t="str">
            <v>ZBIY21-M-L18-C1</v>
          </cell>
        </row>
        <row r="2007">
          <cell r="I2007">
            <v>80.0026</v>
          </cell>
          <cell r="J2007">
            <v>6.9595</v>
          </cell>
        </row>
        <row r="2007">
          <cell r="AA2007" t="str">
            <v>2T2R</v>
          </cell>
        </row>
        <row r="2008">
          <cell r="E2008" t="str">
            <v>ZBIY21</v>
          </cell>
        </row>
        <row r="2008">
          <cell r="G2008" t="str">
            <v>ZBIY21-M-L85-C1</v>
          </cell>
        </row>
        <row r="2008">
          <cell r="I2008">
            <v>80.0026</v>
          </cell>
          <cell r="J2008">
            <v>6.9595</v>
          </cell>
        </row>
        <row r="2008">
          <cell r="AA2008" t="str">
            <v>2T2R</v>
          </cell>
        </row>
        <row r="2009">
          <cell r="E2009" t="str">
            <v>ZBIY21</v>
          </cell>
        </row>
        <row r="2009">
          <cell r="G2009" t="str">
            <v>ZBIY21-M-L85-B1</v>
          </cell>
        </row>
        <row r="2009">
          <cell r="I2009">
            <v>80.0026</v>
          </cell>
          <cell r="J2009">
            <v>6.9595</v>
          </cell>
        </row>
        <row r="2009">
          <cell r="AA2009" t="str">
            <v>2T2R</v>
          </cell>
        </row>
        <row r="2010">
          <cell r="E2010" t="str">
            <v>ZBIY21</v>
          </cell>
        </row>
        <row r="2010">
          <cell r="G2010" t="str">
            <v>ZBIY21-M-L85-A1</v>
          </cell>
        </row>
        <row r="2010">
          <cell r="I2010">
            <v>80.0026</v>
          </cell>
          <cell r="J2010">
            <v>6.9595</v>
          </cell>
        </row>
        <row r="2010">
          <cell r="AA2010" t="str">
            <v>2T2R</v>
          </cell>
        </row>
        <row r="2011">
          <cell r="E2011" t="str">
            <v>ZBIY21</v>
          </cell>
        </row>
        <row r="2011">
          <cell r="G2011" t="str">
            <v>ZBIY21-M-L21-B2</v>
          </cell>
        </row>
        <row r="2011">
          <cell r="I2011">
            <v>80.0026</v>
          </cell>
          <cell r="J2011">
            <v>6.9595</v>
          </cell>
        </row>
        <row r="2011">
          <cell r="AA2011" t="str">
            <v>2T2R</v>
          </cell>
        </row>
        <row r="2012">
          <cell r="E2012" t="str">
            <v>ZBIY21</v>
          </cell>
        </row>
        <row r="2012">
          <cell r="G2012" t="str">
            <v>ZBIY21-M-L21-C2</v>
          </cell>
        </row>
        <row r="2012">
          <cell r="I2012">
            <v>80.0026</v>
          </cell>
          <cell r="J2012">
            <v>6.9595</v>
          </cell>
        </row>
        <row r="2012">
          <cell r="AA2012" t="str">
            <v>2T2R</v>
          </cell>
        </row>
        <row r="2013">
          <cell r="E2013" t="str">
            <v>ZBIY21</v>
          </cell>
        </row>
        <row r="2013">
          <cell r="G2013" t="str">
            <v>ZBIY21-M-L21-A2</v>
          </cell>
        </row>
        <row r="2013">
          <cell r="I2013">
            <v>80.0026</v>
          </cell>
          <cell r="J2013">
            <v>6.9595</v>
          </cell>
        </row>
        <row r="2013">
          <cell r="AA2013" t="str">
            <v>2T2R</v>
          </cell>
        </row>
        <row r="2014">
          <cell r="E2014" t="str">
            <v>ZBIY21</v>
          </cell>
        </row>
        <row r="2014">
          <cell r="G2014" t="str">
            <v>ZBIY21G</v>
          </cell>
        </row>
        <row r="2014">
          <cell r="I2014">
            <v>80.0026</v>
          </cell>
          <cell r="J2014">
            <v>6.9595</v>
          </cell>
        </row>
        <row r="2014">
          <cell r="AA2014" t="str">
            <v>4T4R</v>
          </cell>
        </row>
        <row r="2015">
          <cell r="E2015" t="str">
            <v>ZBIY21</v>
          </cell>
        </row>
        <row r="2015">
          <cell r="G2015" t="str">
            <v>ZBIY21H</v>
          </cell>
        </row>
        <row r="2015">
          <cell r="I2015">
            <v>80.0026</v>
          </cell>
          <cell r="J2015">
            <v>6.9595</v>
          </cell>
        </row>
        <row r="2015">
          <cell r="AA2015" t="str">
            <v>4T4R</v>
          </cell>
        </row>
        <row r="2016">
          <cell r="E2016" t="str">
            <v>ZBIY21</v>
          </cell>
        </row>
        <row r="2016">
          <cell r="G2016" t="str">
            <v>ZBIY21I</v>
          </cell>
        </row>
        <row r="2016">
          <cell r="I2016">
            <v>80.0026</v>
          </cell>
          <cell r="J2016">
            <v>6.9595</v>
          </cell>
        </row>
        <row r="2016">
          <cell r="AA2016" t="str">
            <v>2T2R</v>
          </cell>
        </row>
        <row r="2017">
          <cell r="E2017" t="str">
            <v>GMGAM6</v>
          </cell>
        </row>
        <row r="2017">
          <cell r="G2017" t="str">
            <v>GMGAM6I</v>
          </cell>
        </row>
        <row r="2017">
          <cell r="I2017">
            <v>80.0036</v>
          </cell>
          <cell r="J2017">
            <v>7.09004</v>
          </cell>
        </row>
        <row r="2017">
          <cell r="AA2017" t="str">
            <v>4T4R</v>
          </cell>
        </row>
        <row r="2018">
          <cell r="E2018" t="str">
            <v>GMGAM6</v>
          </cell>
        </row>
        <row r="2018">
          <cell r="G2018" t="str">
            <v>GMGAM6H</v>
          </cell>
        </row>
        <row r="2018">
          <cell r="I2018">
            <v>80.0036</v>
          </cell>
          <cell r="J2018">
            <v>7.09004</v>
          </cell>
        </row>
        <row r="2018">
          <cell r="AA2018" t="str">
            <v>4T4R</v>
          </cell>
        </row>
        <row r="2019">
          <cell r="E2019" t="str">
            <v>GMGAM6</v>
          </cell>
        </row>
        <row r="2019">
          <cell r="G2019" t="str">
            <v>GMGAM6G</v>
          </cell>
        </row>
        <row r="2019">
          <cell r="I2019">
            <v>80.0036</v>
          </cell>
          <cell r="J2019">
            <v>7.09004</v>
          </cell>
        </row>
        <row r="2019">
          <cell r="AA2019" t="str">
            <v>4T4R</v>
          </cell>
        </row>
        <row r="2020">
          <cell r="E2020" t="str">
            <v>GMDOR1</v>
          </cell>
        </row>
        <row r="2020">
          <cell r="G2020" t="str">
            <v>GMDOR1I</v>
          </cell>
        </row>
        <row r="2020">
          <cell r="I2020">
            <v>80.0043</v>
          </cell>
          <cell r="J2020">
            <v>7.12134</v>
          </cell>
        </row>
        <row r="2020">
          <cell r="AA2020" t="str">
            <v>2T2R</v>
          </cell>
        </row>
        <row r="2021">
          <cell r="E2021" t="str">
            <v>GMDOR1</v>
          </cell>
        </row>
        <row r="2021">
          <cell r="G2021" t="str">
            <v>GMDOR1H</v>
          </cell>
        </row>
        <row r="2021">
          <cell r="I2021">
            <v>80.0043</v>
          </cell>
          <cell r="J2021">
            <v>7.12134</v>
          </cell>
        </row>
        <row r="2021">
          <cell r="AA2021" t="str">
            <v>2T2R</v>
          </cell>
        </row>
        <row r="2022">
          <cell r="E2022" t="str">
            <v>GMDOR1</v>
          </cell>
        </row>
        <row r="2022">
          <cell r="G2022" t="str">
            <v>GMDOR1G</v>
          </cell>
        </row>
        <row r="2022">
          <cell r="I2022">
            <v>80.0043</v>
          </cell>
          <cell r="J2022">
            <v>7.12134</v>
          </cell>
        </row>
        <row r="2022">
          <cell r="AA2022" t="str">
            <v>2T2R</v>
          </cell>
        </row>
        <row r="2023">
          <cell r="E2023" t="str">
            <v>GMEMB1</v>
          </cell>
        </row>
        <row r="2023">
          <cell r="G2023" t="str">
            <v>GMEMB1I</v>
          </cell>
        </row>
        <row r="2023">
          <cell r="I2023">
            <v>80.0052</v>
          </cell>
          <cell r="J2023">
            <v>7.02603</v>
          </cell>
        </row>
        <row r="2023">
          <cell r="AA2023" t="str">
            <v>4T4R</v>
          </cell>
        </row>
        <row r="2024">
          <cell r="E2024" t="str">
            <v>GMEMB1</v>
          </cell>
        </row>
        <row r="2024">
          <cell r="G2024" t="str">
            <v>GMEMB1H</v>
          </cell>
        </row>
        <row r="2024">
          <cell r="I2024">
            <v>80.0052</v>
          </cell>
          <cell r="J2024">
            <v>7.02603</v>
          </cell>
        </row>
        <row r="2024">
          <cell r="AA2024" t="str">
            <v>4T4R</v>
          </cell>
        </row>
        <row r="2025">
          <cell r="E2025" t="str">
            <v>GMEMB1</v>
          </cell>
        </row>
        <row r="2025">
          <cell r="G2025" t="str">
            <v>GMEMB1G</v>
          </cell>
        </row>
        <row r="2025">
          <cell r="I2025">
            <v>80.0052</v>
          </cell>
          <cell r="J2025">
            <v>7.02603</v>
          </cell>
        </row>
        <row r="2025">
          <cell r="AA2025" t="str">
            <v>4T4R</v>
          </cell>
        </row>
        <row r="2026">
          <cell r="E2026" t="str">
            <v>GMEMB1</v>
          </cell>
        </row>
        <row r="2026">
          <cell r="G2026" t="str">
            <v>GMEMB1-M-L85-C1</v>
          </cell>
        </row>
        <row r="2026">
          <cell r="I2026">
            <v>80.0052</v>
          </cell>
          <cell r="J2026">
            <v>7.02603</v>
          </cell>
        </row>
        <row r="2026">
          <cell r="AA2026" t="str">
            <v>2T2R</v>
          </cell>
        </row>
        <row r="2027">
          <cell r="E2027" t="str">
            <v>GMEMB1</v>
          </cell>
        </row>
        <row r="2027">
          <cell r="G2027" t="str">
            <v>GMEMB1-M-L85-B1</v>
          </cell>
        </row>
        <row r="2027">
          <cell r="I2027">
            <v>80.0052</v>
          </cell>
          <cell r="J2027">
            <v>7.02603</v>
          </cell>
        </row>
        <row r="2027">
          <cell r="AA2027" t="str">
            <v>2T2R</v>
          </cell>
        </row>
        <row r="2028">
          <cell r="E2028" t="str">
            <v>GMEMB1</v>
          </cell>
        </row>
        <row r="2028">
          <cell r="G2028" t="str">
            <v>GMEMB1-M-L85-A1</v>
          </cell>
        </row>
        <row r="2028">
          <cell r="I2028">
            <v>80.0052</v>
          </cell>
          <cell r="J2028">
            <v>7.02603</v>
          </cell>
        </row>
        <row r="2028">
          <cell r="AA2028" t="str">
            <v>2T2R</v>
          </cell>
        </row>
        <row r="2029">
          <cell r="E2029" t="str">
            <v>GMEMB1</v>
          </cell>
        </row>
        <row r="2029">
          <cell r="G2029" t="str">
            <v>GMEMB1-M-L21-C2</v>
          </cell>
        </row>
        <row r="2029">
          <cell r="I2029">
            <v>80.0052</v>
          </cell>
          <cell r="J2029">
            <v>7.02603</v>
          </cell>
        </row>
        <row r="2029">
          <cell r="AA2029" t="str">
            <v>2T2R</v>
          </cell>
        </row>
        <row r="2030">
          <cell r="E2030" t="str">
            <v>GMEMB1</v>
          </cell>
        </row>
        <row r="2030">
          <cell r="G2030" t="str">
            <v>GMEMB1-M-L21-B2</v>
          </cell>
        </row>
        <row r="2030">
          <cell r="I2030">
            <v>80.0052</v>
          </cell>
          <cell r="J2030">
            <v>7.02603</v>
          </cell>
        </row>
        <row r="2030">
          <cell r="AA2030" t="str">
            <v>2T2R</v>
          </cell>
        </row>
        <row r="2031">
          <cell r="E2031" t="str">
            <v>GMEMB1</v>
          </cell>
        </row>
        <row r="2031">
          <cell r="G2031" t="str">
            <v>GMEMB1-M-L21-A2</v>
          </cell>
        </row>
        <row r="2031">
          <cell r="I2031">
            <v>80.0052</v>
          </cell>
          <cell r="J2031">
            <v>7.02603</v>
          </cell>
        </row>
        <row r="2031">
          <cell r="AA2031" t="str">
            <v>2T2R</v>
          </cell>
        </row>
        <row r="2032">
          <cell r="E2032" t="str">
            <v>GMKOR1</v>
          </cell>
        </row>
        <row r="2032">
          <cell r="G2032" t="str">
            <v>GMKOR1I</v>
          </cell>
        </row>
        <row r="2032">
          <cell r="I2032">
            <v>80.0058</v>
          </cell>
          <cell r="J2032">
            <v>7.14453</v>
          </cell>
        </row>
        <row r="2032">
          <cell r="AA2032" t="str">
            <v>4T4R</v>
          </cell>
        </row>
        <row r="2033">
          <cell r="E2033" t="str">
            <v>GMKOR1</v>
          </cell>
        </row>
        <row r="2033">
          <cell r="G2033" t="str">
            <v>GMKOR1H</v>
          </cell>
        </row>
        <row r="2033">
          <cell r="I2033">
            <v>80.0058</v>
          </cell>
          <cell r="J2033">
            <v>7.14453</v>
          </cell>
        </row>
        <row r="2033">
          <cell r="AA2033" t="str">
            <v>4T4R</v>
          </cell>
        </row>
        <row r="2034">
          <cell r="E2034" t="str">
            <v>GMKOR1</v>
          </cell>
        </row>
        <row r="2034">
          <cell r="G2034" t="str">
            <v>GMKOR1G</v>
          </cell>
        </row>
        <row r="2034">
          <cell r="I2034">
            <v>80.0058</v>
          </cell>
          <cell r="J2034">
            <v>7.14453</v>
          </cell>
        </row>
        <row r="2034">
          <cell r="AA2034" t="str">
            <v>4T4R</v>
          </cell>
        </row>
        <row r="2035">
          <cell r="E2035" t="str">
            <v>GMKOR1</v>
          </cell>
        </row>
        <row r="2035">
          <cell r="G2035" t="str">
            <v>GMKOR1-M-L85-C1</v>
          </cell>
        </row>
        <row r="2035">
          <cell r="I2035">
            <v>80.0058</v>
          </cell>
          <cell r="J2035">
            <v>7.14453</v>
          </cell>
        </row>
        <row r="2035">
          <cell r="AA2035" t="str">
            <v>2T2R</v>
          </cell>
        </row>
        <row r="2036">
          <cell r="E2036" t="str">
            <v>GMKOR1</v>
          </cell>
        </row>
        <row r="2036">
          <cell r="G2036" t="str">
            <v>GMKOR1-M-L85-B1</v>
          </cell>
        </row>
        <row r="2036">
          <cell r="I2036">
            <v>80.0058</v>
          </cell>
          <cell r="J2036">
            <v>7.14453</v>
          </cell>
        </row>
        <row r="2036">
          <cell r="AA2036" t="str">
            <v>2T2R</v>
          </cell>
        </row>
        <row r="2037">
          <cell r="E2037" t="str">
            <v>GMKOR1</v>
          </cell>
        </row>
        <row r="2037">
          <cell r="G2037" t="str">
            <v>GMKOR1-M-L85-A1</v>
          </cell>
        </row>
        <row r="2037">
          <cell r="I2037">
            <v>80.0058</v>
          </cell>
          <cell r="J2037">
            <v>7.14453</v>
          </cell>
        </row>
        <row r="2037">
          <cell r="AA2037" t="str">
            <v>2T2R</v>
          </cell>
        </row>
        <row r="2038">
          <cell r="E2038" t="str">
            <v>GMKOR1</v>
          </cell>
        </row>
        <row r="2038">
          <cell r="G2038" t="str">
            <v>GMKOR1-M-L21-C2</v>
          </cell>
        </row>
        <row r="2038">
          <cell r="I2038">
            <v>80.0058</v>
          </cell>
          <cell r="J2038">
            <v>7.14453</v>
          </cell>
        </row>
        <row r="2038">
          <cell r="AA2038" t="str">
            <v>2T2R</v>
          </cell>
        </row>
        <row r="2039">
          <cell r="E2039" t="str">
            <v>GMKOR1</v>
          </cell>
        </row>
        <row r="2039">
          <cell r="G2039" t="str">
            <v>GMKOR1-M-L21-B2</v>
          </cell>
        </row>
        <row r="2039">
          <cell r="I2039">
            <v>80.0058</v>
          </cell>
          <cell r="J2039">
            <v>7.14453</v>
          </cell>
        </row>
        <row r="2039">
          <cell r="AA2039" t="str">
            <v>4T4R</v>
          </cell>
        </row>
        <row r="2040">
          <cell r="E2040" t="str">
            <v>GMKOR1</v>
          </cell>
        </row>
        <row r="2040">
          <cell r="G2040" t="str">
            <v>GMKOR1-M-L21-A2</v>
          </cell>
        </row>
        <row r="2040">
          <cell r="I2040">
            <v>80.0058</v>
          </cell>
          <cell r="J2040">
            <v>7.14453</v>
          </cell>
        </row>
        <row r="2040">
          <cell r="AA2040" t="str">
            <v>4T4R</v>
          </cell>
        </row>
        <row r="2041">
          <cell r="E2041" t="str">
            <v>ZKAD35</v>
          </cell>
        </row>
        <row r="2041">
          <cell r="G2041" t="str">
            <v>ZKAD35I</v>
          </cell>
        </row>
        <row r="2041">
          <cell r="I2041">
            <v>80.005833</v>
          </cell>
          <cell r="J2041">
            <v>6.998889</v>
          </cell>
        </row>
        <row r="2041">
          <cell r="AA2041" t="str">
            <v>4T4R</v>
          </cell>
        </row>
        <row r="2042">
          <cell r="E2042" t="str">
            <v>ZKAD35</v>
          </cell>
        </row>
        <row r="2042">
          <cell r="G2042" t="str">
            <v>ZKAD35H</v>
          </cell>
        </row>
        <row r="2042">
          <cell r="I2042">
            <v>80.005833</v>
          </cell>
          <cell r="J2042">
            <v>6.998889</v>
          </cell>
        </row>
        <row r="2042">
          <cell r="AA2042" t="str">
            <v>4T4R</v>
          </cell>
        </row>
        <row r="2043">
          <cell r="E2043" t="str">
            <v>ZKAD35</v>
          </cell>
        </row>
        <row r="2043">
          <cell r="G2043" t="str">
            <v>ZKAD35G</v>
          </cell>
        </row>
        <row r="2043">
          <cell r="I2043">
            <v>80.005833</v>
          </cell>
          <cell r="J2043">
            <v>6.998889</v>
          </cell>
        </row>
        <row r="2043">
          <cell r="AA2043" t="str">
            <v>4T4R</v>
          </cell>
        </row>
        <row r="2044">
          <cell r="E2044" t="str">
            <v>GMBEL3</v>
          </cell>
        </row>
        <row r="2044">
          <cell r="G2044" t="str">
            <v>GMBEL3-M-L21-C2</v>
          </cell>
        </row>
        <row r="2044">
          <cell r="I2044">
            <v>80.0061</v>
          </cell>
          <cell r="J2044">
            <v>7.0563</v>
          </cell>
        </row>
        <row r="2044">
          <cell r="AA2044" t="str">
            <v>2T2R</v>
          </cell>
        </row>
        <row r="2045">
          <cell r="E2045" t="str">
            <v>GMBEL3</v>
          </cell>
        </row>
        <row r="2045">
          <cell r="G2045" t="str">
            <v>GMBEL3-M-L21-B2</v>
          </cell>
        </row>
        <row r="2045">
          <cell r="I2045">
            <v>80.0061</v>
          </cell>
          <cell r="J2045">
            <v>7.0563</v>
          </cell>
        </row>
        <row r="2045">
          <cell r="AA2045" t="str">
            <v>2T2R</v>
          </cell>
        </row>
        <row r="2046">
          <cell r="E2046" t="str">
            <v>GMBEL3</v>
          </cell>
        </row>
        <row r="2046">
          <cell r="G2046" t="str">
            <v>GMBEL3-M-L21-A2</v>
          </cell>
        </row>
        <row r="2046">
          <cell r="I2046">
            <v>80.0061</v>
          </cell>
          <cell r="J2046">
            <v>7.0563</v>
          </cell>
        </row>
        <row r="2046">
          <cell r="AA2046" t="str">
            <v>2T2R</v>
          </cell>
        </row>
        <row r="2047">
          <cell r="E2047" t="str">
            <v>QGZMI1</v>
          </cell>
        </row>
        <row r="2047">
          <cell r="G2047" t="str">
            <v>QGZMI1G</v>
          </cell>
        </row>
        <row r="2047">
          <cell r="I2047">
            <v>80.006794635581</v>
          </cell>
          <cell r="J2047">
            <v>6.95887829</v>
          </cell>
        </row>
        <row r="2047">
          <cell r="AA2047" t="str">
            <v>1T1R</v>
          </cell>
        </row>
        <row r="2048">
          <cell r="E2048" t="str">
            <v>ZBIY01</v>
          </cell>
        </row>
        <row r="2048">
          <cell r="G2048" t="str">
            <v>ZBIY01-M-L85-C1</v>
          </cell>
        </row>
        <row r="2048">
          <cell r="I2048">
            <v>80.0087</v>
          </cell>
          <cell r="J2048">
            <v>6.9658</v>
          </cell>
        </row>
        <row r="2048">
          <cell r="AA2048" t="str">
            <v>2T2R</v>
          </cell>
        </row>
        <row r="2049">
          <cell r="E2049" t="str">
            <v>ZBIY01</v>
          </cell>
        </row>
        <row r="2049">
          <cell r="G2049" t="str">
            <v>ZBIY01-M-L85-B1</v>
          </cell>
        </row>
        <row r="2049">
          <cell r="I2049">
            <v>80.0087</v>
          </cell>
          <cell r="J2049">
            <v>6.9658</v>
          </cell>
        </row>
        <row r="2049">
          <cell r="AA2049" t="str">
            <v>2T2R</v>
          </cell>
        </row>
        <row r="2050">
          <cell r="E2050" t="str">
            <v>ZBIY01</v>
          </cell>
        </row>
        <row r="2050">
          <cell r="G2050" t="str">
            <v>ZBIY01-M-L85-A1</v>
          </cell>
        </row>
        <row r="2050">
          <cell r="I2050">
            <v>80.0087</v>
          </cell>
          <cell r="J2050">
            <v>6.9658</v>
          </cell>
        </row>
        <row r="2050">
          <cell r="AA2050" t="str">
            <v>2T2R</v>
          </cell>
        </row>
        <row r="2051">
          <cell r="E2051" t="str">
            <v>ZBIY01</v>
          </cell>
        </row>
        <row r="2051">
          <cell r="G2051" t="str">
            <v>ZBIY01-M-L21-C2</v>
          </cell>
        </row>
        <row r="2051">
          <cell r="I2051">
            <v>80.0087</v>
          </cell>
          <cell r="J2051">
            <v>6.9658</v>
          </cell>
        </row>
        <row r="2051">
          <cell r="AA2051" t="str">
            <v>2T2R</v>
          </cell>
        </row>
        <row r="2052">
          <cell r="E2052" t="str">
            <v>ZBIY01</v>
          </cell>
        </row>
        <row r="2052">
          <cell r="G2052" t="str">
            <v>ZBIY01-M-L21-B2</v>
          </cell>
        </row>
        <row r="2052">
          <cell r="I2052">
            <v>80.0087</v>
          </cell>
          <cell r="J2052">
            <v>6.9658</v>
          </cell>
        </row>
        <row r="2052">
          <cell r="AA2052" t="str">
            <v>2T2R</v>
          </cell>
        </row>
        <row r="2053">
          <cell r="E2053" t="str">
            <v>ZBIY01</v>
          </cell>
        </row>
        <row r="2053">
          <cell r="G2053" t="str">
            <v>ZBIY01-M-L21-A2</v>
          </cell>
        </row>
        <row r="2053">
          <cell r="I2053">
            <v>80.0087</v>
          </cell>
          <cell r="J2053">
            <v>6.9658</v>
          </cell>
        </row>
        <row r="2053">
          <cell r="AA2053" t="str">
            <v>2T2R</v>
          </cell>
        </row>
        <row r="2054">
          <cell r="E2054" t="str">
            <v>ZKAD27</v>
          </cell>
        </row>
        <row r="2054">
          <cell r="G2054" t="str">
            <v>ZKAD27I</v>
          </cell>
        </row>
        <row r="2054">
          <cell r="I2054">
            <v>80.0087</v>
          </cell>
          <cell r="J2054">
            <v>7.0071</v>
          </cell>
        </row>
        <row r="2054">
          <cell r="AA2054" t="str">
            <v>2T2R</v>
          </cell>
        </row>
        <row r="2055">
          <cell r="E2055" t="str">
            <v>ZKAD27</v>
          </cell>
        </row>
        <row r="2055">
          <cell r="G2055" t="str">
            <v>ZKAD27H</v>
          </cell>
        </row>
        <row r="2055">
          <cell r="I2055">
            <v>80.0087</v>
          </cell>
          <cell r="J2055">
            <v>7.0071</v>
          </cell>
        </row>
        <row r="2055">
          <cell r="AA2055" t="str">
            <v>4T4R</v>
          </cell>
        </row>
        <row r="2056">
          <cell r="E2056" t="str">
            <v>ZKAD27</v>
          </cell>
        </row>
        <row r="2056">
          <cell r="G2056" t="str">
            <v>ZKAD27G</v>
          </cell>
        </row>
        <row r="2056">
          <cell r="I2056">
            <v>80.0087</v>
          </cell>
          <cell r="J2056">
            <v>7.0071</v>
          </cell>
        </row>
        <row r="2056">
          <cell r="AA2056" t="str">
            <v>4T4R</v>
          </cell>
        </row>
        <row r="2057">
          <cell r="E2057" t="str">
            <v>ZBIY01</v>
          </cell>
        </row>
        <row r="2057">
          <cell r="G2057" t="str">
            <v>ZBIY01I</v>
          </cell>
        </row>
        <row r="2057">
          <cell r="I2057">
            <v>80.0087</v>
          </cell>
          <cell r="J2057">
            <v>6.9658</v>
          </cell>
        </row>
        <row r="2057">
          <cell r="AA2057" t="str">
            <v>4T4R</v>
          </cell>
        </row>
        <row r="2058">
          <cell r="E2058" t="str">
            <v>ZBIY01</v>
          </cell>
        </row>
        <row r="2058">
          <cell r="G2058" t="str">
            <v>ZBIY01H</v>
          </cell>
        </row>
        <row r="2058">
          <cell r="I2058">
            <v>80.0087</v>
          </cell>
          <cell r="J2058">
            <v>6.9658</v>
          </cell>
        </row>
        <row r="2058">
          <cell r="AA2058" t="str">
            <v>4T4R</v>
          </cell>
        </row>
        <row r="2059">
          <cell r="E2059" t="str">
            <v>ZBIY01</v>
          </cell>
        </row>
        <row r="2059">
          <cell r="G2059" t="str">
            <v>ZBIY01G</v>
          </cell>
        </row>
        <row r="2059">
          <cell r="I2059">
            <v>80.0087</v>
          </cell>
          <cell r="J2059">
            <v>6.9658</v>
          </cell>
        </row>
        <row r="2059">
          <cell r="AA2059" t="str">
            <v>4T4R</v>
          </cell>
        </row>
        <row r="2060">
          <cell r="E2060" t="str">
            <v>ZKAD27</v>
          </cell>
        </row>
        <row r="2060">
          <cell r="G2060" t="str">
            <v>ZKAD27-M-L85-A1</v>
          </cell>
        </row>
        <row r="2060">
          <cell r="I2060">
            <v>80.0087</v>
          </cell>
          <cell r="J2060">
            <v>7.0071</v>
          </cell>
        </row>
        <row r="2060">
          <cell r="AA2060" t="str">
            <v>2T2R</v>
          </cell>
        </row>
        <row r="2061">
          <cell r="E2061" t="str">
            <v>ZKAD27</v>
          </cell>
        </row>
        <row r="2061">
          <cell r="G2061" t="str">
            <v>ZKAD27-M-L85-B1</v>
          </cell>
        </row>
        <row r="2061">
          <cell r="I2061">
            <v>80.0087</v>
          </cell>
          <cell r="J2061">
            <v>7.0071</v>
          </cell>
        </row>
        <row r="2061">
          <cell r="AA2061" t="str">
            <v>2T2R</v>
          </cell>
        </row>
        <row r="2062">
          <cell r="E2062" t="str">
            <v>ZKAD27</v>
          </cell>
        </row>
        <row r="2062">
          <cell r="G2062" t="str">
            <v>ZKAD27-M-L85-C1</v>
          </cell>
        </row>
        <row r="2062">
          <cell r="I2062">
            <v>80.0087</v>
          </cell>
          <cell r="J2062">
            <v>7.0071</v>
          </cell>
        </row>
        <row r="2062">
          <cell r="AA2062" t="str">
            <v>2T2R</v>
          </cell>
        </row>
        <row r="2063">
          <cell r="E2063" t="str">
            <v>ZBIY34</v>
          </cell>
        </row>
        <row r="2063">
          <cell r="G2063" t="str">
            <v>ZBIY34I</v>
          </cell>
        </row>
        <row r="2063">
          <cell r="I2063">
            <v>80.009195</v>
          </cell>
          <cell r="J2063">
            <v>6.953787</v>
          </cell>
        </row>
        <row r="2063">
          <cell r="AA2063" t="str">
            <v>4T4R</v>
          </cell>
        </row>
        <row r="2064">
          <cell r="E2064" t="str">
            <v>ZBIY34</v>
          </cell>
        </row>
        <row r="2064">
          <cell r="G2064" t="str">
            <v>ZBIY34H</v>
          </cell>
        </row>
        <row r="2064">
          <cell r="I2064">
            <v>80.009195</v>
          </cell>
          <cell r="J2064">
            <v>6.953787</v>
          </cell>
        </row>
        <row r="2064">
          <cell r="AA2064" t="str">
            <v>4T4R</v>
          </cell>
        </row>
        <row r="2065">
          <cell r="E2065" t="str">
            <v>ZBIY34</v>
          </cell>
        </row>
        <row r="2065">
          <cell r="G2065" t="str">
            <v>ZBIY34G</v>
          </cell>
        </row>
        <row r="2065">
          <cell r="I2065">
            <v>80.009195</v>
          </cell>
          <cell r="J2065">
            <v>6.953787</v>
          </cell>
        </row>
        <row r="2065">
          <cell r="AA2065" t="str">
            <v>4T4R</v>
          </cell>
        </row>
        <row r="2066">
          <cell r="E2066" t="str">
            <v>GMGAM2</v>
          </cell>
        </row>
        <row r="2066">
          <cell r="G2066" t="str">
            <v>GMGAM2-M-L21-C2</v>
          </cell>
        </row>
        <row r="2066">
          <cell r="I2066">
            <v>80.0095</v>
          </cell>
          <cell r="J2066">
            <v>7.08764</v>
          </cell>
        </row>
        <row r="2066">
          <cell r="AA2066" t="str">
            <v>2T2R</v>
          </cell>
        </row>
        <row r="2067">
          <cell r="E2067" t="str">
            <v>GMGAM2</v>
          </cell>
        </row>
        <row r="2067">
          <cell r="G2067" t="str">
            <v>GMGAM2-M-L21-B2</v>
          </cell>
        </row>
        <row r="2067">
          <cell r="I2067">
            <v>80.0095</v>
          </cell>
          <cell r="J2067">
            <v>7.08764</v>
          </cell>
        </row>
        <row r="2067">
          <cell r="AA2067" t="str">
            <v>2T2R</v>
          </cell>
        </row>
        <row r="2068">
          <cell r="E2068" t="str">
            <v>GMGAM2</v>
          </cell>
        </row>
        <row r="2068">
          <cell r="G2068" t="str">
            <v>GMGAM2-M-L21-A2</v>
          </cell>
        </row>
        <row r="2068">
          <cell r="I2068">
            <v>80.0095</v>
          </cell>
          <cell r="J2068">
            <v>7.08764</v>
          </cell>
        </row>
        <row r="2068">
          <cell r="AA2068" t="str">
            <v>2T2R</v>
          </cell>
        </row>
        <row r="2069">
          <cell r="E2069" t="str">
            <v>GMGAM2</v>
          </cell>
        </row>
        <row r="2069">
          <cell r="G2069" t="str">
            <v>GMGAM2-M-L18-G1</v>
          </cell>
        </row>
        <row r="2069">
          <cell r="I2069">
            <v>80.0095</v>
          </cell>
          <cell r="J2069">
            <v>7.08764</v>
          </cell>
        </row>
        <row r="2069">
          <cell r="AA2069" t="str">
            <v>2T2R</v>
          </cell>
        </row>
        <row r="2070">
          <cell r="E2070" t="str">
            <v>GMGAM2</v>
          </cell>
        </row>
        <row r="2070">
          <cell r="G2070" t="str">
            <v>GMGAM2G</v>
          </cell>
        </row>
        <row r="2070">
          <cell r="I2070">
            <v>80.0095</v>
          </cell>
          <cell r="J2070">
            <v>7.08764</v>
          </cell>
        </row>
        <row r="2070">
          <cell r="AA2070" t="str">
            <v>2T2R</v>
          </cell>
        </row>
        <row r="2071">
          <cell r="E2071" t="str">
            <v>GMGAM2</v>
          </cell>
        </row>
        <row r="2071">
          <cell r="G2071" t="str">
            <v>GMGAM2H</v>
          </cell>
        </row>
        <row r="2071">
          <cell r="I2071">
            <v>80.0095</v>
          </cell>
          <cell r="J2071">
            <v>7.08764</v>
          </cell>
        </row>
        <row r="2071">
          <cell r="AA2071" t="str">
            <v>2T2R</v>
          </cell>
        </row>
        <row r="2072">
          <cell r="E2072" t="str">
            <v>GMGAM2</v>
          </cell>
        </row>
        <row r="2072">
          <cell r="G2072" t="str">
            <v>GMGAM2I</v>
          </cell>
        </row>
        <row r="2072">
          <cell r="I2072">
            <v>80.0095</v>
          </cell>
          <cell r="J2072">
            <v>7.08764</v>
          </cell>
        </row>
        <row r="2072">
          <cell r="AA2072" t="str">
            <v>4T4R</v>
          </cell>
        </row>
        <row r="2073">
          <cell r="E2073" t="str">
            <v>GMGAM2</v>
          </cell>
        </row>
        <row r="2073">
          <cell r="G2073" t="str">
            <v>GMGAM2-M-L85-C1</v>
          </cell>
        </row>
        <row r="2073">
          <cell r="I2073">
            <v>80.0095</v>
          </cell>
          <cell r="J2073">
            <v>7.08764</v>
          </cell>
        </row>
        <row r="2073">
          <cell r="AA2073" t="str">
            <v>2T2R</v>
          </cell>
        </row>
        <row r="2074">
          <cell r="E2074" t="str">
            <v>GMGAM2</v>
          </cell>
        </row>
        <row r="2074">
          <cell r="G2074" t="str">
            <v>GMGAM2-M-L85-B1</v>
          </cell>
        </row>
        <row r="2074">
          <cell r="I2074">
            <v>80.0095</v>
          </cell>
          <cell r="J2074">
            <v>7.08764</v>
          </cell>
        </row>
        <row r="2074">
          <cell r="AA2074" t="str">
            <v>2T2R</v>
          </cell>
        </row>
        <row r="2075">
          <cell r="E2075" t="str">
            <v>GMGAM2</v>
          </cell>
        </row>
        <row r="2075">
          <cell r="G2075" t="str">
            <v>GMGAM2-M-L85-A1</v>
          </cell>
        </row>
        <row r="2075">
          <cell r="I2075">
            <v>80.0095</v>
          </cell>
          <cell r="J2075">
            <v>7.08764</v>
          </cell>
        </row>
        <row r="2075">
          <cell r="AA2075" t="str">
            <v>2T2R</v>
          </cell>
        </row>
        <row r="2076">
          <cell r="E2076" t="str">
            <v>GMBEL1</v>
          </cell>
        </row>
        <row r="2076">
          <cell r="G2076" t="str">
            <v>GMBEL1I</v>
          </cell>
        </row>
        <row r="2076">
          <cell r="I2076">
            <v>80.0098</v>
          </cell>
          <cell r="J2076">
            <v>7.0639</v>
          </cell>
        </row>
        <row r="2076">
          <cell r="AA2076" t="str">
            <v>4T4R</v>
          </cell>
        </row>
        <row r="2077">
          <cell r="E2077" t="str">
            <v>GMBEL1</v>
          </cell>
        </row>
        <row r="2077">
          <cell r="G2077" t="str">
            <v>GMBEL1H</v>
          </cell>
        </row>
        <row r="2077">
          <cell r="I2077">
            <v>80.0098</v>
          </cell>
          <cell r="J2077">
            <v>7.0639</v>
          </cell>
        </row>
        <row r="2077">
          <cell r="AA2077" t="str">
            <v>4T4R</v>
          </cell>
        </row>
        <row r="2078">
          <cell r="E2078" t="str">
            <v>GMBEL1</v>
          </cell>
        </row>
        <row r="2078">
          <cell r="G2078" t="str">
            <v>GMBEL1G</v>
          </cell>
        </row>
        <row r="2078">
          <cell r="I2078">
            <v>80.0098</v>
          </cell>
          <cell r="J2078">
            <v>7.0639</v>
          </cell>
        </row>
        <row r="2078">
          <cell r="AA2078" t="str">
            <v>4T4R</v>
          </cell>
        </row>
        <row r="2079">
          <cell r="E2079" t="str">
            <v>GMBEL1</v>
          </cell>
        </row>
        <row r="2079">
          <cell r="G2079" t="str">
            <v>GMBEL1-M-L85-D1</v>
          </cell>
        </row>
        <row r="2079">
          <cell r="I2079">
            <v>80.0098</v>
          </cell>
          <cell r="J2079">
            <v>7.0639</v>
          </cell>
        </row>
        <row r="2079">
          <cell r="AA2079" t="str">
            <v>2T2R</v>
          </cell>
        </row>
        <row r="2080">
          <cell r="E2080" t="str">
            <v>GMBEL1</v>
          </cell>
        </row>
        <row r="2080">
          <cell r="G2080" t="str">
            <v>GMBEL1-M-L85-C1</v>
          </cell>
        </row>
        <row r="2080">
          <cell r="I2080">
            <v>80.0098</v>
          </cell>
          <cell r="J2080">
            <v>7.0639</v>
          </cell>
        </row>
        <row r="2080">
          <cell r="AA2080" t="str">
            <v>2T2R</v>
          </cell>
        </row>
        <row r="2081">
          <cell r="E2081" t="str">
            <v>GMBEL1</v>
          </cell>
        </row>
        <row r="2081">
          <cell r="G2081" t="str">
            <v>GMBEL1-M-L85-B1</v>
          </cell>
        </row>
        <row r="2081">
          <cell r="I2081">
            <v>80.0098</v>
          </cell>
          <cell r="J2081">
            <v>7.0639</v>
          </cell>
        </row>
        <row r="2081">
          <cell r="AA2081" t="str">
            <v>2T2R</v>
          </cell>
        </row>
        <row r="2082">
          <cell r="E2082" t="str">
            <v>GMBEL1</v>
          </cell>
        </row>
        <row r="2082">
          <cell r="G2082" t="str">
            <v>GMBEL1-M-L85-A1</v>
          </cell>
        </row>
        <row r="2082">
          <cell r="I2082">
            <v>80.0098</v>
          </cell>
          <cell r="J2082">
            <v>7.0639</v>
          </cell>
        </row>
        <row r="2082">
          <cell r="AA2082" t="str">
            <v>2T2R</v>
          </cell>
        </row>
        <row r="2083">
          <cell r="E2083" t="str">
            <v>GMBEL1</v>
          </cell>
        </row>
        <row r="2083">
          <cell r="G2083" t="str">
            <v>GMBEL1-M-L21-B2</v>
          </cell>
        </row>
        <row r="2083">
          <cell r="I2083">
            <v>80.0098</v>
          </cell>
          <cell r="J2083">
            <v>7.0639</v>
          </cell>
        </row>
        <row r="2083">
          <cell r="AA2083" t="str">
            <v>2T2R</v>
          </cell>
        </row>
        <row r="2084">
          <cell r="E2084" t="str">
            <v>GMBEL1</v>
          </cell>
        </row>
        <row r="2084">
          <cell r="G2084" t="str">
            <v>GMBEL1-M-L21-A2</v>
          </cell>
        </row>
        <row r="2084">
          <cell r="I2084">
            <v>80.0098</v>
          </cell>
          <cell r="J2084">
            <v>7.0639</v>
          </cell>
        </row>
        <row r="2084">
          <cell r="AA2084" t="str">
            <v>2T2R</v>
          </cell>
        </row>
        <row r="2085">
          <cell r="E2085" t="str">
            <v>GMBEL1</v>
          </cell>
        </row>
        <row r="2085">
          <cell r="G2085" t="str">
            <v>GMBEL1-M-L21-C2</v>
          </cell>
        </row>
        <row r="2085">
          <cell r="I2085">
            <v>80.0098</v>
          </cell>
          <cell r="J2085">
            <v>7.0639</v>
          </cell>
        </row>
        <row r="2085">
          <cell r="AA2085" t="str">
            <v>2T2R</v>
          </cell>
        </row>
        <row r="2086">
          <cell r="E2086" t="str">
            <v>IBDSO1</v>
          </cell>
        </row>
        <row r="2086">
          <cell r="G2086" t="str">
            <v>IBDSO1I</v>
          </cell>
        </row>
        <row r="2086">
          <cell r="I2086">
            <v>80.0109</v>
          </cell>
          <cell r="J2086">
            <v>7.084</v>
          </cell>
        </row>
        <row r="2086">
          <cell r="AA2086" t="str">
            <v>1T1R</v>
          </cell>
        </row>
        <row r="2087">
          <cell r="E2087" t="str">
            <v>IBDSO1</v>
          </cell>
        </row>
        <row r="2087">
          <cell r="G2087" t="str">
            <v>IBDSO1H</v>
          </cell>
        </row>
        <row r="2087">
          <cell r="I2087">
            <v>80.0109</v>
          </cell>
          <cell r="J2087">
            <v>7.084</v>
          </cell>
        </row>
        <row r="2087">
          <cell r="AA2087" t="str">
            <v>1T1R</v>
          </cell>
        </row>
        <row r="2088">
          <cell r="E2088" t="str">
            <v>IBDSO1</v>
          </cell>
        </row>
        <row r="2088">
          <cell r="G2088" t="str">
            <v>IBDSO1G</v>
          </cell>
        </row>
        <row r="2088">
          <cell r="I2088">
            <v>80.0109</v>
          </cell>
          <cell r="J2088">
            <v>7.084</v>
          </cell>
        </row>
        <row r="2088">
          <cell r="AA2088" t="str">
            <v>1T1R</v>
          </cell>
        </row>
        <row r="2089">
          <cell r="E2089" t="str">
            <v>ZBIY20</v>
          </cell>
        </row>
        <row r="2089">
          <cell r="G2089" t="str">
            <v>ZBIY20-M-L21-C2</v>
          </cell>
        </row>
        <row r="2089">
          <cell r="I2089">
            <v>80.0115</v>
          </cell>
          <cell r="J2089">
            <v>6.9598</v>
          </cell>
        </row>
        <row r="2089">
          <cell r="AA2089" t="str">
            <v>2T2R</v>
          </cell>
        </row>
        <row r="2090">
          <cell r="E2090" t="str">
            <v>ZBIY20</v>
          </cell>
        </row>
        <row r="2090">
          <cell r="G2090" t="str">
            <v>ZBIY20-M-L21-B2</v>
          </cell>
        </row>
        <row r="2090">
          <cell r="I2090">
            <v>80.0115</v>
          </cell>
          <cell r="J2090">
            <v>6.9598</v>
          </cell>
        </row>
        <row r="2090">
          <cell r="AA2090" t="str">
            <v>2T2R</v>
          </cell>
        </row>
        <row r="2091">
          <cell r="E2091" t="str">
            <v>ZBIY20</v>
          </cell>
        </row>
        <row r="2091">
          <cell r="G2091" t="str">
            <v>ZBIY20-M-L21-A2</v>
          </cell>
        </row>
        <row r="2091">
          <cell r="I2091">
            <v>80.0115</v>
          </cell>
          <cell r="J2091">
            <v>6.9598</v>
          </cell>
        </row>
        <row r="2091">
          <cell r="AA2091" t="str">
            <v>2T2R</v>
          </cell>
        </row>
        <row r="2092">
          <cell r="E2092" t="str">
            <v>ZBIY20</v>
          </cell>
        </row>
        <row r="2092">
          <cell r="G2092" t="str">
            <v>ZBIY20I</v>
          </cell>
        </row>
        <row r="2092">
          <cell r="I2092">
            <v>80.0115</v>
          </cell>
          <cell r="J2092">
            <v>6.9598</v>
          </cell>
        </row>
        <row r="2092">
          <cell r="AA2092" t="str">
            <v>4T4R</v>
          </cell>
        </row>
        <row r="2093">
          <cell r="E2093" t="str">
            <v>ZBIY20</v>
          </cell>
        </row>
        <row r="2093">
          <cell r="G2093" t="str">
            <v>ZBIY20H</v>
          </cell>
        </row>
        <row r="2093">
          <cell r="I2093">
            <v>80.0115</v>
          </cell>
          <cell r="J2093">
            <v>6.9598</v>
          </cell>
        </row>
        <row r="2093">
          <cell r="AA2093" t="str">
            <v>4T4R</v>
          </cell>
        </row>
        <row r="2094">
          <cell r="E2094" t="str">
            <v>ZBIY20</v>
          </cell>
        </row>
        <row r="2094">
          <cell r="G2094" t="str">
            <v>ZBIY20G</v>
          </cell>
        </row>
        <row r="2094">
          <cell r="I2094">
            <v>80.0115</v>
          </cell>
          <cell r="J2094">
            <v>6.9598</v>
          </cell>
        </row>
        <row r="2094">
          <cell r="AA2094" t="str">
            <v>4T4R</v>
          </cell>
        </row>
        <row r="2095">
          <cell r="E2095" t="str">
            <v>GMGAL1</v>
          </cell>
        </row>
        <row r="2095">
          <cell r="G2095" t="str">
            <v>GMGAL1-M-L21-C2</v>
          </cell>
        </row>
        <row r="2095">
          <cell r="I2095">
            <v>80.012</v>
          </cell>
          <cell r="J2095">
            <v>7.26731</v>
          </cell>
        </row>
        <row r="2095">
          <cell r="AA2095" t="str">
            <v>2T2R</v>
          </cell>
        </row>
        <row r="2096">
          <cell r="E2096" t="str">
            <v>GMGAL1</v>
          </cell>
        </row>
        <row r="2096">
          <cell r="G2096" t="str">
            <v>GMGAL1-M-L21-B2</v>
          </cell>
        </row>
        <row r="2096">
          <cell r="I2096">
            <v>80.012</v>
          </cell>
          <cell r="J2096">
            <v>7.26731</v>
          </cell>
        </row>
        <row r="2096">
          <cell r="AA2096" t="str">
            <v>2T2R</v>
          </cell>
        </row>
        <row r="2097">
          <cell r="E2097" t="str">
            <v>GMGAL1</v>
          </cell>
        </row>
        <row r="2097">
          <cell r="G2097" t="str">
            <v>GMGAL1-M-L21-A2</v>
          </cell>
        </row>
        <row r="2097">
          <cell r="I2097">
            <v>80.012</v>
          </cell>
          <cell r="J2097">
            <v>7.26731</v>
          </cell>
        </row>
        <row r="2097">
          <cell r="AA2097" t="str">
            <v>2T2R</v>
          </cell>
        </row>
        <row r="2098">
          <cell r="E2098" t="str">
            <v>GMGAL1</v>
          </cell>
        </row>
        <row r="2098">
          <cell r="G2098" t="str">
            <v>GMGAL1-M-L85-C1</v>
          </cell>
        </row>
        <row r="2098">
          <cell r="I2098">
            <v>80.012</v>
          </cell>
          <cell r="J2098">
            <v>7.26731</v>
          </cell>
        </row>
        <row r="2098">
          <cell r="AA2098" t="str">
            <v>2T2R</v>
          </cell>
        </row>
        <row r="2099">
          <cell r="E2099" t="str">
            <v>GMGAL1</v>
          </cell>
        </row>
        <row r="2099">
          <cell r="G2099" t="str">
            <v>GMGAL1-M-L85-B1</v>
          </cell>
        </row>
        <row r="2099">
          <cell r="I2099">
            <v>80.012</v>
          </cell>
          <cell r="J2099">
            <v>7.26731</v>
          </cell>
        </row>
        <row r="2099">
          <cell r="AA2099" t="str">
            <v>2T2R</v>
          </cell>
        </row>
        <row r="2100">
          <cell r="E2100" t="str">
            <v>GMGAL1</v>
          </cell>
        </row>
        <row r="2100">
          <cell r="G2100" t="str">
            <v>GMGAL1-M-L85-A1</v>
          </cell>
        </row>
        <row r="2100">
          <cell r="I2100">
            <v>80.012</v>
          </cell>
          <cell r="J2100">
            <v>7.26731</v>
          </cell>
        </row>
        <row r="2100">
          <cell r="AA2100" t="str">
            <v>2T2R</v>
          </cell>
        </row>
        <row r="2101">
          <cell r="E2101" t="str">
            <v>GMKID1</v>
          </cell>
        </row>
        <row r="2101">
          <cell r="G2101" t="str">
            <v>GMKID1-M-L85-C1</v>
          </cell>
        </row>
        <row r="2101">
          <cell r="I2101">
            <v>80.01228</v>
          </cell>
          <cell r="J2101">
            <v>7.081411</v>
          </cell>
        </row>
        <row r="2101">
          <cell r="AA2101" t="str">
            <v>2T2R</v>
          </cell>
        </row>
        <row r="2102">
          <cell r="E2102" t="str">
            <v>GMKID1</v>
          </cell>
        </row>
        <row r="2102">
          <cell r="G2102" t="str">
            <v>GMKID1-M-L85-B1</v>
          </cell>
        </row>
        <row r="2102">
          <cell r="I2102">
            <v>80.01228</v>
          </cell>
          <cell r="J2102">
            <v>7.081411</v>
          </cell>
        </row>
        <row r="2102">
          <cell r="AA2102" t="str">
            <v>2T2R</v>
          </cell>
        </row>
        <row r="2103">
          <cell r="E2103" t="str">
            <v>GMKID1</v>
          </cell>
        </row>
        <row r="2103">
          <cell r="G2103" t="str">
            <v>GMKID1-M-L85-A1</v>
          </cell>
        </row>
        <row r="2103">
          <cell r="I2103">
            <v>80.01228</v>
          </cell>
          <cell r="J2103">
            <v>7.081411</v>
          </cell>
        </row>
        <row r="2103">
          <cell r="AA2103" t="str">
            <v>2T2R</v>
          </cell>
        </row>
        <row r="2104">
          <cell r="E2104" t="str">
            <v>GMKID1</v>
          </cell>
        </row>
        <row r="2104">
          <cell r="G2104" t="str">
            <v>GMKID1I</v>
          </cell>
        </row>
        <row r="2104">
          <cell r="I2104">
            <v>80.01228</v>
          </cell>
          <cell r="J2104">
            <v>7.081411</v>
          </cell>
        </row>
        <row r="2104">
          <cell r="AA2104" t="str">
            <v>4T4R</v>
          </cell>
        </row>
        <row r="2105">
          <cell r="E2105" t="str">
            <v>GMKID1</v>
          </cell>
        </row>
        <row r="2105">
          <cell r="G2105" t="str">
            <v>GMKID1H</v>
          </cell>
        </row>
        <row r="2105">
          <cell r="I2105">
            <v>80.01228</v>
          </cell>
          <cell r="J2105">
            <v>7.081411</v>
          </cell>
        </row>
        <row r="2105">
          <cell r="AA2105" t="str">
            <v>4T4R</v>
          </cell>
        </row>
        <row r="2106">
          <cell r="E2106" t="str">
            <v>GMKID1</v>
          </cell>
        </row>
        <row r="2106">
          <cell r="G2106" t="str">
            <v>GMKID1G</v>
          </cell>
        </row>
        <row r="2106">
          <cell r="I2106">
            <v>80.01228</v>
          </cell>
          <cell r="J2106">
            <v>7.081411</v>
          </cell>
        </row>
        <row r="2106">
          <cell r="AA2106" t="str">
            <v>4T4R</v>
          </cell>
        </row>
        <row r="2107">
          <cell r="E2107" t="str">
            <v>GMESS1</v>
          </cell>
        </row>
        <row r="2107">
          <cell r="G2107" t="str">
            <v>GMESS1I</v>
          </cell>
        </row>
        <row r="2107">
          <cell r="I2107">
            <v>80.0138</v>
          </cell>
          <cell r="J2107">
            <v>7.17312</v>
          </cell>
        </row>
        <row r="2107">
          <cell r="AA2107" t="str">
            <v>2T2R</v>
          </cell>
        </row>
        <row r="2108">
          <cell r="E2108" t="str">
            <v>GMESS1</v>
          </cell>
        </row>
        <row r="2108">
          <cell r="G2108" t="str">
            <v>GMESS1H</v>
          </cell>
        </row>
        <row r="2108">
          <cell r="I2108">
            <v>80.0138</v>
          </cell>
          <cell r="J2108">
            <v>7.17312</v>
          </cell>
        </row>
        <row r="2108">
          <cell r="AA2108" t="str">
            <v>2T2R</v>
          </cell>
        </row>
        <row r="2109">
          <cell r="E2109" t="str">
            <v>GMESS1</v>
          </cell>
        </row>
        <row r="2109">
          <cell r="G2109" t="str">
            <v>GMESS1G</v>
          </cell>
        </row>
        <row r="2109">
          <cell r="I2109">
            <v>80.0138</v>
          </cell>
          <cell r="J2109">
            <v>7.17312</v>
          </cell>
        </row>
        <row r="2109">
          <cell r="AA2109" t="str">
            <v>2T2R</v>
          </cell>
        </row>
        <row r="2110">
          <cell r="E2110" t="str">
            <v>GMESS1</v>
          </cell>
        </row>
        <row r="2110">
          <cell r="G2110" t="str">
            <v>GMESS1-M-L21-C2</v>
          </cell>
        </row>
        <row r="2110">
          <cell r="I2110">
            <v>80.0138</v>
          </cell>
          <cell r="J2110">
            <v>7.17312</v>
          </cell>
        </row>
        <row r="2110">
          <cell r="AA2110" t="str">
            <v>2T2R</v>
          </cell>
        </row>
        <row r="2111">
          <cell r="E2111" t="str">
            <v>GMESS1</v>
          </cell>
        </row>
        <row r="2111">
          <cell r="G2111" t="str">
            <v>GMESS1-M-L21-B2</v>
          </cell>
        </row>
        <row r="2111">
          <cell r="I2111">
            <v>80.0138</v>
          </cell>
          <cell r="J2111">
            <v>7.17312</v>
          </cell>
        </row>
        <row r="2111">
          <cell r="AA2111" t="str">
            <v>2T2R</v>
          </cell>
        </row>
        <row r="2112">
          <cell r="E2112" t="str">
            <v>GMESS1</v>
          </cell>
        </row>
        <row r="2112">
          <cell r="G2112" t="str">
            <v>GMESS1-M-L21-A2</v>
          </cell>
        </row>
        <row r="2112">
          <cell r="I2112">
            <v>80.0138</v>
          </cell>
          <cell r="J2112">
            <v>7.17312</v>
          </cell>
        </row>
        <row r="2112">
          <cell r="AA2112" t="str">
            <v>2T2R</v>
          </cell>
        </row>
        <row r="2113">
          <cell r="E2113" t="str">
            <v>GMESS1</v>
          </cell>
        </row>
        <row r="2113">
          <cell r="G2113" t="str">
            <v>GMESS1-M-L85-C1</v>
          </cell>
        </row>
        <row r="2113">
          <cell r="I2113">
            <v>80.0138</v>
          </cell>
          <cell r="J2113">
            <v>7.17312</v>
          </cell>
        </row>
        <row r="2113">
          <cell r="AA2113" t="str">
            <v>2T2R</v>
          </cell>
        </row>
        <row r="2114">
          <cell r="E2114" t="str">
            <v>GMESS1</v>
          </cell>
        </row>
        <row r="2114">
          <cell r="G2114" t="str">
            <v>GMESS1-M-L85-B1</v>
          </cell>
        </row>
        <row r="2114">
          <cell r="I2114">
            <v>80.0138</v>
          </cell>
          <cell r="J2114">
            <v>7.17312</v>
          </cell>
        </row>
        <row r="2114">
          <cell r="AA2114" t="str">
            <v>2T2R</v>
          </cell>
        </row>
        <row r="2115">
          <cell r="E2115" t="str">
            <v>GMESS1</v>
          </cell>
        </row>
        <row r="2115">
          <cell r="G2115" t="str">
            <v>GMESS1-M-L85-A1</v>
          </cell>
        </row>
        <row r="2115">
          <cell r="I2115">
            <v>80.0138</v>
          </cell>
          <cell r="J2115">
            <v>7.17312</v>
          </cell>
        </row>
        <row r="2115">
          <cell r="AA2115" t="str">
            <v>2T2R</v>
          </cell>
        </row>
        <row r="2116">
          <cell r="E2116" t="str">
            <v>GMKAT1</v>
          </cell>
        </row>
        <row r="2116">
          <cell r="G2116" t="str">
            <v>GMKAT1-M-L85-C1</v>
          </cell>
        </row>
        <row r="2116">
          <cell r="I2116">
            <v>80.014722</v>
          </cell>
          <cell r="J2116">
            <v>7.289722</v>
          </cell>
        </row>
        <row r="2116">
          <cell r="AA2116" t="str">
            <v>2T2R</v>
          </cell>
        </row>
        <row r="2117">
          <cell r="E2117" t="str">
            <v>GMKAT1</v>
          </cell>
        </row>
        <row r="2117">
          <cell r="G2117" t="str">
            <v>GMKAT1-M-L85-B1</v>
          </cell>
        </row>
        <row r="2117">
          <cell r="I2117">
            <v>80.014722</v>
          </cell>
          <cell r="J2117">
            <v>7.289722</v>
          </cell>
        </row>
        <row r="2117">
          <cell r="AA2117" t="str">
            <v>2T2R</v>
          </cell>
        </row>
        <row r="2118">
          <cell r="E2118" t="str">
            <v>GMKAT1</v>
          </cell>
        </row>
        <row r="2118">
          <cell r="G2118" t="str">
            <v>GMKAT1-M-L85-A1</v>
          </cell>
        </row>
        <row r="2118">
          <cell r="I2118">
            <v>80.014722</v>
          </cell>
          <cell r="J2118">
            <v>7.289722</v>
          </cell>
        </row>
        <row r="2118">
          <cell r="AA2118" t="str">
            <v>2T2R</v>
          </cell>
        </row>
        <row r="2119">
          <cell r="E2119" t="str">
            <v>GMKAT1</v>
          </cell>
        </row>
        <row r="2119">
          <cell r="G2119" t="str">
            <v>GMKAT1I</v>
          </cell>
        </row>
        <row r="2119">
          <cell r="I2119">
            <v>80.014722</v>
          </cell>
          <cell r="J2119">
            <v>7.289722</v>
          </cell>
        </row>
        <row r="2119">
          <cell r="AA2119" t="str">
            <v>2T2R</v>
          </cell>
        </row>
        <row r="2120">
          <cell r="E2120" t="str">
            <v>GMKAT1</v>
          </cell>
        </row>
        <row r="2120">
          <cell r="G2120" t="str">
            <v>GMKAT1H</v>
          </cell>
        </row>
        <row r="2120">
          <cell r="I2120">
            <v>80.014722</v>
          </cell>
          <cell r="J2120">
            <v>7.289722</v>
          </cell>
        </row>
        <row r="2120">
          <cell r="AA2120" t="str">
            <v>2T2R</v>
          </cell>
        </row>
        <row r="2121">
          <cell r="E2121" t="str">
            <v>GMKAT1</v>
          </cell>
        </row>
        <row r="2121">
          <cell r="G2121" t="str">
            <v>GMKAT1G</v>
          </cell>
        </row>
        <row r="2121">
          <cell r="I2121">
            <v>80.014722</v>
          </cell>
          <cell r="J2121">
            <v>7.289722</v>
          </cell>
        </row>
        <row r="2121">
          <cell r="AA2121" t="str">
            <v>2T2R</v>
          </cell>
        </row>
        <row r="2122">
          <cell r="E2122" t="str">
            <v>ZBIY24</v>
          </cell>
        </row>
        <row r="2122">
          <cell r="G2122" t="str">
            <v>ZBIY24-M-L85-C1</v>
          </cell>
        </row>
        <row r="2122">
          <cell r="I2122">
            <v>80.015</v>
          </cell>
          <cell r="J2122">
            <v>6.97798</v>
          </cell>
        </row>
        <row r="2122">
          <cell r="AA2122" t="str">
            <v>2T2R</v>
          </cell>
        </row>
        <row r="2123">
          <cell r="E2123" t="str">
            <v>ZBIY24</v>
          </cell>
        </row>
        <row r="2123">
          <cell r="G2123" t="str">
            <v>ZBIY24-M-L85-B1</v>
          </cell>
        </row>
        <row r="2123">
          <cell r="I2123">
            <v>80.015</v>
          </cell>
          <cell r="J2123">
            <v>6.97798</v>
          </cell>
        </row>
        <row r="2123">
          <cell r="AA2123" t="str">
            <v>2T2R</v>
          </cell>
        </row>
        <row r="2124">
          <cell r="E2124" t="str">
            <v>ZBIY24</v>
          </cell>
        </row>
        <row r="2124">
          <cell r="G2124" t="str">
            <v>ZBIY24-M-L85-A1</v>
          </cell>
        </row>
        <row r="2124">
          <cell r="I2124">
            <v>80.015</v>
          </cell>
          <cell r="J2124">
            <v>6.97798</v>
          </cell>
        </row>
        <row r="2124">
          <cell r="AA2124" t="str">
            <v>2T2R</v>
          </cell>
        </row>
        <row r="2125">
          <cell r="E2125" t="str">
            <v>ZBIY24</v>
          </cell>
        </row>
        <row r="2125">
          <cell r="G2125" t="str">
            <v>ZBIY24-M-L18-F1</v>
          </cell>
        </row>
        <row r="2125">
          <cell r="I2125">
            <v>80.015</v>
          </cell>
          <cell r="J2125">
            <v>6.97798</v>
          </cell>
        </row>
        <row r="2125">
          <cell r="AA2125" t="str">
            <v>4T4R</v>
          </cell>
        </row>
        <row r="2126">
          <cell r="E2126" t="str">
            <v>ZBIY24</v>
          </cell>
        </row>
        <row r="2126">
          <cell r="G2126" t="str">
            <v>ZBIY24-M-L21-C2</v>
          </cell>
        </row>
        <row r="2126">
          <cell r="I2126">
            <v>80.015</v>
          </cell>
          <cell r="J2126">
            <v>6.97798</v>
          </cell>
        </row>
        <row r="2126">
          <cell r="AA2126" t="str">
            <v>4T4R</v>
          </cell>
        </row>
        <row r="2127">
          <cell r="E2127" t="str">
            <v>ZBIY24</v>
          </cell>
        </row>
        <row r="2127">
          <cell r="G2127" t="str">
            <v>ZBIY24-M-L18-H1</v>
          </cell>
        </row>
        <row r="2127">
          <cell r="I2127">
            <v>80.015</v>
          </cell>
          <cell r="J2127">
            <v>6.97798</v>
          </cell>
        </row>
        <row r="2127">
          <cell r="AA2127" t="str">
            <v>4T4R</v>
          </cell>
        </row>
        <row r="2128">
          <cell r="E2128" t="str">
            <v>ZBIY24</v>
          </cell>
        </row>
        <row r="2128">
          <cell r="G2128" t="str">
            <v>ZBIY24-M-L21-B2</v>
          </cell>
        </row>
        <row r="2128">
          <cell r="I2128">
            <v>80.015</v>
          </cell>
          <cell r="J2128">
            <v>6.97798</v>
          </cell>
        </row>
        <row r="2128">
          <cell r="AA2128" t="str">
            <v>4T4R</v>
          </cell>
        </row>
        <row r="2129">
          <cell r="E2129" t="str">
            <v>ZBIY24</v>
          </cell>
        </row>
        <row r="2129">
          <cell r="G2129" t="str">
            <v>ZBIY24-M-L21-B1</v>
          </cell>
        </row>
        <row r="2129">
          <cell r="I2129">
            <v>80.015</v>
          </cell>
          <cell r="J2129">
            <v>6.97798</v>
          </cell>
        </row>
        <row r="2129">
          <cell r="AA2129" t="str">
            <v>4T4R</v>
          </cell>
        </row>
        <row r="2130">
          <cell r="E2130" t="str">
            <v>ZBIY24</v>
          </cell>
        </row>
        <row r="2130">
          <cell r="G2130" t="str">
            <v>ZBIY24-M-L21-C1</v>
          </cell>
        </row>
        <row r="2130">
          <cell r="I2130">
            <v>80.015</v>
          </cell>
          <cell r="J2130">
            <v>6.97798</v>
          </cell>
        </row>
        <row r="2130">
          <cell r="AA2130" t="str">
            <v>4T4R</v>
          </cell>
        </row>
        <row r="2131">
          <cell r="E2131" t="str">
            <v>ZBIY24</v>
          </cell>
        </row>
        <row r="2131">
          <cell r="G2131" t="str">
            <v>ZBIY24G</v>
          </cell>
        </row>
        <row r="2131">
          <cell r="I2131">
            <v>80.015</v>
          </cell>
          <cell r="J2131">
            <v>6.97798</v>
          </cell>
        </row>
        <row r="2131">
          <cell r="AA2131" t="str">
            <v>4T4R</v>
          </cell>
        </row>
        <row r="2132">
          <cell r="E2132" t="str">
            <v>ZBIY24</v>
          </cell>
        </row>
        <row r="2132">
          <cell r="G2132" t="str">
            <v>ZBIY24H</v>
          </cell>
        </row>
        <row r="2132">
          <cell r="I2132">
            <v>80.015</v>
          </cell>
          <cell r="J2132">
            <v>6.97798</v>
          </cell>
        </row>
        <row r="2132">
          <cell r="AA2132" t="str">
            <v>4T4R</v>
          </cell>
        </row>
        <row r="2133">
          <cell r="E2133" t="str">
            <v>ZBIY24</v>
          </cell>
        </row>
        <row r="2133">
          <cell r="G2133" t="str">
            <v>ZBIY24I</v>
          </cell>
        </row>
        <row r="2133">
          <cell r="I2133">
            <v>80.015</v>
          </cell>
          <cell r="J2133">
            <v>6.97798</v>
          </cell>
        </row>
        <row r="2133">
          <cell r="AA2133" t="str">
            <v>4T4R</v>
          </cell>
        </row>
        <row r="2134">
          <cell r="E2134" t="str">
            <v>ZBIY02</v>
          </cell>
        </row>
        <row r="2134">
          <cell r="G2134" t="str">
            <v>ZBIY02I</v>
          </cell>
        </row>
        <row r="2134">
          <cell r="I2134">
            <v>80.0156</v>
          </cell>
          <cell r="J2134">
            <v>6.99345</v>
          </cell>
        </row>
        <row r="2134">
          <cell r="AA2134" t="str">
            <v>4T4R</v>
          </cell>
        </row>
        <row r="2135">
          <cell r="E2135" t="str">
            <v>ZBIY02</v>
          </cell>
        </row>
        <row r="2135">
          <cell r="G2135" t="str">
            <v>ZBIY02H</v>
          </cell>
        </row>
        <row r="2135">
          <cell r="I2135">
            <v>80.0156</v>
          </cell>
          <cell r="J2135">
            <v>6.99345</v>
          </cell>
        </row>
        <row r="2135">
          <cell r="AA2135" t="str">
            <v>4T4R</v>
          </cell>
        </row>
        <row r="2136">
          <cell r="E2136" t="str">
            <v>ZBIY02</v>
          </cell>
        </row>
        <row r="2136">
          <cell r="G2136" t="str">
            <v>ZBIY02G</v>
          </cell>
        </row>
        <row r="2136">
          <cell r="I2136">
            <v>80.0156</v>
          </cell>
          <cell r="J2136">
            <v>6.99345</v>
          </cell>
        </row>
        <row r="2136">
          <cell r="AA2136" t="str">
            <v>2T2R</v>
          </cell>
        </row>
        <row r="2137">
          <cell r="E2137" t="str">
            <v>ZBIY02</v>
          </cell>
        </row>
        <row r="2137">
          <cell r="G2137" t="str">
            <v>ZBIY02-M-L85-C1</v>
          </cell>
        </row>
        <row r="2137">
          <cell r="I2137">
            <v>80.0156</v>
          </cell>
          <cell r="J2137">
            <v>6.99345</v>
          </cell>
        </row>
        <row r="2137">
          <cell r="AA2137" t="str">
            <v>2T2R</v>
          </cell>
        </row>
        <row r="2138">
          <cell r="E2138" t="str">
            <v>ZBIY02</v>
          </cell>
        </row>
        <row r="2138">
          <cell r="G2138" t="str">
            <v>ZBIY02-M-L85-B1</v>
          </cell>
        </row>
        <row r="2138">
          <cell r="I2138">
            <v>80.0156</v>
          </cell>
          <cell r="J2138">
            <v>6.99345</v>
          </cell>
        </row>
        <row r="2138">
          <cell r="AA2138" t="str">
            <v>2T2R</v>
          </cell>
        </row>
        <row r="2139">
          <cell r="E2139" t="str">
            <v>ZBIY02</v>
          </cell>
        </row>
        <row r="2139">
          <cell r="G2139" t="str">
            <v>ZBIY02-M-L85-A1</v>
          </cell>
        </row>
        <row r="2139">
          <cell r="I2139">
            <v>80.0156</v>
          </cell>
          <cell r="J2139">
            <v>6.99345</v>
          </cell>
        </row>
        <row r="2139">
          <cell r="AA2139" t="str">
            <v>2T2R</v>
          </cell>
        </row>
        <row r="2140">
          <cell r="E2140" t="str">
            <v>ZBIY02</v>
          </cell>
        </row>
        <row r="2140">
          <cell r="G2140" t="str">
            <v>ZBIY02-M-L85-D1</v>
          </cell>
        </row>
        <row r="2140">
          <cell r="I2140">
            <v>80.0156</v>
          </cell>
          <cell r="J2140">
            <v>6.99345</v>
          </cell>
        </row>
        <row r="2140">
          <cell r="AA2140" t="str">
            <v>2T2R</v>
          </cell>
        </row>
        <row r="2141">
          <cell r="E2141" t="str">
            <v>ZBIY03</v>
          </cell>
        </row>
        <row r="2141">
          <cell r="G2141" t="str">
            <v>ZBIY03-M-L21-C2</v>
          </cell>
        </row>
        <row r="2141">
          <cell r="I2141">
            <v>80.0157</v>
          </cell>
          <cell r="J2141">
            <v>6.95225</v>
          </cell>
        </row>
        <row r="2141">
          <cell r="AA2141" t="str">
            <v>2T2R</v>
          </cell>
        </row>
        <row r="2142">
          <cell r="E2142" t="str">
            <v>ZBIY03</v>
          </cell>
        </row>
        <row r="2142">
          <cell r="G2142" t="str">
            <v>ZBIY03-M-L21-B2</v>
          </cell>
        </row>
        <row r="2142">
          <cell r="I2142">
            <v>80.0157</v>
          </cell>
          <cell r="J2142">
            <v>6.95225</v>
          </cell>
        </row>
        <row r="2142">
          <cell r="AA2142" t="str">
            <v>2T2R</v>
          </cell>
        </row>
        <row r="2143">
          <cell r="E2143" t="str">
            <v>ZBIY03</v>
          </cell>
        </row>
        <row r="2143">
          <cell r="G2143" t="str">
            <v>ZBIY03-M-L18-C1</v>
          </cell>
        </row>
        <row r="2143">
          <cell r="I2143">
            <v>80.0157</v>
          </cell>
          <cell r="J2143">
            <v>6.95225</v>
          </cell>
        </row>
        <row r="2143">
          <cell r="AA2143" t="str">
            <v>2T2R</v>
          </cell>
        </row>
        <row r="2144">
          <cell r="E2144" t="str">
            <v>ZBIY03</v>
          </cell>
        </row>
        <row r="2144">
          <cell r="G2144" t="str">
            <v>ZBIY03-M-L18-A1</v>
          </cell>
        </row>
        <row r="2144">
          <cell r="I2144">
            <v>80.0157</v>
          </cell>
          <cell r="J2144">
            <v>6.95225</v>
          </cell>
        </row>
        <row r="2144">
          <cell r="AA2144" t="str">
            <v>8T8R</v>
          </cell>
        </row>
        <row r="2145">
          <cell r="E2145" t="str">
            <v>ZBIY03</v>
          </cell>
        </row>
        <row r="2145">
          <cell r="G2145" t="str">
            <v>ZBIY03-M-L21-A2</v>
          </cell>
        </row>
        <row r="2145">
          <cell r="I2145">
            <v>80.0157</v>
          </cell>
          <cell r="J2145">
            <v>6.95225</v>
          </cell>
        </row>
        <row r="2145">
          <cell r="AA2145" t="str">
            <v>8T8R</v>
          </cell>
        </row>
        <row r="2146">
          <cell r="E2146" t="str">
            <v>ZBIY03</v>
          </cell>
        </row>
        <row r="2146">
          <cell r="G2146" t="str">
            <v>ZBIY03I</v>
          </cell>
        </row>
        <row r="2146">
          <cell r="I2146">
            <v>80.0157</v>
          </cell>
          <cell r="J2146">
            <v>6.95225</v>
          </cell>
        </row>
        <row r="2146">
          <cell r="AA2146" t="str">
            <v>2T2R</v>
          </cell>
        </row>
        <row r="2147">
          <cell r="E2147" t="str">
            <v>ZBIY03</v>
          </cell>
        </row>
        <row r="2147">
          <cell r="G2147" t="str">
            <v>ZBIY03H</v>
          </cell>
        </row>
        <row r="2147">
          <cell r="I2147">
            <v>80.0157</v>
          </cell>
          <cell r="J2147">
            <v>6.95225</v>
          </cell>
        </row>
        <row r="2147">
          <cell r="AA2147" t="str">
            <v>4T4R</v>
          </cell>
        </row>
        <row r="2148">
          <cell r="E2148" t="str">
            <v>ZBIY03</v>
          </cell>
        </row>
        <row r="2148">
          <cell r="G2148" t="str">
            <v>ZBIY03G</v>
          </cell>
        </row>
        <row r="2148">
          <cell r="I2148">
            <v>80.0157</v>
          </cell>
          <cell r="J2148">
            <v>6.95225</v>
          </cell>
        </row>
        <row r="2148">
          <cell r="AA2148" t="str">
            <v>8T8R</v>
          </cell>
        </row>
        <row r="2149">
          <cell r="E2149" t="str">
            <v>ZBIY03</v>
          </cell>
        </row>
        <row r="2149">
          <cell r="G2149" t="str">
            <v>ZBIY03-M-L85-C1</v>
          </cell>
        </row>
        <row r="2149">
          <cell r="I2149">
            <v>80.0157</v>
          </cell>
          <cell r="J2149">
            <v>6.95225</v>
          </cell>
        </row>
        <row r="2149">
          <cell r="AA2149" t="str">
            <v>2T2R</v>
          </cell>
        </row>
        <row r="2150">
          <cell r="E2150" t="str">
            <v>ZBIY03</v>
          </cell>
        </row>
        <row r="2150">
          <cell r="G2150" t="str">
            <v>ZBIY03-M-L85-B1</v>
          </cell>
        </row>
        <row r="2150">
          <cell r="I2150">
            <v>80.0157</v>
          </cell>
          <cell r="J2150">
            <v>6.95225</v>
          </cell>
        </row>
        <row r="2150">
          <cell r="AA2150" t="str">
            <v>2T2R</v>
          </cell>
        </row>
        <row r="2151">
          <cell r="E2151" t="str">
            <v>ZBIY03</v>
          </cell>
        </row>
        <row r="2151">
          <cell r="G2151" t="str">
            <v>ZBIY03-M-L85-A1</v>
          </cell>
        </row>
        <row r="2151">
          <cell r="I2151">
            <v>80.0157</v>
          </cell>
          <cell r="J2151">
            <v>6.95225</v>
          </cell>
        </row>
        <row r="2151">
          <cell r="AA2151" t="str">
            <v>2T2R</v>
          </cell>
        </row>
        <row r="2152">
          <cell r="E2152" t="str">
            <v>ZBIY55</v>
          </cell>
        </row>
        <row r="2152">
          <cell r="G2152" t="str">
            <v>ZBIY55I</v>
          </cell>
        </row>
        <row r="2152">
          <cell r="I2152">
            <v>80.0161</v>
          </cell>
          <cell r="J2152">
            <v>6.9571</v>
          </cell>
        </row>
        <row r="2152">
          <cell r="AA2152" t="str">
            <v>2T2R</v>
          </cell>
        </row>
        <row r="2153">
          <cell r="E2153" t="str">
            <v>ZBIY55</v>
          </cell>
        </row>
        <row r="2153">
          <cell r="G2153" t="str">
            <v>ZBIY55H</v>
          </cell>
        </row>
        <row r="2153">
          <cell r="I2153">
            <v>80.0161</v>
          </cell>
          <cell r="J2153">
            <v>6.9571</v>
          </cell>
        </row>
        <row r="2153">
          <cell r="AA2153" t="str">
            <v>2T2R</v>
          </cell>
        </row>
        <row r="2154">
          <cell r="E2154" t="str">
            <v>ZBIY55</v>
          </cell>
        </row>
        <row r="2154">
          <cell r="G2154" t="str">
            <v>ZBIY55G</v>
          </cell>
        </row>
        <row r="2154">
          <cell r="I2154">
            <v>80.0161</v>
          </cell>
          <cell r="J2154">
            <v>6.9571</v>
          </cell>
        </row>
        <row r="2154">
          <cell r="AA2154" t="str">
            <v>2T2R</v>
          </cell>
        </row>
        <row r="2155">
          <cell r="E2155" t="str">
            <v>LGZ013</v>
          </cell>
        </row>
        <row r="2155">
          <cell r="G2155" t="str">
            <v>LGZ013I</v>
          </cell>
        </row>
        <row r="2155">
          <cell r="I2155">
            <v>80.016263</v>
          </cell>
          <cell r="J2155">
            <v>6.959005</v>
          </cell>
        </row>
        <row r="2155">
          <cell r="AA2155" t="str">
            <v>2T2R</v>
          </cell>
        </row>
        <row r="2156">
          <cell r="E2156" t="str">
            <v>LGZ013</v>
          </cell>
        </row>
        <row r="2156">
          <cell r="G2156" t="str">
            <v>LGZ013H</v>
          </cell>
        </row>
        <row r="2156">
          <cell r="I2156">
            <v>80.016263</v>
          </cell>
          <cell r="J2156">
            <v>6.959005</v>
          </cell>
        </row>
        <row r="2156">
          <cell r="AA2156" t="str">
            <v>2T2R</v>
          </cell>
        </row>
        <row r="2157">
          <cell r="E2157" t="str">
            <v>LGZ013</v>
          </cell>
        </row>
        <row r="2157">
          <cell r="G2157" t="str">
            <v>LGZ013G</v>
          </cell>
        </row>
        <row r="2157">
          <cell r="I2157">
            <v>80.016263</v>
          </cell>
          <cell r="J2157">
            <v>6.959005</v>
          </cell>
        </row>
        <row r="2157">
          <cell r="AA2157" t="str">
            <v>2T2R</v>
          </cell>
        </row>
        <row r="2158">
          <cell r="E2158" t="str">
            <v>GMIND1</v>
          </cell>
        </row>
        <row r="2158">
          <cell r="G2158" t="str">
            <v>GMIND1I</v>
          </cell>
        </row>
        <row r="2158">
          <cell r="I2158">
            <v>80.0168</v>
          </cell>
          <cell r="J2158">
            <v>7.10636</v>
          </cell>
        </row>
        <row r="2158">
          <cell r="AA2158" t="str">
            <v>4T4R</v>
          </cell>
        </row>
        <row r="2159">
          <cell r="E2159" t="str">
            <v>GMIND1</v>
          </cell>
        </row>
        <row r="2159">
          <cell r="G2159" t="str">
            <v>GMIND1H</v>
          </cell>
        </row>
        <row r="2159">
          <cell r="I2159">
            <v>80.0168</v>
          </cell>
          <cell r="J2159">
            <v>7.10636</v>
          </cell>
        </row>
        <row r="2159">
          <cell r="AA2159" t="str">
            <v>4T4R</v>
          </cell>
        </row>
        <row r="2160">
          <cell r="E2160" t="str">
            <v>GMIND1</v>
          </cell>
        </row>
        <row r="2160">
          <cell r="G2160" t="str">
            <v>GMIND1G</v>
          </cell>
        </row>
        <row r="2160">
          <cell r="I2160">
            <v>80.0168</v>
          </cell>
          <cell r="J2160">
            <v>7.10636</v>
          </cell>
        </row>
        <row r="2160">
          <cell r="AA2160" t="str">
            <v>4T4R</v>
          </cell>
        </row>
        <row r="2161">
          <cell r="E2161" t="str">
            <v>GMIND1</v>
          </cell>
        </row>
        <row r="2161">
          <cell r="G2161" t="str">
            <v>GMIND1F</v>
          </cell>
        </row>
        <row r="2161">
          <cell r="I2161">
            <v>80.0168</v>
          </cell>
          <cell r="J2161">
            <v>7.10636</v>
          </cell>
        </row>
        <row r="2161">
          <cell r="AA2161" t="str">
            <v>2T2R</v>
          </cell>
        </row>
        <row r="2162">
          <cell r="E2162" t="str">
            <v>GMIND1</v>
          </cell>
        </row>
        <row r="2162">
          <cell r="G2162" t="str">
            <v>GMIND1-M-L85-C1</v>
          </cell>
        </row>
        <row r="2162">
          <cell r="I2162">
            <v>80.0168</v>
          </cell>
          <cell r="J2162">
            <v>7.10636</v>
          </cell>
        </row>
        <row r="2162">
          <cell r="AA2162" t="str">
            <v>2T2R</v>
          </cell>
        </row>
        <row r="2163">
          <cell r="E2163" t="str">
            <v>GMIND1</v>
          </cell>
        </row>
        <row r="2163">
          <cell r="G2163" t="str">
            <v>GMIND1-M-L85-B1</v>
          </cell>
        </row>
        <row r="2163">
          <cell r="I2163">
            <v>80.0168</v>
          </cell>
          <cell r="J2163">
            <v>7.10636</v>
          </cell>
        </row>
        <row r="2163">
          <cell r="AA2163" t="str">
            <v>2T2R</v>
          </cell>
        </row>
        <row r="2164">
          <cell r="E2164" t="str">
            <v>GMIND1</v>
          </cell>
        </row>
        <row r="2164">
          <cell r="G2164" t="str">
            <v>GMIND1-M-L85-A1</v>
          </cell>
        </row>
        <row r="2164">
          <cell r="I2164">
            <v>80.0168</v>
          </cell>
          <cell r="J2164">
            <v>7.10636</v>
          </cell>
        </row>
        <row r="2164">
          <cell r="AA2164" t="str">
            <v>2T2R</v>
          </cell>
        </row>
        <row r="2165">
          <cell r="E2165" t="str">
            <v>GMIND1</v>
          </cell>
        </row>
        <row r="2165">
          <cell r="G2165" t="str">
            <v>GMIND1-M-L21-B2</v>
          </cell>
        </row>
        <row r="2165">
          <cell r="I2165">
            <v>80.0168</v>
          </cell>
          <cell r="J2165">
            <v>7.10636</v>
          </cell>
        </row>
        <row r="2165">
          <cell r="AA2165" t="str">
            <v>2T2R</v>
          </cell>
        </row>
        <row r="2166">
          <cell r="E2166" t="str">
            <v>GMIND1</v>
          </cell>
        </row>
        <row r="2166">
          <cell r="G2166" t="str">
            <v>GMIND1-M-L21-D2</v>
          </cell>
        </row>
        <row r="2166">
          <cell r="I2166">
            <v>80.0168</v>
          </cell>
          <cell r="J2166">
            <v>7.10636</v>
          </cell>
        </row>
        <row r="2166">
          <cell r="AA2166" t="str">
            <v>2T2R</v>
          </cell>
        </row>
        <row r="2167">
          <cell r="E2167" t="str">
            <v>GMIND1</v>
          </cell>
        </row>
        <row r="2167">
          <cell r="G2167" t="str">
            <v>GMIND1-M-L21-C2</v>
          </cell>
        </row>
        <row r="2167">
          <cell r="I2167">
            <v>80.0168</v>
          </cell>
          <cell r="J2167">
            <v>7.10636</v>
          </cell>
        </row>
        <row r="2167">
          <cell r="AA2167" t="str">
            <v>2T2R</v>
          </cell>
        </row>
        <row r="2168">
          <cell r="E2168" t="str">
            <v>GMIND2</v>
          </cell>
        </row>
        <row r="2168">
          <cell r="G2168" t="str">
            <v>GMIND2I</v>
          </cell>
        </row>
        <row r="2168">
          <cell r="I2168">
            <v>80.017222</v>
          </cell>
          <cell r="J2168">
            <v>7.093056</v>
          </cell>
        </row>
        <row r="2168">
          <cell r="AA2168" t="str">
            <v>4T4R</v>
          </cell>
        </row>
        <row r="2169">
          <cell r="E2169" t="str">
            <v>GMIND2</v>
          </cell>
        </row>
        <row r="2169">
          <cell r="G2169" t="str">
            <v>GMIND2H</v>
          </cell>
        </row>
        <row r="2169">
          <cell r="I2169">
            <v>80.017222</v>
          </cell>
          <cell r="J2169">
            <v>7.093056</v>
          </cell>
        </row>
        <row r="2169">
          <cell r="AA2169" t="str">
            <v>4T4R</v>
          </cell>
        </row>
        <row r="2170">
          <cell r="E2170" t="str">
            <v>GMIND2</v>
          </cell>
        </row>
        <row r="2170">
          <cell r="G2170" t="str">
            <v>GMIND2G</v>
          </cell>
        </row>
        <row r="2170">
          <cell r="I2170">
            <v>80.017222</v>
          </cell>
          <cell r="J2170">
            <v>7.093056</v>
          </cell>
        </row>
        <row r="2170">
          <cell r="AA2170" t="str">
            <v>4T4R</v>
          </cell>
        </row>
        <row r="2171">
          <cell r="E2171" t="str">
            <v>GMIND2</v>
          </cell>
        </row>
        <row r="2171">
          <cell r="G2171" t="str">
            <v>GMIND2-M-L21-C2</v>
          </cell>
        </row>
        <row r="2171">
          <cell r="I2171">
            <v>80.017222</v>
          </cell>
          <cell r="J2171">
            <v>7.093056</v>
          </cell>
        </row>
        <row r="2171">
          <cell r="AA2171" t="str">
            <v>2T2R</v>
          </cell>
        </row>
        <row r="2172">
          <cell r="E2172" t="str">
            <v>GMIND2</v>
          </cell>
        </row>
        <row r="2172">
          <cell r="G2172" t="str">
            <v>GMIND2-M-L21-B2</v>
          </cell>
        </row>
        <row r="2172">
          <cell r="I2172">
            <v>80.017222</v>
          </cell>
          <cell r="J2172">
            <v>7.093056</v>
          </cell>
        </row>
        <row r="2172">
          <cell r="AA2172" t="str">
            <v>2T2R</v>
          </cell>
        </row>
        <row r="2173">
          <cell r="E2173" t="str">
            <v>GMIND2</v>
          </cell>
        </row>
        <row r="2173">
          <cell r="G2173" t="str">
            <v>GMIND2-M-L21-A2</v>
          </cell>
        </row>
        <row r="2173">
          <cell r="I2173">
            <v>80.017222</v>
          </cell>
          <cell r="J2173">
            <v>7.093056</v>
          </cell>
        </row>
        <row r="2173">
          <cell r="AA2173" t="str">
            <v>2T2R</v>
          </cell>
        </row>
        <row r="2174">
          <cell r="E2174" t="str">
            <v>GMMSW1</v>
          </cell>
        </row>
        <row r="2174">
          <cell r="G2174" t="str">
            <v>GMMSW1I</v>
          </cell>
        </row>
        <row r="2174">
          <cell r="I2174">
            <v>80.0173</v>
          </cell>
          <cell r="J2174">
            <v>7.07465</v>
          </cell>
        </row>
        <row r="2174">
          <cell r="AA2174" t="str">
            <v>2T2R</v>
          </cell>
        </row>
        <row r="2175">
          <cell r="E2175" t="str">
            <v>GMMSW1</v>
          </cell>
        </row>
        <row r="2175">
          <cell r="G2175" t="str">
            <v>GMMSW1H</v>
          </cell>
        </row>
        <row r="2175">
          <cell r="I2175">
            <v>80.0173</v>
          </cell>
          <cell r="J2175">
            <v>7.07465</v>
          </cell>
        </row>
        <row r="2175">
          <cell r="AA2175" t="str">
            <v>2T2R</v>
          </cell>
        </row>
        <row r="2176">
          <cell r="E2176" t="str">
            <v>GMMSW1</v>
          </cell>
        </row>
        <row r="2176">
          <cell r="G2176" t="str">
            <v>GMMSW1G</v>
          </cell>
        </row>
        <row r="2176">
          <cell r="I2176">
            <v>80.0173</v>
          </cell>
          <cell r="J2176">
            <v>7.07465</v>
          </cell>
        </row>
        <row r="2176">
          <cell r="AA2176" t="str">
            <v>2T2R</v>
          </cell>
        </row>
        <row r="2177">
          <cell r="E2177" t="str">
            <v>GMMSW1</v>
          </cell>
        </row>
        <row r="2177">
          <cell r="G2177" t="str">
            <v>GMMSW1-M-L85-B1</v>
          </cell>
        </row>
        <row r="2177">
          <cell r="I2177">
            <v>80.0173</v>
          </cell>
          <cell r="J2177">
            <v>7.07465</v>
          </cell>
        </row>
        <row r="2177">
          <cell r="AA2177" t="str">
            <v>2T2R</v>
          </cell>
        </row>
        <row r="2178">
          <cell r="E2178" t="str">
            <v>GMMSW1</v>
          </cell>
        </row>
        <row r="2178">
          <cell r="G2178" t="str">
            <v>GMMSW1-M-L85-A1</v>
          </cell>
        </row>
        <row r="2178">
          <cell r="I2178">
            <v>80.0173</v>
          </cell>
          <cell r="J2178">
            <v>7.07465</v>
          </cell>
        </row>
        <row r="2178">
          <cell r="AA2178" t="str">
            <v>2T2R</v>
          </cell>
        </row>
        <row r="2179">
          <cell r="E2179" t="str">
            <v>GMMSW1</v>
          </cell>
        </row>
        <row r="2179">
          <cell r="G2179" t="str">
            <v>GMMSW1-M-L85-C1</v>
          </cell>
        </row>
        <row r="2179">
          <cell r="I2179">
            <v>80.0173</v>
          </cell>
          <cell r="J2179">
            <v>7.07465</v>
          </cell>
        </row>
        <row r="2179">
          <cell r="AA2179" t="str">
            <v>2T2R</v>
          </cell>
        </row>
        <row r="2180">
          <cell r="E2180" t="str">
            <v>GMMSW1</v>
          </cell>
        </row>
        <row r="2180">
          <cell r="G2180" t="str">
            <v>GMMSW1-M-L21-C2</v>
          </cell>
        </row>
        <row r="2180">
          <cell r="I2180">
            <v>80.0173</v>
          </cell>
          <cell r="J2180">
            <v>7.07465</v>
          </cell>
        </row>
        <row r="2180">
          <cell r="AA2180" t="str">
            <v>2T2R</v>
          </cell>
        </row>
        <row r="2181">
          <cell r="E2181" t="str">
            <v>GMRAT1</v>
          </cell>
        </row>
        <row r="2181">
          <cell r="G2181" t="str">
            <v>GMRAT1I</v>
          </cell>
        </row>
        <row r="2181">
          <cell r="I2181">
            <v>80.018</v>
          </cell>
          <cell r="J2181">
            <v>7.0538</v>
          </cell>
        </row>
        <row r="2181">
          <cell r="AA2181" t="str">
            <v>4T4R</v>
          </cell>
        </row>
        <row r="2182">
          <cell r="E2182" t="str">
            <v>GMRAT1</v>
          </cell>
        </row>
        <row r="2182">
          <cell r="G2182" t="str">
            <v>GMRAT1H</v>
          </cell>
        </row>
        <row r="2182">
          <cell r="I2182">
            <v>80.018</v>
          </cell>
          <cell r="J2182">
            <v>7.0538</v>
          </cell>
        </row>
        <row r="2182">
          <cell r="AA2182" t="str">
            <v>2T2R</v>
          </cell>
        </row>
        <row r="2183">
          <cell r="E2183" t="str">
            <v>GMRAT1</v>
          </cell>
        </row>
        <row r="2183">
          <cell r="G2183" t="str">
            <v>GMRAT1G</v>
          </cell>
        </row>
        <row r="2183">
          <cell r="I2183">
            <v>80.018</v>
          </cell>
          <cell r="J2183">
            <v>7.0538</v>
          </cell>
        </row>
        <row r="2183">
          <cell r="AA2183" t="str">
            <v>4T4R</v>
          </cell>
        </row>
        <row r="2184">
          <cell r="E2184" t="str">
            <v>GMRAT1</v>
          </cell>
        </row>
        <row r="2184">
          <cell r="G2184" t="str">
            <v>GMRAT1-M-L85-C1</v>
          </cell>
        </row>
        <row r="2184">
          <cell r="I2184">
            <v>80.018</v>
          </cell>
          <cell r="J2184">
            <v>7.0538</v>
          </cell>
        </row>
        <row r="2184">
          <cell r="AA2184" t="str">
            <v>2T2R</v>
          </cell>
        </row>
        <row r="2185">
          <cell r="E2185" t="str">
            <v>GMRAT1</v>
          </cell>
        </row>
        <row r="2185">
          <cell r="G2185" t="str">
            <v>GMRAT1-M-L85-B1</v>
          </cell>
        </row>
        <row r="2185">
          <cell r="I2185">
            <v>80.018</v>
          </cell>
          <cell r="J2185">
            <v>7.0538</v>
          </cell>
        </row>
        <row r="2185">
          <cell r="AA2185" t="str">
            <v>2T2R</v>
          </cell>
        </row>
        <row r="2186">
          <cell r="E2186" t="str">
            <v>GMRAT1</v>
          </cell>
        </row>
        <row r="2186">
          <cell r="G2186" t="str">
            <v>GMRAT1-M-L85-A1</v>
          </cell>
        </row>
        <row r="2186">
          <cell r="I2186">
            <v>80.018</v>
          </cell>
          <cell r="J2186">
            <v>7.0538</v>
          </cell>
        </row>
        <row r="2186">
          <cell r="AA2186" t="str">
            <v>2T2R</v>
          </cell>
        </row>
        <row r="2187">
          <cell r="E2187" t="str">
            <v>GMRAT1</v>
          </cell>
        </row>
        <row r="2187">
          <cell r="G2187" t="str">
            <v>GMRAT1-M-L21-B2</v>
          </cell>
        </row>
        <row r="2187">
          <cell r="I2187">
            <v>80.018</v>
          </cell>
          <cell r="J2187">
            <v>7.0538</v>
          </cell>
        </row>
        <row r="2187">
          <cell r="AA2187" t="str">
            <v>2T2R</v>
          </cell>
        </row>
        <row r="2188">
          <cell r="E2188" t="str">
            <v>GMRAT1</v>
          </cell>
        </row>
        <row r="2188">
          <cell r="G2188" t="str">
            <v>GMRAT1-M-L21-A2</v>
          </cell>
        </row>
        <row r="2188">
          <cell r="I2188">
            <v>80.018</v>
          </cell>
          <cell r="J2188">
            <v>7.0538</v>
          </cell>
        </row>
        <row r="2188">
          <cell r="AA2188" t="str">
            <v>2T2R</v>
          </cell>
        </row>
        <row r="2189">
          <cell r="E2189" t="str">
            <v>GMRAT1</v>
          </cell>
        </row>
        <row r="2189">
          <cell r="G2189" t="str">
            <v>GMRAT1-M-L21-C2</v>
          </cell>
        </row>
        <row r="2189">
          <cell r="I2189">
            <v>80.018</v>
          </cell>
          <cell r="J2189">
            <v>7.0538</v>
          </cell>
        </row>
        <row r="2189">
          <cell r="AA2189" t="str">
            <v>2T2R</v>
          </cell>
        </row>
        <row r="2190">
          <cell r="E2190" t="str">
            <v>GMMBD1</v>
          </cell>
        </row>
        <row r="2190">
          <cell r="G2190" t="str">
            <v>GMMBD1I</v>
          </cell>
        </row>
        <row r="2190">
          <cell r="I2190">
            <v>80.021</v>
          </cell>
          <cell r="J2190">
            <v>7.199</v>
          </cell>
        </row>
        <row r="2190">
          <cell r="AA2190" t="str">
            <v>2T2R</v>
          </cell>
        </row>
        <row r="2191">
          <cell r="E2191" t="str">
            <v>GMMBD1</v>
          </cell>
        </row>
        <row r="2191">
          <cell r="G2191" t="str">
            <v>GMMBD1H</v>
          </cell>
        </row>
        <row r="2191">
          <cell r="I2191">
            <v>80.021</v>
          </cell>
          <cell r="J2191">
            <v>7.199</v>
          </cell>
        </row>
        <row r="2191">
          <cell r="AA2191" t="str">
            <v>2T2R</v>
          </cell>
        </row>
        <row r="2192">
          <cell r="E2192" t="str">
            <v>GMMBD1</v>
          </cell>
        </row>
        <row r="2192">
          <cell r="G2192" t="str">
            <v>GMMBD1G</v>
          </cell>
        </row>
        <row r="2192">
          <cell r="I2192">
            <v>80.021</v>
          </cell>
          <cell r="J2192">
            <v>7.199</v>
          </cell>
        </row>
        <row r="2192">
          <cell r="AA2192" t="str">
            <v>2T2R</v>
          </cell>
        </row>
        <row r="2193">
          <cell r="E2193" t="str">
            <v>GMBEM1</v>
          </cell>
        </row>
        <row r="2193">
          <cell r="G2193" t="str">
            <v>GMBEM1-M-L18-F1</v>
          </cell>
        </row>
        <row r="2193">
          <cell r="I2193">
            <v>80.0215</v>
          </cell>
          <cell r="J2193">
            <v>7.12145</v>
          </cell>
        </row>
        <row r="2193">
          <cell r="AA2193" t="str">
            <v>4T4R</v>
          </cell>
        </row>
        <row r="2194">
          <cell r="E2194" t="str">
            <v>GMBEM1</v>
          </cell>
        </row>
        <row r="2194">
          <cell r="G2194" t="str">
            <v>GMBEM1-M-L18-H1</v>
          </cell>
        </row>
        <row r="2194">
          <cell r="I2194">
            <v>80.0215</v>
          </cell>
          <cell r="J2194">
            <v>7.12145</v>
          </cell>
        </row>
        <row r="2194">
          <cell r="AA2194" t="str">
            <v>2T2R</v>
          </cell>
        </row>
        <row r="2195">
          <cell r="E2195" t="str">
            <v>GMBEM1</v>
          </cell>
        </row>
        <row r="2195">
          <cell r="G2195" t="str">
            <v>GMBEM1-M-L21-A2</v>
          </cell>
        </row>
        <row r="2195">
          <cell r="I2195">
            <v>80.0215</v>
          </cell>
          <cell r="J2195">
            <v>7.12145</v>
          </cell>
        </row>
        <row r="2195">
          <cell r="AA2195" t="str">
            <v>2T2R</v>
          </cell>
        </row>
        <row r="2196">
          <cell r="E2196" t="str">
            <v>GMBEM1</v>
          </cell>
        </row>
        <row r="2196">
          <cell r="G2196" t="str">
            <v>GMBEM1I</v>
          </cell>
        </row>
        <row r="2196">
          <cell r="I2196">
            <v>80.0215</v>
          </cell>
          <cell r="J2196">
            <v>7.12145</v>
          </cell>
        </row>
        <row r="2196">
          <cell r="AA2196" t="str">
            <v>2T2R</v>
          </cell>
        </row>
        <row r="2197">
          <cell r="E2197" t="str">
            <v>GMBEM1</v>
          </cell>
        </row>
        <row r="2197">
          <cell r="G2197" t="str">
            <v>GMBEM1H</v>
          </cell>
        </row>
        <row r="2197">
          <cell r="I2197">
            <v>80.0215</v>
          </cell>
          <cell r="J2197">
            <v>7.12145</v>
          </cell>
        </row>
        <row r="2197">
          <cell r="AA2197" t="str">
            <v>2T2R</v>
          </cell>
        </row>
        <row r="2198">
          <cell r="E2198" t="str">
            <v>GMBEM1</v>
          </cell>
        </row>
        <row r="2198">
          <cell r="G2198" t="str">
            <v>GMBEM1G</v>
          </cell>
        </row>
        <row r="2198">
          <cell r="I2198">
            <v>80.0215</v>
          </cell>
          <cell r="J2198">
            <v>7.12145</v>
          </cell>
        </row>
        <row r="2198">
          <cell r="AA2198" t="str">
            <v>2T2R</v>
          </cell>
        </row>
        <row r="2199">
          <cell r="E2199" t="str">
            <v>GMBEM1</v>
          </cell>
        </row>
        <row r="2199">
          <cell r="G2199" t="str">
            <v>GMBEM1F</v>
          </cell>
        </row>
        <row r="2199">
          <cell r="I2199">
            <v>80.0215</v>
          </cell>
          <cell r="J2199">
            <v>7.12145</v>
          </cell>
        </row>
        <row r="2199">
          <cell r="AA2199" t="str">
            <v>2T2R</v>
          </cell>
        </row>
        <row r="2200">
          <cell r="E2200" t="str">
            <v>GMBEM1</v>
          </cell>
        </row>
        <row r="2200">
          <cell r="G2200" t="str">
            <v>GMBEM1-M-L85-C1</v>
          </cell>
        </row>
        <row r="2200">
          <cell r="I2200">
            <v>80.0215</v>
          </cell>
          <cell r="J2200">
            <v>7.12145</v>
          </cell>
        </row>
        <row r="2200">
          <cell r="AA2200" t="str">
            <v>2T2R</v>
          </cell>
        </row>
        <row r="2201">
          <cell r="E2201" t="str">
            <v>GMBEM1</v>
          </cell>
        </row>
        <row r="2201">
          <cell r="G2201" t="str">
            <v>GMBEM1-M-L85-B1</v>
          </cell>
        </row>
        <row r="2201">
          <cell r="I2201">
            <v>80.0215</v>
          </cell>
          <cell r="J2201">
            <v>7.12145</v>
          </cell>
        </row>
        <row r="2201">
          <cell r="AA2201" t="str">
            <v>2T2R</v>
          </cell>
        </row>
        <row r="2202">
          <cell r="E2202" t="str">
            <v>GMBEM1</v>
          </cell>
        </row>
        <row r="2202">
          <cell r="G2202" t="str">
            <v>GMBEM1-M-L85-A1</v>
          </cell>
        </row>
        <row r="2202">
          <cell r="I2202">
            <v>80.0215</v>
          </cell>
          <cell r="J2202">
            <v>7.12145</v>
          </cell>
        </row>
        <row r="2202">
          <cell r="AA2202" t="str">
            <v>2T2R</v>
          </cell>
        </row>
        <row r="2203">
          <cell r="E2203" t="str">
            <v>GMDIV2</v>
          </cell>
        </row>
        <row r="2203">
          <cell r="G2203" t="str">
            <v>GMDIV2I</v>
          </cell>
        </row>
        <row r="2203">
          <cell r="I2203">
            <v>80.021944</v>
          </cell>
          <cell r="J2203">
            <v>7.225</v>
          </cell>
        </row>
        <row r="2203">
          <cell r="AA2203" t="str">
            <v>2T2R</v>
          </cell>
        </row>
        <row r="2204">
          <cell r="E2204" t="str">
            <v>GMDIV2</v>
          </cell>
        </row>
        <row r="2204">
          <cell r="G2204" t="str">
            <v>GMDIV2H</v>
          </cell>
        </row>
        <row r="2204">
          <cell r="I2204">
            <v>80.021944</v>
          </cell>
          <cell r="J2204">
            <v>7.225</v>
          </cell>
        </row>
        <row r="2204">
          <cell r="AA2204" t="str">
            <v>2T2R</v>
          </cell>
        </row>
        <row r="2205">
          <cell r="E2205" t="str">
            <v>GMDIV2</v>
          </cell>
        </row>
        <row r="2205">
          <cell r="G2205" t="str">
            <v>GMDIV2G</v>
          </cell>
        </row>
        <row r="2205">
          <cell r="I2205">
            <v>80.021944</v>
          </cell>
          <cell r="J2205">
            <v>7.225</v>
          </cell>
        </row>
        <row r="2205">
          <cell r="AA2205" t="str">
            <v>4T4R</v>
          </cell>
        </row>
        <row r="2206">
          <cell r="E2206" t="str">
            <v>GMDIV2</v>
          </cell>
        </row>
        <row r="2206">
          <cell r="G2206" t="str">
            <v>GMDIV2F</v>
          </cell>
        </row>
        <row r="2206">
          <cell r="I2206">
            <v>80.021944</v>
          </cell>
          <cell r="J2206">
            <v>7.225</v>
          </cell>
        </row>
        <row r="2206">
          <cell r="AA2206" t="str">
            <v>2T2R</v>
          </cell>
        </row>
        <row r="2207">
          <cell r="E2207" t="str">
            <v>GMDIV2</v>
          </cell>
        </row>
        <row r="2207">
          <cell r="G2207" t="str">
            <v>GMDIV2-M-L85-D1</v>
          </cell>
        </row>
        <row r="2207">
          <cell r="I2207">
            <v>80.021944</v>
          </cell>
          <cell r="J2207">
            <v>7.225</v>
          </cell>
        </row>
        <row r="2207">
          <cell r="AA2207" t="str">
            <v>2T2R</v>
          </cell>
        </row>
        <row r="2208">
          <cell r="E2208" t="str">
            <v>GMDIV2</v>
          </cell>
        </row>
        <row r="2208">
          <cell r="G2208" t="str">
            <v>GMDIV2-M-L85-C1</v>
          </cell>
        </row>
        <row r="2208">
          <cell r="I2208">
            <v>80.021944</v>
          </cell>
          <cell r="J2208">
            <v>7.225</v>
          </cell>
        </row>
        <row r="2208">
          <cell r="AA2208" t="str">
            <v>2T2R</v>
          </cell>
        </row>
        <row r="2209">
          <cell r="E2209" t="str">
            <v>GMDIV2</v>
          </cell>
        </row>
        <row r="2209">
          <cell r="G2209" t="str">
            <v>GMDIV2-M-L85-B1</v>
          </cell>
        </row>
        <row r="2209">
          <cell r="I2209">
            <v>80.021944</v>
          </cell>
          <cell r="J2209">
            <v>7.225</v>
          </cell>
        </row>
        <row r="2209">
          <cell r="AA2209" t="str">
            <v>2T2R</v>
          </cell>
        </row>
        <row r="2210">
          <cell r="E2210" t="str">
            <v>GMDIV2</v>
          </cell>
        </row>
        <row r="2210">
          <cell r="G2210" t="str">
            <v>GMDIV2-M-L85-A1</v>
          </cell>
        </row>
        <row r="2210">
          <cell r="I2210">
            <v>80.021944</v>
          </cell>
          <cell r="J2210">
            <v>7.225</v>
          </cell>
        </row>
        <row r="2210">
          <cell r="AA2210" t="str">
            <v>2T2R</v>
          </cell>
        </row>
        <row r="2211">
          <cell r="E2211" t="str">
            <v>GMDIV2</v>
          </cell>
        </row>
        <row r="2211">
          <cell r="G2211" t="str">
            <v>GMDIV2-M-L21-C2</v>
          </cell>
        </row>
        <row r="2211">
          <cell r="I2211">
            <v>80.021944</v>
          </cell>
          <cell r="J2211">
            <v>7.225</v>
          </cell>
        </row>
        <row r="2211">
          <cell r="AA2211" t="str">
            <v>2T2R</v>
          </cell>
        </row>
        <row r="2212">
          <cell r="E2212" t="str">
            <v>GMDIV2</v>
          </cell>
        </row>
        <row r="2212">
          <cell r="G2212" t="str">
            <v>GMDIV2-M-L21-B2</v>
          </cell>
        </row>
        <row r="2212">
          <cell r="I2212">
            <v>80.021944</v>
          </cell>
          <cell r="J2212">
            <v>7.225</v>
          </cell>
        </row>
        <row r="2212">
          <cell r="AA2212" t="str">
            <v>2T2R</v>
          </cell>
        </row>
        <row r="2213">
          <cell r="E2213" t="str">
            <v>GMDIV2</v>
          </cell>
        </row>
        <row r="2213">
          <cell r="G2213" t="str">
            <v>GMDIV2-M-L21-A2</v>
          </cell>
        </row>
        <row r="2213">
          <cell r="I2213">
            <v>80.021944</v>
          </cell>
          <cell r="J2213">
            <v>7.225</v>
          </cell>
        </row>
        <row r="2213">
          <cell r="AA2213" t="str">
            <v>2T2R</v>
          </cell>
        </row>
        <row r="2214">
          <cell r="E2214" t="str">
            <v>ZKAD17</v>
          </cell>
        </row>
        <row r="2214">
          <cell r="G2214" t="str">
            <v>ZKAD17I</v>
          </cell>
        </row>
        <row r="2214">
          <cell r="I2214">
            <v>80.0224</v>
          </cell>
          <cell r="J2214">
            <v>7.0066</v>
          </cell>
        </row>
        <row r="2214">
          <cell r="AA2214" t="str">
            <v>4T4R</v>
          </cell>
        </row>
        <row r="2215">
          <cell r="E2215" t="str">
            <v>ZKAD17</v>
          </cell>
        </row>
        <row r="2215">
          <cell r="G2215" t="str">
            <v>ZKAD17H</v>
          </cell>
        </row>
        <row r="2215">
          <cell r="I2215">
            <v>80.0224</v>
          </cell>
          <cell r="J2215">
            <v>7.0066</v>
          </cell>
        </row>
        <row r="2215">
          <cell r="AA2215" t="str">
            <v>4T4R</v>
          </cell>
        </row>
        <row r="2216">
          <cell r="E2216" t="str">
            <v>ZKAD17</v>
          </cell>
        </row>
        <row r="2216">
          <cell r="G2216" t="str">
            <v>ZKAD17G</v>
          </cell>
        </row>
        <row r="2216">
          <cell r="I2216">
            <v>80.0224</v>
          </cell>
          <cell r="J2216">
            <v>7.0066</v>
          </cell>
        </row>
        <row r="2216">
          <cell r="AA2216" t="str">
            <v>4T4R</v>
          </cell>
        </row>
        <row r="2217">
          <cell r="E2217" t="str">
            <v>ZKAD17</v>
          </cell>
        </row>
        <row r="2217">
          <cell r="G2217" t="str">
            <v>ZKAD17-M-L85-C1</v>
          </cell>
        </row>
        <row r="2217">
          <cell r="I2217">
            <v>80.0224</v>
          </cell>
          <cell r="J2217">
            <v>7.0066</v>
          </cell>
        </row>
        <row r="2217">
          <cell r="AA2217" t="str">
            <v>2T2R</v>
          </cell>
        </row>
        <row r="2218">
          <cell r="E2218" t="str">
            <v>ZKAD17</v>
          </cell>
        </row>
        <row r="2218">
          <cell r="G2218" t="str">
            <v>ZKAD17-M-L85-B1</v>
          </cell>
        </row>
        <row r="2218">
          <cell r="I2218">
            <v>80.0224</v>
          </cell>
          <cell r="J2218">
            <v>7.0066</v>
          </cell>
        </row>
        <row r="2218">
          <cell r="AA2218" t="str">
            <v>2T2R</v>
          </cell>
        </row>
        <row r="2219">
          <cell r="E2219" t="str">
            <v>ZKAD17</v>
          </cell>
        </row>
        <row r="2219">
          <cell r="G2219" t="str">
            <v>ZKAD17-M-L85-A1</v>
          </cell>
        </row>
        <row r="2219">
          <cell r="I2219">
            <v>80.0224</v>
          </cell>
          <cell r="J2219">
            <v>7.0066</v>
          </cell>
        </row>
        <row r="2219">
          <cell r="AA2219" t="str">
            <v>2T2R</v>
          </cell>
        </row>
        <row r="2220">
          <cell r="E2220" t="str">
            <v>ZKAD17</v>
          </cell>
        </row>
        <row r="2220">
          <cell r="G2220" t="str">
            <v>ZKAD17-M-L21-C2</v>
          </cell>
        </row>
        <row r="2220">
          <cell r="I2220">
            <v>80.0224</v>
          </cell>
          <cell r="J2220">
            <v>7.0066</v>
          </cell>
        </row>
        <row r="2220">
          <cell r="AA2220" t="str">
            <v>4T4R</v>
          </cell>
        </row>
        <row r="2221">
          <cell r="E2221" t="str">
            <v>ZKAD17</v>
          </cell>
        </row>
        <row r="2221">
          <cell r="G2221" t="str">
            <v>ZKAD17-M-L21-B2</v>
          </cell>
        </row>
        <row r="2221">
          <cell r="I2221">
            <v>80.0224</v>
          </cell>
          <cell r="J2221">
            <v>7.0066</v>
          </cell>
        </row>
        <row r="2221">
          <cell r="AA2221" t="str">
            <v>4T4R</v>
          </cell>
        </row>
        <row r="2222">
          <cell r="E2222" t="str">
            <v>ZKAD17</v>
          </cell>
        </row>
        <row r="2222">
          <cell r="G2222" t="str">
            <v>ZKAD17-M-L21-A2</v>
          </cell>
        </row>
        <row r="2222">
          <cell r="I2222">
            <v>80.0224</v>
          </cell>
          <cell r="J2222">
            <v>7.0066</v>
          </cell>
        </row>
        <row r="2222">
          <cell r="AA2222" t="str">
            <v>4T4R</v>
          </cell>
        </row>
        <row r="2223">
          <cell r="E2223" t="str">
            <v>GMWER1</v>
          </cell>
        </row>
        <row r="2223">
          <cell r="G2223" t="str">
            <v>GMWER1-M-L21-B2</v>
          </cell>
        </row>
        <row r="2223">
          <cell r="I2223">
            <v>80.0229</v>
          </cell>
          <cell r="J2223">
            <v>7.08338</v>
          </cell>
        </row>
        <row r="2223">
          <cell r="AA2223" t="str">
            <v>4T4R</v>
          </cell>
        </row>
        <row r="2224">
          <cell r="E2224" t="str">
            <v>GMWER1</v>
          </cell>
        </row>
        <row r="2224">
          <cell r="G2224" t="str">
            <v>GMWER1-M-L21-A2</v>
          </cell>
        </row>
        <row r="2224">
          <cell r="I2224">
            <v>80.0229</v>
          </cell>
          <cell r="J2224">
            <v>7.08338</v>
          </cell>
        </row>
        <row r="2224">
          <cell r="AA2224" t="str">
            <v>2T2R</v>
          </cell>
        </row>
        <row r="2225">
          <cell r="E2225" t="str">
            <v>GMWPM1</v>
          </cell>
        </row>
        <row r="2225">
          <cell r="G2225" t="str">
            <v>GMWPM1I</v>
          </cell>
        </row>
        <row r="2225">
          <cell r="I2225">
            <v>80.0229</v>
          </cell>
          <cell r="J2225">
            <v>7.16152</v>
          </cell>
        </row>
        <row r="2225">
          <cell r="AA2225" t="str">
            <v>4T4R</v>
          </cell>
        </row>
        <row r="2226">
          <cell r="E2226" t="str">
            <v>GMWPM1</v>
          </cell>
        </row>
        <row r="2226">
          <cell r="G2226" t="str">
            <v>GMWPM1H</v>
          </cell>
        </row>
        <row r="2226">
          <cell r="I2226">
            <v>80.0229</v>
          </cell>
          <cell r="J2226">
            <v>7.16152</v>
          </cell>
        </row>
        <row r="2226">
          <cell r="AA2226" t="str">
            <v>4T4R</v>
          </cell>
        </row>
        <row r="2227">
          <cell r="E2227" t="str">
            <v>GMWPM1</v>
          </cell>
        </row>
        <row r="2227">
          <cell r="G2227" t="str">
            <v>GMWPM1G</v>
          </cell>
        </row>
        <row r="2227">
          <cell r="I2227">
            <v>80.0229</v>
          </cell>
          <cell r="J2227">
            <v>7.16152</v>
          </cell>
        </row>
        <row r="2227">
          <cell r="AA2227" t="str">
            <v>4T4R</v>
          </cell>
        </row>
        <row r="2228">
          <cell r="E2228" t="str">
            <v>GMWER1</v>
          </cell>
        </row>
        <row r="2228">
          <cell r="G2228" t="str">
            <v>GMWER1I</v>
          </cell>
        </row>
        <row r="2228">
          <cell r="I2228">
            <v>80.0229</v>
          </cell>
          <cell r="J2228">
            <v>7.08338</v>
          </cell>
        </row>
        <row r="2228">
          <cell r="AA2228" t="str">
            <v>4T4R</v>
          </cell>
        </row>
        <row r="2229">
          <cell r="E2229" t="str">
            <v>GMWER1</v>
          </cell>
        </row>
        <row r="2229">
          <cell r="G2229" t="str">
            <v>GMWER1H</v>
          </cell>
        </row>
        <row r="2229">
          <cell r="I2229">
            <v>80.0229</v>
          </cell>
          <cell r="J2229">
            <v>7.08338</v>
          </cell>
        </row>
        <row r="2229">
          <cell r="AA2229" t="str">
            <v>4T4R</v>
          </cell>
        </row>
        <row r="2230">
          <cell r="E2230" t="str">
            <v>GMWER1</v>
          </cell>
        </row>
        <row r="2230">
          <cell r="G2230" t="str">
            <v>GMWER1G</v>
          </cell>
        </row>
        <row r="2230">
          <cell r="I2230">
            <v>80.0229</v>
          </cell>
          <cell r="J2230">
            <v>7.08338</v>
          </cell>
        </row>
        <row r="2230">
          <cell r="AA2230" t="str">
            <v>2T2R</v>
          </cell>
        </row>
        <row r="2231">
          <cell r="E2231" t="str">
            <v>GMWER1</v>
          </cell>
        </row>
        <row r="2231">
          <cell r="G2231" t="str">
            <v>GMWER1-M-L85-C1</v>
          </cell>
        </row>
        <row r="2231">
          <cell r="I2231">
            <v>80.0229</v>
          </cell>
          <cell r="J2231">
            <v>7.08338</v>
          </cell>
        </row>
        <row r="2231">
          <cell r="AA2231" t="str">
            <v>2T2R</v>
          </cell>
        </row>
        <row r="2232">
          <cell r="E2232" t="str">
            <v>GMWER1</v>
          </cell>
        </row>
        <row r="2232">
          <cell r="G2232" t="str">
            <v>GMWER1-M-L85-B1</v>
          </cell>
        </row>
        <row r="2232">
          <cell r="I2232">
            <v>80.0229</v>
          </cell>
          <cell r="J2232">
            <v>7.08338</v>
          </cell>
        </row>
        <row r="2232">
          <cell r="AA2232" t="str">
            <v>2T2R</v>
          </cell>
        </row>
        <row r="2233">
          <cell r="E2233" t="str">
            <v>GMWER1</v>
          </cell>
        </row>
        <row r="2233">
          <cell r="G2233" t="str">
            <v>GMWER1-M-L85-A1</v>
          </cell>
        </row>
        <row r="2233">
          <cell r="I2233">
            <v>80.0229</v>
          </cell>
          <cell r="J2233">
            <v>7.08338</v>
          </cell>
        </row>
        <row r="2233">
          <cell r="AA2233" t="str">
            <v>2T2R</v>
          </cell>
        </row>
        <row r="2234">
          <cell r="E2234" t="str">
            <v>GMBEL2</v>
          </cell>
        </row>
        <row r="2234">
          <cell r="G2234" t="str">
            <v>GMBEL2-M-L18-D1</v>
          </cell>
        </row>
        <row r="2234">
          <cell r="I2234">
            <v>80.0244</v>
          </cell>
          <cell r="J2234">
            <v>7.06428</v>
          </cell>
        </row>
        <row r="2234">
          <cell r="AA2234" t="str">
            <v>2T2R</v>
          </cell>
        </row>
        <row r="2235">
          <cell r="E2235" t="str">
            <v>GMBEL2</v>
          </cell>
        </row>
        <row r="2235">
          <cell r="G2235" t="str">
            <v>GMBEL2-M-L21-A2</v>
          </cell>
        </row>
        <row r="2235">
          <cell r="I2235">
            <v>80.0244</v>
          </cell>
          <cell r="J2235">
            <v>7.06428</v>
          </cell>
        </row>
        <row r="2235">
          <cell r="AA2235" t="str">
            <v>2T2R</v>
          </cell>
        </row>
        <row r="2236">
          <cell r="E2236" t="str">
            <v>GMBEL2</v>
          </cell>
        </row>
        <row r="2236">
          <cell r="G2236" t="str">
            <v>GMBEL2-M-L21-C2</v>
          </cell>
        </row>
        <row r="2236">
          <cell r="I2236">
            <v>80.0244</v>
          </cell>
          <cell r="J2236">
            <v>7.06428</v>
          </cell>
        </row>
        <row r="2236">
          <cell r="AA2236" t="str">
            <v>4T4R</v>
          </cell>
        </row>
        <row r="2237">
          <cell r="E2237" t="str">
            <v>GMBEL2</v>
          </cell>
        </row>
        <row r="2237">
          <cell r="G2237" t="str">
            <v>GMBEL2I</v>
          </cell>
        </row>
        <row r="2237">
          <cell r="I2237">
            <v>80.0244</v>
          </cell>
          <cell r="J2237">
            <v>7.06428</v>
          </cell>
        </row>
        <row r="2237">
          <cell r="AA2237" t="str">
            <v>4T4R</v>
          </cell>
        </row>
        <row r="2238">
          <cell r="E2238" t="str">
            <v>GMBEL2</v>
          </cell>
        </row>
        <row r="2238">
          <cell r="G2238" t="str">
            <v>GMBEL2H</v>
          </cell>
        </row>
        <row r="2238">
          <cell r="I2238">
            <v>80.0244</v>
          </cell>
          <cell r="J2238">
            <v>7.06428</v>
          </cell>
        </row>
        <row r="2238">
          <cell r="AA2238" t="str">
            <v>2T2R</v>
          </cell>
        </row>
        <row r="2239">
          <cell r="E2239" t="str">
            <v>GMBEL2</v>
          </cell>
        </row>
        <row r="2239">
          <cell r="G2239" t="str">
            <v>GMBEL2G</v>
          </cell>
        </row>
        <row r="2239">
          <cell r="I2239">
            <v>80.0244</v>
          </cell>
          <cell r="J2239">
            <v>7.06428</v>
          </cell>
        </row>
        <row r="2239">
          <cell r="AA2239" t="str">
            <v>2T2R</v>
          </cell>
        </row>
        <row r="2240">
          <cell r="E2240" t="str">
            <v>GMBEL2</v>
          </cell>
        </row>
        <row r="2240">
          <cell r="G2240" t="str">
            <v>GMBEL2-M-L85-C1</v>
          </cell>
        </row>
        <row r="2240">
          <cell r="I2240">
            <v>80.0244</v>
          </cell>
          <cell r="J2240">
            <v>7.06428</v>
          </cell>
        </row>
        <row r="2240">
          <cell r="AA2240" t="str">
            <v>2T2R</v>
          </cell>
        </row>
        <row r="2241">
          <cell r="E2241" t="str">
            <v>GMBEL2</v>
          </cell>
        </row>
        <row r="2241">
          <cell r="G2241" t="str">
            <v>GMBEL2-M-L85-B1</v>
          </cell>
        </row>
        <row r="2241">
          <cell r="I2241">
            <v>80.0244</v>
          </cell>
          <cell r="J2241">
            <v>7.06428</v>
          </cell>
        </row>
        <row r="2241">
          <cell r="AA2241" t="str">
            <v>2T2R</v>
          </cell>
        </row>
        <row r="2242">
          <cell r="E2242" t="str">
            <v>GMBEL2</v>
          </cell>
        </row>
        <row r="2242">
          <cell r="G2242" t="str">
            <v>GMBEL2-M-L85-A1</v>
          </cell>
        </row>
        <row r="2242">
          <cell r="I2242">
            <v>80.0244</v>
          </cell>
          <cell r="J2242">
            <v>7.06428</v>
          </cell>
        </row>
        <row r="2242">
          <cell r="AA2242" t="str">
            <v>2T2R</v>
          </cell>
        </row>
        <row r="2243">
          <cell r="E2243" t="str">
            <v>GMWEL2</v>
          </cell>
        </row>
        <row r="2243">
          <cell r="G2243" t="str">
            <v>GMWEL2I</v>
          </cell>
        </row>
        <row r="2243">
          <cell r="I2243">
            <v>80.0249</v>
          </cell>
          <cell r="J2243">
            <v>7.01817</v>
          </cell>
        </row>
        <row r="2243">
          <cell r="AA2243" t="str">
            <v>4T4R</v>
          </cell>
        </row>
        <row r="2244">
          <cell r="E2244" t="str">
            <v>GMWEL2</v>
          </cell>
        </row>
        <row r="2244">
          <cell r="G2244" t="str">
            <v>GMWEL2H</v>
          </cell>
        </row>
        <row r="2244">
          <cell r="I2244">
            <v>80.0249</v>
          </cell>
          <cell r="J2244">
            <v>7.01817</v>
          </cell>
        </row>
        <row r="2244">
          <cell r="AA2244" t="str">
            <v>2T2R</v>
          </cell>
        </row>
        <row r="2245">
          <cell r="E2245" t="str">
            <v>GMWEL2</v>
          </cell>
        </row>
        <row r="2245">
          <cell r="G2245" t="str">
            <v>GMWEL2G</v>
          </cell>
        </row>
        <row r="2245">
          <cell r="I2245">
            <v>80.0249</v>
          </cell>
          <cell r="J2245">
            <v>7.01817</v>
          </cell>
        </row>
        <row r="2245">
          <cell r="AA2245" t="str">
            <v>2T2R</v>
          </cell>
        </row>
        <row r="2246">
          <cell r="E2246" t="str">
            <v>GMWEL2</v>
          </cell>
        </row>
        <row r="2246">
          <cell r="G2246" t="str">
            <v>GMWEL2-M-L85-C1</v>
          </cell>
        </row>
        <row r="2246">
          <cell r="I2246">
            <v>80.0249</v>
          </cell>
          <cell r="J2246">
            <v>7.01817</v>
          </cell>
        </row>
        <row r="2246">
          <cell r="AA2246" t="str">
            <v>2T2R</v>
          </cell>
        </row>
        <row r="2247">
          <cell r="E2247" t="str">
            <v>GMWEL2</v>
          </cell>
        </row>
        <row r="2247">
          <cell r="G2247" t="str">
            <v>GMWEL2-M-L85-B1</v>
          </cell>
        </row>
        <row r="2247">
          <cell r="I2247">
            <v>80.0249</v>
          </cell>
          <cell r="J2247">
            <v>7.01817</v>
          </cell>
        </row>
        <row r="2247">
          <cell r="AA2247" t="str">
            <v>2T2R</v>
          </cell>
        </row>
        <row r="2248">
          <cell r="E2248" t="str">
            <v>GMWEL2</v>
          </cell>
        </row>
        <row r="2248">
          <cell r="G2248" t="str">
            <v>GMWEL2-M-L85-A1</v>
          </cell>
        </row>
        <row r="2248">
          <cell r="I2248">
            <v>80.0249</v>
          </cell>
          <cell r="J2248">
            <v>7.01817</v>
          </cell>
        </row>
        <row r="2248">
          <cell r="AA2248" t="str">
            <v>2T2R</v>
          </cell>
        </row>
        <row r="2249">
          <cell r="E2249" t="str">
            <v>GMWEL1</v>
          </cell>
        </row>
        <row r="2249">
          <cell r="G2249" t="str">
            <v>GMWEL1-M-L85-C1</v>
          </cell>
        </row>
        <row r="2249">
          <cell r="I2249">
            <v>80.0276</v>
          </cell>
          <cell r="J2249">
            <v>7.03258</v>
          </cell>
        </row>
        <row r="2249">
          <cell r="AA2249" t="str">
            <v>2T2R</v>
          </cell>
        </row>
        <row r="2250">
          <cell r="E2250" t="str">
            <v>GMWEL1</v>
          </cell>
        </row>
        <row r="2250">
          <cell r="G2250" t="str">
            <v>GMWEL1-M-L85-B1</v>
          </cell>
        </row>
        <row r="2250">
          <cell r="I2250">
            <v>80.0276</v>
          </cell>
          <cell r="J2250">
            <v>7.03258</v>
          </cell>
        </row>
        <row r="2250">
          <cell r="AA2250" t="str">
            <v>2T2R</v>
          </cell>
        </row>
        <row r="2251">
          <cell r="E2251" t="str">
            <v>GMWEL1</v>
          </cell>
        </row>
        <row r="2251">
          <cell r="G2251" t="str">
            <v>GMWEL1-M-L85-A1</v>
          </cell>
        </row>
        <row r="2251">
          <cell r="I2251">
            <v>80.0276</v>
          </cell>
          <cell r="J2251">
            <v>7.03258</v>
          </cell>
        </row>
        <row r="2251">
          <cell r="AA2251" t="str">
            <v>2T2R</v>
          </cell>
        </row>
        <row r="2252">
          <cell r="E2252" t="str">
            <v>GMWEL1</v>
          </cell>
        </row>
        <row r="2252">
          <cell r="G2252" t="str">
            <v>GMWEL1F</v>
          </cell>
        </row>
        <row r="2252">
          <cell r="I2252">
            <v>80.0276</v>
          </cell>
          <cell r="J2252">
            <v>7.03258</v>
          </cell>
        </row>
        <row r="2252">
          <cell r="AA2252" t="str">
            <v>2T2R</v>
          </cell>
        </row>
        <row r="2253">
          <cell r="E2253" t="str">
            <v>GMWEL1</v>
          </cell>
        </row>
        <row r="2253">
          <cell r="G2253" t="str">
            <v>GMWEL1I</v>
          </cell>
        </row>
        <row r="2253">
          <cell r="I2253">
            <v>80.0276</v>
          </cell>
          <cell r="J2253">
            <v>7.03258</v>
          </cell>
        </row>
        <row r="2253">
          <cell r="AA2253" t="str">
            <v>4T4R</v>
          </cell>
        </row>
        <row r="2254">
          <cell r="E2254" t="str">
            <v>GMWEL1</v>
          </cell>
        </row>
        <row r="2254">
          <cell r="G2254" t="str">
            <v>GMWEL1H</v>
          </cell>
        </row>
        <row r="2254">
          <cell r="I2254">
            <v>80.0276</v>
          </cell>
          <cell r="J2254">
            <v>7.03258</v>
          </cell>
        </row>
        <row r="2254">
          <cell r="AA2254" t="str">
            <v>4T4R</v>
          </cell>
        </row>
        <row r="2255">
          <cell r="E2255" t="str">
            <v>GMWEL1</v>
          </cell>
        </row>
        <row r="2255">
          <cell r="G2255" t="str">
            <v>GMWEL1G</v>
          </cell>
        </row>
        <row r="2255">
          <cell r="I2255">
            <v>80.0276</v>
          </cell>
          <cell r="J2255">
            <v>7.03258</v>
          </cell>
        </row>
        <row r="2255">
          <cell r="AA2255" t="str">
            <v>4T4R</v>
          </cell>
        </row>
        <row r="2256">
          <cell r="E2256" t="str">
            <v>GMYAK4</v>
          </cell>
        </row>
        <row r="2256">
          <cell r="G2256" t="str">
            <v>GMYAK4I</v>
          </cell>
        </row>
        <row r="2256">
          <cell r="I2256">
            <v>80.0278</v>
          </cell>
          <cell r="J2256">
            <v>7.08969</v>
          </cell>
        </row>
        <row r="2256">
          <cell r="AA2256" t="str">
            <v>2T2R</v>
          </cell>
        </row>
        <row r="2257">
          <cell r="E2257" t="str">
            <v>GMYAK4</v>
          </cell>
        </row>
        <row r="2257">
          <cell r="G2257" t="str">
            <v>GMYAK4H</v>
          </cell>
        </row>
        <row r="2257">
          <cell r="I2257">
            <v>80.0278</v>
          </cell>
          <cell r="J2257">
            <v>7.08969</v>
          </cell>
        </row>
        <row r="2257">
          <cell r="AA2257" t="str">
            <v>2T2R</v>
          </cell>
        </row>
        <row r="2258">
          <cell r="E2258" t="str">
            <v>GMYAK4</v>
          </cell>
        </row>
        <row r="2258">
          <cell r="G2258" t="str">
            <v>GMYAK4G</v>
          </cell>
        </row>
        <row r="2258">
          <cell r="I2258">
            <v>80.0278</v>
          </cell>
          <cell r="J2258">
            <v>7.08969</v>
          </cell>
        </row>
        <row r="2258">
          <cell r="AA2258" t="str">
            <v>2T2R</v>
          </cell>
        </row>
        <row r="2259">
          <cell r="E2259" t="str">
            <v>GMMEL1</v>
          </cell>
        </row>
        <row r="2259">
          <cell r="G2259" t="str">
            <v>GMMEL1-M-L21-C2</v>
          </cell>
        </row>
        <row r="2259">
          <cell r="I2259">
            <v>80.029</v>
          </cell>
          <cell r="J2259">
            <v>7.301</v>
          </cell>
        </row>
        <row r="2259">
          <cell r="AA2259" t="str">
            <v>2T2R</v>
          </cell>
        </row>
        <row r="2260">
          <cell r="E2260" t="str">
            <v>GMMEL1</v>
          </cell>
        </row>
        <row r="2260">
          <cell r="G2260" t="str">
            <v>GMMEL1-M-L21-B2</v>
          </cell>
        </row>
        <row r="2260">
          <cell r="I2260">
            <v>80.029</v>
          </cell>
          <cell r="J2260">
            <v>7.301</v>
          </cell>
        </row>
        <row r="2260">
          <cell r="AA2260" t="str">
            <v>2T2R</v>
          </cell>
        </row>
        <row r="2261">
          <cell r="E2261" t="str">
            <v>GMMEL1</v>
          </cell>
        </row>
        <row r="2261">
          <cell r="G2261" t="str">
            <v>GMMEL1-M-L21-A2</v>
          </cell>
        </row>
        <row r="2261">
          <cell r="I2261">
            <v>80.029</v>
          </cell>
          <cell r="J2261">
            <v>7.301</v>
          </cell>
        </row>
        <row r="2261">
          <cell r="AA2261" t="str">
            <v>2T2R</v>
          </cell>
        </row>
        <row r="2262">
          <cell r="E2262" t="str">
            <v>GMKNG1</v>
          </cell>
        </row>
        <row r="2262">
          <cell r="G2262" t="str">
            <v>GMKNG1-M-L21-C2</v>
          </cell>
        </row>
        <row r="2262">
          <cell r="I2262">
            <v>80.0294</v>
          </cell>
          <cell r="J2262">
            <v>7.0555</v>
          </cell>
        </row>
        <row r="2262">
          <cell r="AA2262" t="str">
            <v>2T2R</v>
          </cell>
        </row>
        <row r="2263">
          <cell r="E2263" t="str">
            <v>GMKNG1</v>
          </cell>
        </row>
        <row r="2263">
          <cell r="G2263" t="str">
            <v>GMKNG1-M-L21-B2</v>
          </cell>
        </row>
        <row r="2263">
          <cell r="I2263">
            <v>80.0294</v>
          </cell>
          <cell r="J2263">
            <v>7.0555</v>
          </cell>
        </row>
        <row r="2263">
          <cell r="AA2263" t="str">
            <v>2T2R</v>
          </cell>
        </row>
        <row r="2264">
          <cell r="E2264" t="str">
            <v>GMKNG1</v>
          </cell>
        </row>
        <row r="2264">
          <cell r="G2264" t="str">
            <v>GMKNG1-M-L21-A2</v>
          </cell>
        </row>
        <row r="2264">
          <cell r="I2264">
            <v>80.0294</v>
          </cell>
          <cell r="J2264">
            <v>7.0555</v>
          </cell>
        </row>
        <row r="2264">
          <cell r="AA2264" t="str">
            <v>2T2R</v>
          </cell>
        </row>
        <row r="2265">
          <cell r="E2265" t="str">
            <v>GMKBG1</v>
          </cell>
        </row>
        <row r="2265">
          <cell r="G2265" t="str">
            <v>GMKBG1-M-L85-C1</v>
          </cell>
        </row>
        <row r="2265">
          <cell r="I2265">
            <v>80.031389</v>
          </cell>
          <cell r="J2265">
            <v>7.070833</v>
          </cell>
        </row>
        <row r="2265">
          <cell r="AA2265" t="str">
            <v>2T2R</v>
          </cell>
        </row>
        <row r="2266">
          <cell r="E2266" t="str">
            <v>GMKBG1</v>
          </cell>
        </row>
        <row r="2266">
          <cell r="G2266" t="str">
            <v>GMKBG1-M-L85-B1</v>
          </cell>
        </row>
        <row r="2266">
          <cell r="I2266">
            <v>80.031389</v>
          </cell>
          <cell r="J2266">
            <v>7.070833</v>
          </cell>
        </row>
        <row r="2266">
          <cell r="AA2266" t="str">
            <v>2T2R</v>
          </cell>
        </row>
        <row r="2267">
          <cell r="E2267" t="str">
            <v>GMKBG1</v>
          </cell>
        </row>
        <row r="2267">
          <cell r="G2267" t="str">
            <v>GMKBG1-M-L85-A1</v>
          </cell>
        </row>
        <row r="2267">
          <cell r="I2267">
            <v>80.031389</v>
          </cell>
          <cell r="J2267">
            <v>7.070833</v>
          </cell>
        </row>
        <row r="2267">
          <cell r="AA2267" t="str">
            <v>2T2R</v>
          </cell>
        </row>
        <row r="2268">
          <cell r="E2268" t="str">
            <v>GMKBG1</v>
          </cell>
        </row>
        <row r="2268">
          <cell r="G2268" t="str">
            <v>GMKBG1I</v>
          </cell>
        </row>
        <row r="2268">
          <cell r="I2268">
            <v>80.031389</v>
          </cell>
          <cell r="J2268">
            <v>7.070833</v>
          </cell>
        </row>
        <row r="2268">
          <cell r="AA2268" t="str">
            <v>4T4R</v>
          </cell>
        </row>
        <row r="2269">
          <cell r="E2269" t="str">
            <v>GMKBG1</v>
          </cell>
        </row>
        <row r="2269">
          <cell r="G2269" t="str">
            <v>GMKBG1H</v>
          </cell>
        </row>
        <row r="2269">
          <cell r="I2269">
            <v>80.031389</v>
          </cell>
          <cell r="J2269">
            <v>7.070833</v>
          </cell>
        </row>
        <row r="2269">
          <cell r="AA2269" t="str">
            <v>4T4R</v>
          </cell>
        </row>
        <row r="2270">
          <cell r="E2270" t="str">
            <v>GMKBG1</v>
          </cell>
        </row>
        <row r="2270">
          <cell r="G2270" t="str">
            <v>GMKBG1G</v>
          </cell>
        </row>
        <row r="2270">
          <cell r="I2270">
            <v>80.031389</v>
          </cell>
          <cell r="J2270">
            <v>7.070833</v>
          </cell>
        </row>
        <row r="2270">
          <cell r="AA2270" t="str">
            <v>4T4R</v>
          </cell>
        </row>
        <row r="2271">
          <cell r="E2271" t="str">
            <v>GMNAI1</v>
          </cell>
        </row>
        <row r="2271">
          <cell r="G2271" t="str">
            <v>GMNAI1G</v>
          </cell>
        </row>
        <row r="2271">
          <cell r="I2271">
            <v>80.0314</v>
          </cell>
          <cell r="J2271">
            <v>7.15812</v>
          </cell>
        </row>
        <row r="2271">
          <cell r="AA2271" t="str">
            <v>4T4R</v>
          </cell>
        </row>
        <row r="2272">
          <cell r="E2272" t="str">
            <v>GMNAI1</v>
          </cell>
        </row>
        <row r="2272">
          <cell r="G2272" t="str">
            <v>GMNAI1I</v>
          </cell>
        </row>
        <row r="2272">
          <cell r="I2272">
            <v>80.0314</v>
          </cell>
          <cell r="J2272">
            <v>7.15812</v>
          </cell>
        </row>
        <row r="2272">
          <cell r="AA2272" t="str">
            <v>2T2R</v>
          </cell>
        </row>
        <row r="2273">
          <cell r="E2273" t="str">
            <v>GMNAI1</v>
          </cell>
        </row>
        <row r="2273">
          <cell r="G2273" t="str">
            <v>GMNAI1H</v>
          </cell>
        </row>
        <row r="2273">
          <cell r="I2273">
            <v>80.0314</v>
          </cell>
          <cell r="J2273">
            <v>7.15812</v>
          </cell>
        </row>
        <row r="2273">
          <cell r="AA2273" t="str">
            <v>2T2R</v>
          </cell>
        </row>
        <row r="2274">
          <cell r="E2274" t="str">
            <v>GMNAI1</v>
          </cell>
        </row>
        <row r="2274">
          <cell r="G2274" t="str">
            <v>GMNAI1-M-L85-C1</v>
          </cell>
        </row>
        <row r="2274">
          <cell r="I2274">
            <v>80.0314</v>
          </cell>
          <cell r="J2274">
            <v>7.15812</v>
          </cell>
        </row>
        <row r="2274">
          <cell r="AA2274" t="str">
            <v>2T2R</v>
          </cell>
        </row>
        <row r="2275">
          <cell r="E2275" t="str">
            <v>GMNAI1</v>
          </cell>
        </row>
        <row r="2275">
          <cell r="G2275" t="str">
            <v>GMNAI1-M-L85-B1</v>
          </cell>
        </row>
        <row r="2275">
          <cell r="I2275">
            <v>80.0314</v>
          </cell>
          <cell r="J2275">
            <v>7.15812</v>
          </cell>
        </row>
        <row r="2275">
          <cell r="AA2275" t="str">
            <v>2T2R</v>
          </cell>
        </row>
        <row r="2276">
          <cell r="E2276" t="str">
            <v>GMNAI1</v>
          </cell>
        </row>
        <row r="2276">
          <cell r="G2276" t="str">
            <v>GMNAI1-M-L85-A1</v>
          </cell>
        </row>
        <row r="2276">
          <cell r="I2276">
            <v>80.0314</v>
          </cell>
          <cell r="J2276">
            <v>7.15812</v>
          </cell>
        </row>
        <row r="2276">
          <cell r="AA2276" t="str">
            <v>2T2R</v>
          </cell>
        </row>
        <row r="2277">
          <cell r="E2277" t="str">
            <v>GMNAI1</v>
          </cell>
        </row>
        <row r="2277">
          <cell r="G2277" t="str">
            <v>GMNAI1-M-L21-C2</v>
          </cell>
        </row>
        <row r="2277">
          <cell r="I2277">
            <v>80.0314</v>
          </cell>
          <cell r="J2277">
            <v>7.15812</v>
          </cell>
        </row>
        <row r="2277">
          <cell r="AA2277" t="str">
            <v>2T2R</v>
          </cell>
        </row>
        <row r="2278">
          <cell r="E2278" t="str">
            <v>GMNAI1</v>
          </cell>
        </row>
        <row r="2278">
          <cell r="G2278" t="str">
            <v>GMNAI1-M-L21-B2</v>
          </cell>
        </row>
        <row r="2278">
          <cell r="I2278">
            <v>80.0314</v>
          </cell>
          <cell r="J2278">
            <v>7.15812</v>
          </cell>
        </row>
        <row r="2278">
          <cell r="AA2278" t="str">
            <v>2T2R</v>
          </cell>
        </row>
        <row r="2279">
          <cell r="E2279" t="str">
            <v>GMNAI1</v>
          </cell>
        </row>
        <row r="2279">
          <cell r="G2279" t="str">
            <v>GMNAI1-M-L21-A2</v>
          </cell>
        </row>
        <row r="2279">
          <cell r="I2279">
            <v>80.0314</v>
          </cell>
          <cell r="J2279">
            <v>7.15812</v>
          </cell>
        </row>
        <row r="2279">
          <cell r="AA2279" t="str">
            <v>2T2R</v>
          </cell>
        </row>
        <row r="2280">
          <cell r="E2280" t="str">
            <v>ZBIY11</v>
          </cell>
        </row>
        <row r="2280">
          <cell r="G2280" t="str">
            <v>ZBIY11F</v>
          </cell>
        </row>
        <row r="2280">
          <cell r="I2280">
            <v>80.0327</v>
          </cell>
          <cell r="J2280">
            <v>6.98025</v>
          </cell>
        </row>
        <row r="2280">
          <cell r="AA2280" t="str">
            <v>2T2R</v>
          </cell>
        </row>
        <row r="2281">
          <cell r="E2281" t="str">
            <v>ZBIY11</v>
          </cell>
        </row>
        <row r="2281">
          <cell r="G2281" t="str">
            <v>ZBIY11-M-L18-D1</v>
          </cell>
        </row>
        <row r="2281">
          <cell r="I2281">
            <v>80.0327</v>
          </cell>
          <cell r="J2281">
            <v>6.98025</v>
          </cell>
        </row>
        <row r="2281">
          <cell r="AA2281" t="str">
            <v>2T2R</v>
          </cell>
        </row>
        <row r="2282">
          <cell r="E2282" t="str">
            <v>ZBIY11</v>
          </cell>
        </row>
        <row r="2282">
          <cell r="G2282" t="str">
            <v>ZBIY11-M-L21-C2</v>
          </cell>
        </row>
        <row r="2282">
          <cell r="I2282">
            <v>80.0327</v>
          </cell>
          <cell r="J2282">
            <v>6.98025</v>
          </cell>
        </row>
        <row r="2282">
          <cell r="AA2282" t="str">
            <v>4T4R</v>
          </cell>
        </row>
        <row r="2283">
          <cell r="E2283" t="str">
            <v>ZBIY11</v>
          </cell>
        </row>
        <row r="2283">
          <cell r="G2283" t="str">
            <v>ZBIY11-M-L21-B2</v>
          </cell>
        </row>
        <row r="2283">
          <cell r="I2283">
            <v>80.0327</v>
          </cell>
          <cell r="J2283">
            <v>6.98025</v>
          </cell>
        </row>
        <row r="2283">
          <cell r="AA2283" t="str">
            <v>2T2R</v>
          </cell>
        </row>
        <row r="2284">
          <cell r="E2284" t="str">
            <v>ZBIY11</v>
          </cell>
        </row>
        <row r="2284">
          <cell r="G2284" t="str">
            <v>ZBIY11-M-L21-A2</v>
          </cell>
        </row>
        <row r="2284">
          <cell r="I2284">
            <v>80.0327</v>
          </cell>
          <cell r="J2284">
            <v>6.98025</v>
          </cell>
        </row>
        <row r="2284">
          <cell r="AA2284" t="str">
            <v>2T2R</v>
          </cell>
        </row>
        <row r="2285">
          <cell r="E2285" t="str">
            <v>ZBIY11</v>
          </cell>
        </row>
        <row r="2285">
          <cell r="G2285" t="str">
            <v>ZBIY11I</v>
          </cell>
        </row>
        <row r="2285">
          <cell r="I2285">
            <v>80.0327</v>
          </cell>
          <cell r="J2285">
            <v>6.98025</v>
          </cell>
        </row>
        <row r="2285">
          <cell r="AA2285" t="str">
            <v>4T4R</v>
          </cell>
        </row>
        <row r="2286">
          <cell r="E2286" t="str">
            <v>ZBIY11</v>
          </cell>
        </row>
        <row r="2286">
          <cell r="G2286" t="str">
            <v>ZBIY11H</v>
          </cell>
        </row>
        <row r="2286">
          <cell r="I2286">
            <v>80.0327</v>
          </cell>
          <cell r="J2286">
            <v>6.98025</v>
          </cell>
        </row>
        <row r="2286">
          <cell r="AA2286" t="str">
            <v>4T4R</v>
          </cell>
        </row>
        <row r="2287">
          <cell r="E2287" t="str">
            <v>ZBIY11</v>
          </cell>
        </row>
        <row r="2287">
          <cell r="G2287" t="str">
            <v>ZBIY11G</v>
          </cell>
        </row>
        <row r="2287">
          <cell r="I2287">
            <v>80.0327</v>
          </cell>
          <cell r="J2287">
            <v>6.98025</v>
          </cell>
        </row>
        <row r="2287">
          <cell r="AA2287" t="str">
            <v>2T2R</v>
          </cell>
        </row>
        <row r="2288">
          <cell r="E2288" t="str">
            <v>ZBIY11</v>
          </cell>
        </row>
        <row r="2288">
          <cell r="G2288" t="str">
            <v>ZBIY11-M-L85-C1</v>
          </cell>
        </row>
        <row r="2288">
          <cell r="I2288">
            <v>80.0327</v>
          </cell>
          <cell r="J2288">
            <v>6.98025</v>
          </cell>
        </row>
        <row r="2288">
          <cell r="AA2288" t="str">
            <v>2T2R</v>
          </cell>
        </row>
        <row r="2289">
          <cell r="E2289" t="str">
            <v>ZBIY11</v>
          </cell>
        </row>
        <row r="2289">
          <cell r="G2289" t="str">
            <v>ZBIY11-M-L85-B1</v>
          </cell>
        </row>
        <row r="2289">
          <cell r="I2289">
            <v>80.0327</v>
          </cell>
          <cell r="J2289">
            <v>6.98025</v>
          </cell>
        </row>
        <row r="2289">
          <cell r="AA2289" t="str">
            <v>2T2R</v>
          </cell>
        </row>
        <row r="2290">
          <cell r="E2290" t="str">
            <v>ZBIY11</v>
          </cell>
        </row>
        <row r="2290">
          <cell r="G2290" t="str">
            <v>ZBIY11-M-L85-A1</v>
          </cell>
        </row>
        <row r="2290">
          <cell r="I2290">
            <v>80.0327</v>
          </cell>
          <cell r="J2290">
            <v>6.98025</v>
          </cell>
        </row>
        <row r="2290">
          <cell r="AA2290" t="str">
            <v>2T2R</v>
          </cell>
        </row>
        <row r="2291">
          <cell r="E2291" t="str">
            <v>GMYAK5</v>
          </cell>
        </row>
        <row r="2291">
          <cell r="G2291" t="str">
            <v>GMYAK5-M-L18-I1</v>
          </cell>
        </row>
        <row r="2291">
          <cell r="I2291">
            <v>80.0328</v>
          </cell>
          <cell r="J2291">
            <v>7.09042</v>
          </cell>
        </row>
        <row r="2291">
          <cell r="AA2291" t="str">
            <v>2T2R</v>
          </cell>
        </row>
        <row r="2292">
          <cell r="E2292" t="str">
            <v>GMYAK5</v>
          </cell>
        </row>
        <row r="2292">
          <cell r="G2292" t="str">
            <v>GMYAK5I</v>
          </cell>
        </row>
        <row r="2292">
          <cell r="I2292">
            <v>80.0328</v>
          </cell>
          <cell r="J2292">
            <v>7.09042</v>
          </cell>
        </row>
        <row r="2292">
          <cell r="AA2292" t="str">
            <v>2T2R</v>
          </cell>
        </row>
        <row r="2293">
          <cell r="E2293" t="str">
            <v>GMYAK5</v>
          </cell>
        </row>
        <row r="2293">
          <cell r="G2293" t="str">
            <v>GMYAK5H</v>
          </cell>
        </row>
        <row r="2293">
          <cell r="I2293">
            <v>80.0328</v>
          </cell>
          <cell r="J2293">
            <v>7.09042</v>
          </cell>
        </row>
        <row r="2293">
          <cell r="AA2293" t="str">
            <v>2T2R</v>
          </cell>
        </row>
        <row r="2294">
          <cell r="E2294" t="str">
            <v>GMYAK5</v>
          </cell>
        </row>
        <row r="2294">
          <cell r="G2294" t="str">
            <v>GMYAK5G</v>
          </cell>
        </row>
        <row r="2294">
          <cell r="I2294">
            <v>80.0328</v>
          </cell>
          <cell r="J2294">
            <v>7.09042</v>
          </cell>
        </row>
        <row r="2294">
          <cell r="AA2294" t="str">
            <v>2T2R</v>
          </cell>
        </row>
        <row r="2295">
          <cell r="E2295" t="str">
            <v>GMYAK5</v>
          </cell>
        </row>
        <row r="2295">
          <cell r="G2295" t="str">
            <v>GMYAK5-M-L85-C1</v>
          </cell>
        </row>
        <row r="2295">
          <cell r="I2295">
            <v>80.0328</v>
          </cell>
          <cell r="J2295">
            <v>7.09042</v>
          </cell>
        </row>
        <row r="2295">
          <cell r="AA2295" t="str">
            <v>2T2R</v>
          </cell>
        </row>
        <row r="2296">
          <cell r="E2296" t="str">
            <v>GMYAK5</v>
          </cell>
        </row>
        <row r="2296">
          <cell r="G2296" t="str">
            <v>GMYAK5-M-L85-B1</v>
          </cell>
        </row>
        <row r="2296">
          <cell r="I2296">
            <v>80.0328</v>
          </cell>
          <cell r="J2296">
            <v>7.09042</v>
          </cell>
        </row>
        <row r="2296">
          <cell r="AA2296" t="str">
            <v>2T2R</v>
          </cell>
        </row>
        <row r="2297">
          <cell r="E2297" t="str">
            <v>GMYAK5</v>
          </cell>
        </row>
        <row r="2297">
          <cell r="G2297" t="str">
            <v>GMYAK5-M-L85-A1</v>
          </cell>
        </row>
        <row r="2297">
          <cell r="I2297">
            <v>80.0328</v>
          </cell>
          <cell r="J2297">
            <v>7.09042</v>
          </cell>
        </row>
        <row r="2297">
          <cell r="AA2297" t="str">
            <v>2T2R</v>
          </cell>
        </row>
        <row r="2298">
          <cell r="E2298" t="str">
            <v>GMYAK2</v>
          </cell>
        </row>
        <row r="2298">
          <cell r="G2298" t="str">
            <v>GMYAK2I</v>
          </cell>
        </row>
        <row r="2298">
          <cell r="I2298">
            <v>80.0335</v>
          </cell>
          <cell r="J2298">
            <v>7.08623</v>
          </cell>
        </row>
        <row r="2298">
          <cell r="AA2298" t="str">
            <v>4T4R</v>
          </cell>
        </row>
        <row r="2299">
          <cell r="E2299" t="str">
            <v>GMYAK2</v>
          </cell>
        </row>
        <row r="2299">
          <cell r="G2299" t="str">
            <v>GMYAK2H</v>
          </cell>
        </row>
        <row r="2299">
          <cell r="I2299">
            <v>80.0335</v>
          </cell>
          <cell r="J2299">
            <v>7.08623</v>
          </cell>
        </row>
        <row r="2299">
          <cell r="AA2299" t="str">
            <v>4T4R</v>
          </cell>
        </row>
        <row r="2300">
          <cell r="E2300" t="str">
            <v>GMYAK2</v>
          </cell>
        </row>
        <row r="2300">
          <cell r="G2300" t="str">
            <v>GMYAK2G</v>
          </cell>
        </row>
        <row r="2300">
          <cell r="I2300">
            <v>80.0335</v>
          </cell>
          <cell r="J2300">
            <v>7.08623</v>
          </cell>
        </row>
        <row r="2300">
          <cell r="AA2300" t="str">
            <v>4T4R</v>
          </cell>
        </row>
        <row r="2301">
          <cell r="E2301" t="str">
            <v>GMYAK2</v>
          </cell>
        </row>
        <row r="2301">
          <cell r="G2301" t="str">
            <v>GMYAK2-M-L23-C1</v>
          </cell>
        </row>
        <row r="2301">
          <cell r="I2301">
            <v>80.0335</v>
          </cell>
          <cell r="J2301">
            <v>7.08623</v>
          </cell>
        </row>
        <row r="2301">
          <cell r="AA2301" t="str">
            <v>2T2R</v>
          </cell>
        </row>
        <row r="2302">
          <cell r="E2302" t="str">
            <v>GMYAK2</v>
          </cell>
        </row>
        <row r="2302">
          <cell r="G2302" t="str">
            <v>GMYAK2-M-L23-B1</v>
          </cell>
        </row>
        <row r="2302">
          <cell r="I2302">
            <v>80.0335</v>
          </cell>
          <cell r="J2302">
            <v>7.08623</v>
          </cell>
        </row>
        <row r="2302">
          <cell r="AA2302" t="str">
            <v>2T2R</v>
          </cell>
        </row>
        <row r="2303">
          <cell r="E2303" t="str">
            <v>GMYAK2</v>
          </cell>
        </row>
        <row r="2303">
          <cell r="G2303" t="str">
            <v>GMYAK2-M-L23-A1</v>
          </cell>
        </row>
        <row r="2303">
          <cell r="I2303">
            <v>80.0335</v>
          </cell>
          <cell r="J2303">
            <v>7.08623</v>
          </cell>
        </row>
        <row r="2303">
          <cell r="AA2303" t="str">
            <v>2T2R</v>
          </cell>
        </row>
        <row r="2304">
          <cell r="E2304" t="str">
            <v>ZDOM13</v>
          </cell>
        </row>
        <row r="2304">
          <cell r="G2304" t="str">
            <v>ZDOM13H</v>
          </cell>
        </row>
        <row r="2304">
          <cell r="I2304">
            <v>80.0356</v>
          </cell>
          <cell r="J2304">
            <v>6.96404</v>
          </cell>
        </row>
        <row r="2304">
          <cell r="AA2304" t="str">
            <v>4T4R</v>
          </cell>
        </row>
        <row r="2305">
          <cell r="E2305" t="str">
            <v>ZDOM13</v>
          </cell>
        </row>
        <row r="2305">
          <cell r="G2305" t="str">
            <v>ZDOM13G</v>
          </cell>
        </row>
        <row r="2305">
          <cell r="I2305">
            <v>80.0356</v>
          </cell>
          <cell r="J2305">
            <v>6.96404</v>
          </cell>
        </row>
        <row r="2305">
          <cell r="AA2305" t="str">
            <v>4T4R</v>
          </cell>
        </row>
        <row r="2306">
          <cell r="E2306" t="str">
            <v>ZDOM13</v>
          </cell>
        </row>
        <row r="2306">
          <cell r="G2306" t="str">
            <v>ZDOM13I</v>
          </cell>
        </row>
        <row r="2306">
          <cell r="I2306">
            <v>80.0356</v>
          </cell>
          <cell r="J2306">
            <v>6.96404</v>
          </cell>
        </row>
        <row r="2306">
          <cell r="AA2306" t="str">
            <v>4T4R</v>
          </cell>
        </row>
        <row r="2307">
          <cell r="E2307" t="str">
            <v>ZDOM13</v>
          </cell>
        </row>
        <row r="2307">
          <cell r="G2307" t="str">
            <v>ZDOM13-M-L85-C1</v>
          </cell>
        </row>
        <row r="2307">
          <cell r="I2307">
            <v>80.0356</v>
          </cell>
          <cell r="J2307">
            <v>6.96404</v>
          </cell>
        </row>
        <row r="2307">
          <cell r="AA2307" t="str">
            <v>2T2R</v>
          </cell>
        </row>
        <row r="2308">
          <cell r="E2308" t="str">
            <v>ZDOM13</v>
          </cell>
        </row>
        <row r="2308">
          <cell r="G2308" t="str">
            <v>ZDOM13-M-L85-B1</v>
          </cell>
        </row>
        <row r="2308">
          <cell r="I2308">
            <v>80.0356</v>
          </cell>
          <cell r="J2308">
            <v>6.96404</v>
          </cell>
        </row>
        <row r="2308">
          <cell r="AA2308" t="str">
            <v>2T2R</v>
          </cell>
        </row>
        <row r="2309">
          <cell r="E2309" t="str">
            <v>ZDOM13</v>
          </cell>
        </row>
        <row r="2309">
          <cell r="G2309" t="str">
            <v>ZDOM13-M-L85-A1</v>
          </cell>
        </row>
        <row r="2309">
          <cell r="I2309">
            <v>80.0356</v>
          </cell>
          <cell r="J2309">
            <v>6.96404</v>
          </cell>
        </row>
        <row r="2309">
          <cell r="AA2309" t="str">
            <v>2T2R</v>
          </cell>
        </row>
        <row r="2310">
          <cell r="E2310" t="str">
            <v>ZDOM13</v>
          </cell>
        </row>
        <row r="2310">
          <cell r="G2310" t="str">
            <v>ZDOM13-M-L21-C2</v>
          </cell>
        </row>
        <row r="2310">
          <cell r="I2310">
            <v>80.0356</v>
          </cell>
          <cell r="J2310">
            <v>6.96404</v>
          </cell>
        </row>
        <row r="2310">
          <cell r="AA2310" t="str">
            <v>2T2R</v>
          </cell>
        </row>
        <row r="2311">
          <cell r="E2311" t="str">
            <v>ZDOM13</v>
          </cell>
        </row>
        <row r="2311">
          <cell r="G2311" t="str">
            <v>ZDOM13-M-L21-B2</v>
          </cell>
        </row>
        <row r="2311">
          <cell r="I2311">
            <v>80.0356</v>
          </cell>
          <cell r="J2311">
            <v>6.96404</v>
          </cell>
        </row>
        <row r="2311">
          <cell r="AA2311" t="str">
            <v>4T4R</v>
          </cell>
        </row>
        <row r="2312">
          <cell r="E2312" t="str">
            <v>ZDOM13</v>
          </cell>
        </row>
        <row r="2312">
          <cell r="G2312" t="str">
            <v>ZDOM13-M-L21-A2</v>
          </cell>
        </row>
        <row r="2312">
          <cell r="I2312">
            <v>80.0356</v>
          </cell>
          <cell r="J2312">
            <v>6.96404</v>
          </cell>
        </row>
        <row r="2312">
          <cell r="AA2312" t="str">
            <v>2T2R</v>
          </cell>
        </row>
        <row r="2313">
          <cell r="E2313" t="str">
            <v>ZDOM13</v>
          </cell>
        </row>
        <row r="2313">
          <cell r="G2313" t="str">
            <v>ZDOM13-M-L18-B1</v>
          </cell>
        </row>
        <row r="2313">
          <cell r="I2313">
            <v>80.0356</v>
          </cell>
          <cell r="J2313">
            <v>6.96404</v>
          </cell>
        </row>
        <row r="2313">
          <cell r="AA2313" t="str">
            <v>2T2R</v>
          </cell>
        </row>
        <row r="2314">
          <cell r="E2314" t="str">
            <v>ZDOM13</v>
          </cell>
        </row>
        <row r="2314">
          <cell r="G2314" t="str">
            <v>ZDOM13-M-L18-H1</v>
          </cell>
        </row>
        <row r="2314">
          <cell r="I2314">
            <v>80.0356</v>
          </cell>
          <cell r="J2314">
            <v>6.96404</v>
          </cell>
        </row>
        <row r="2314">
          <cell r="AA2314" t="str">
            <v>4T4R</v>
          </cell>
        </row>
        <row r="2315">
          <cell r="E2315" t="str">
            <v>ZDOM13</v>
          </cell>
        </row>
        <row r="2315">
          <cell r="G2315" t="str">
            <v>ZDOM13-M-L21-B1</v>
          </cell>
        </row>
        <row r="2315">
          <cell r="I2315">
            <v>80.0356</v>
          </cell>
          <cell r="J2315">
            <v>6.96404</v>
          </cell>
        </row>
        <row r="2315">
          <cell r="AA2315" t="str">
            <v>4T4R</v>
          </cell>
        </row>
        <row r="2316">
          <cell r="E2316" t="str">
            <v>GMWEL3</v>
          </cell>
        </row>
        <row r="2316">
          <cell r="G2316" t="str">
            <v>GMWEL3-M-L21-B2</v>
          </cell>
        </row>
        <row r="2316">
          <cell r="I2316">
            <v>80.0367</v>
          </cell>
          <cell r="J2316">
            <v>7.04775</v>
          </cell>
        </row>
        <row r="2316">
          <cell r="AA2316" t="str">
            <v>2T2R</v>
          </cell>
        </row>
        <row r="2317">
          <cell r="E2317" t="str">
            <v>GMWEL3</v>
          </cell>
        </row>
        <row r="2317">
          <cell r="G2317" t="str">
            <v>GMWEL3I</v>
          </cell>
        </row>
        <row r="2317">
          <cell r="I2317">
            <v>80.0367</v>
          </cell>
          <cell r="J2317">
            <v>7.04775</v>
          </cell>
        </row>
        <row r="2317">
          <cell r="AA2317" t="str">
            <v>2T2R</v>
          </cell>
        </row>
        <row r="2318">
          <cell r="E2318" t="str">
            <v>GMWEL3</v>
          </cell>
        </row>
        <row r="2318">
          <cell r="G2318" t="str">
            <v>GMWEL3H</v>
          </cell>
        </row>
        <row r="2318">
          <cell r="I2318">
            <v>80.0367</v>
          </cell>
          <cell r="J2318">
            <v>7.04775</v>
          </cell>
        </row>
        <row r="2318">
          <cell r="AA2318" t="str">
            <v>2T2R</v>
          </cell>
        </row>
        <row r="2319">
          <cell r="E2319" t="str">
            <v>GMWEL3</v>
          </cell>
        </row>
        <row r="2319">
          <cell r="G2319" t="str">
            <v>GMWEL3G</v>
          </cell>
        </row>
        <row r="2319">
          <cell r="I2319">
            <v>80.0367</v>
          </cell>
          <cell r="J2319">
            <v>7.04775</v>
          </cell>
        </row>
        <row r="2319">
          <cell r="AA2319" t="str">
            <v>2T2R</v>
          </cell>
        </row>
        <row r="2320">
          <cell r="E2320" t="str">
            <v>GMWEL3</v>
          </cell>
        </row>
        <row r="2320">
          <cell r="G2320" t="str">
            <v>GMWEL3-M-L85-C1</v>
          </cell>
        </row>
        <row r="2320">
          <cell r="I2320">
            <v>80.0367</v>
          </cell>
          <cell r="J2320">
            <v>7.04775</v>
          </cell>
        </row>
        <row r="2320">
          <cell r="AA2320" t="str">
            <v>2T2R</v>
          </cell>
        </row>
        <row r="2321">
          <cell r="E2321" t="str">
            <v>GMWEL3</v>
          </cell>
        </row>
        <row r="2321">
          <cell r="G2321" t="str">
            <v>GMWEL3-M-L85-B1</v>
          </cell>
        </row>
        <row r="2321">
          <cell r="I2321">
            <v>80.0367</v>
          </cell>
          <cell r="J2321">
            <v>7.04775</v>
          </cell>
        </row>
        <row r="2321">
          <cell r="AA2321" t="str">
            <v>2T2R</v>
          </cell>
        </row>
        <row r="2322">
          <cell r="E2322" t="str">
            <v>GMWEL3</v>
          </cell>
        </row>
        <row r="2322">
          <cell r="G2322" t="str">
            <v>GMWEL3-M-L85-A1</v>
          </cell>
        </row>
        <row r="2322">
          <cell r="I2322">
            <v>80.0367</v>
          </cell>
          <cell r="J2322">
            <v>7.04775</v>
          </cell>
        </row>
        <row r="2322">
          <cell r="AA2322" t="str">
            <v>2T2R</v>
          </cell>
        </row>
        <row r="2323">
          <cell r="E2323" t="str">
            <v>GMMED1</v>
          </cell>
        </row>
        <row r="2323">
          <cell r="G2323" t="str">
            <v>GMMED1I</v>
          </cell>
        </row>
        <row r="2323">
          <cell r="I2323">
            <v>80.0374</v>
          </cell>
          <cell r="J2323">
            <v>7.19528</v>
          </cell>
        </row>
        <row r="2323">
          <cell r="AA2323" t="str">
            <v>2T2R</v>
          </cell>
        </row>
        <row r="2324">
          <cell r="E2324" t="str">
            <v>GMMED1</v>
          </cell>
        </row>
        <row r="2324">
          <cell r="G2324" t="str">
            <v>GMMED1H</v>
          </cell>
        </row>
        <row r="2324">
          <cell r="I2324">
            <v>80.0374</v>
          </cell>
          <cell r="J2324">
            <v>7.19528</v>
          </cell>
        </row>
        <row r="2324">
          <cell r="AA2324" t="str">
            <v>2T2R</v>
          </cell>
        </row>
        <row r="2325">
          <cell r="E2325" t="str">
            <v>GMMED1</v>
          </cell>
        </row>
        <row r="2325">
          <cell r="G2325" t="str">
            <v>GMMED1G</v>
          </cell>
        </row>
        <row r="2325">
          <cell r="I2325">
            <v>80.0374</v>
          </cell>
          <cell r="J2325">
            <v>7.19528</v>
          </cell>
        </row>
        <row r="2325">
          <cell r="AA2325" t="str">
            <v>2T2R</v>
          </cell>
        </row>
        <row r="2326">
          <cell r="E2326" t="str">
            <v>GMMED1</v>
          </cell>
        </row>
        <row r="2326">
          <cell r="G2326" t="str">
            <v>GMMED1-M-L21-B2</v>
          </cell>
        </row>
        <row r="2326">
          <cell r="I2326">
            <v>80.0374</v>
          </cell>
          <cell r="J2326">
            <v>7.19528</v>
          </cell>
        </row>
        <row r="2326">
          <cell r="AA2326" t="str">
            <v>2T2R</v>
          </cell>
        </row>
        <row r="2327">
          <cell r="E2327" t="str">
            <v>GMMED1</v>
          </cell>
        </row>
        <row r="2327">
          <cell r="G2327" t="str">
            <v>GMMED1-M-L85-C1</v>
          </cell>
        </row>
        <row r="2327">
          <cell r="I2327">
            <v>80.0374</v>
          </cell>
          <cell r="J2327">
            <v>7.19528</v>
          </cell>
        </row>
        <row r="2327">
          <cell r="AA2327" t="str">
            <v>2T2R</v>
          </cell>
        </row>
        <row r="2328">
          <cell r="E2328" t="str">
            <v>GMMED1</v>
          </cell>
        </row>
        <row r="2328">
          <cell r="G2328" t="str">
            <v>GMMED1-M-L85-B1</v>
          </cell>
        </row>
        <row r="2328">
          <cell r="I2328">
            <v>80.0374</v>
          </cell>
          <cell r="J2328">
            <v>7.19528</v>
          </cell>
        </row>
        <row r="2328">
          <cell r="AA2328" t="str">
            <v>2T2R</v>
          </cell>
        </row>
        <row r="2329">
          <cell r="E2329" t="str">
            <v>GMMED1</v>
          </cell>
        </row>
        <row r="2329">
          <cell r="G2329" t="str">
            <v>GMMED1-M-L85-A1</v>
          </cell>
        </row>
        <row r="2329">
          <cell r="I2329">
            <v>80.0374</v>
          </cell>
          <cell r="J2329">
            <v>7.19528</v>
          </cell>
        </row>
        <row r="2329">
          <cell r="AA2329" t="str">
            <v>2T2R</v>
          </cell>
        </row>
        <row r="2330">
          <cell r="E2330" t="str">
            <v>GMWEL4</v>
          </cell>
        </row>
        <row r="2330">
          <cell r="G2330" t="str">
            <v>GMWEL4-M-L85-C1</v>
          </cell>
        </row>
        <row r="2330">
          <cell r="I2330">
            <v>80.0395</v>
          </cell>
          <cell r="J2330">
            <v>7.01494</v>
          </cell>
        </row>
        <row r="2330">
          <cell r="AA2330" t="str">
            <v>2T2R</v>
          </cell>
        </row>
        <row r="2331">
          <cell r="E2331" t="str">
            <v>GMWEL4</v>
          </cell>
        </row>
        <row r="2331">
          <cell r="G2331" t="str">
            <v>GMWEL4-M-L85-B1</v>
          </cell>
        </row>
        <row r="2331">
          <cell r="I2331">
            <v>80.0395</v>
          </cell>
          <cell r="J2331">
            <v>7.01494</v>
          </cell>
        </row>
        <row r="2331">
          <cell r="AA2331" t="str">
            <v>2T2R</v>
          </cell>
        </row>
        <row r="2332">
          <cell r="E2332" t="str">
            <v>GMWEL4</v>
          </cell>
        </row>
        <row r="2332">
          <cell r="G2332" t="str">
            <v>GMWEL4-M-L85-A1</v>
          </cell>
        </row>
        <row r="2332">
          <cell r="I2332">
            <v>80.0395</v>
          </cell>
          <cell r="J2332">
            <v>7.01494</v>
          </cell>
        </row>
        <row r="2332">
          <cell r="AA2332" t="str">
            <v>2T2R</v>
          </cell>
        </row>
        <row r="2333">
          <cell r="E2333" t="str">
            <v>GMWEL4</v>
          </cell>
        </row>
        <row r="2333">
          <cell r="G2333" t="str">
            <v>GMWEL4-M-L18-H1</v>
          </cell>
        </row>
        <row r="2333">
          <cell r="I2333">
            <v>80.0395</v>
          </cell>
          <cell r="J2333">
            <v>7.01494</v>
          </cell>
        </row>
        <row r="2333">
          <cell r="AA2333" t="str">
            <v>2T2R</v>
          </cell>
        </row>
        <row r="2334">
          <cell r="E2334" t="str">
            <v>GMWEL4</v>
          </cell>
        </row>
        <row r="2334">
          <cell r="G2334" t="str">
            <v>GMWEL4I</v>
          </cell>
        </row>
        <row r="2334">
          <cell r="I2334">
            <v>80.0395</v>
          </cell>
          <cell r="J2334">
            <v>7.01494</v>
          </cell>
        </row>
        <row r="2334">
          <cell r="AA2334" t="str">
            <v>2T2R</v>
          </cell>
        </row>
        <row r="2335">
          <cell r="E2335" t="str">
            <v>GMWEL4</v>
          </cell>
        </row>
        <row r="2335">
          <cell r="G2335" t="str">
            <v>GMWEL4H</v>
          </cell>
        </row>
        <row r="2335">
          <cell r="I2335">
            <v>80.0395</v>
          </cell>
          <cell r="J2335">
            <v>7.01494</v>
          </cell>
        </row>
        <row r="2335">
          <cell r="AA2335" t="str">
            <v>2T2R</v>
          </cell>
        </row>
        <row r="2336">
          <cell r="E2336" t="str">
            <v>GMWEL4</v>
          </cell>
        </row>
        <row r="2336">
          <cell r="G2336" t="str">
            <v>GMWEL4G</v>
          </cell>
        </row>
        <row r="2336">
          <cell r="I2336">
            <v>80.0395</v>
          </cell>
          <cell r="J2336">
            <v>7.01494</v>
          </cell>
        </row>
        <row r="2336">
          <cell r="AA2336" t="str">
            <v>2T2R</v>
          </cell>
        </row>
        <row r="2337">
          <cell r="E2337" t="str">
            <v>GMMAG1</v>
          </cell>
        </row>
        <row r="2337">
          <cell r="G2337" t="str">
            <v>GMMAG1I</v>
          </cell>
        </row>
        <row r="2337">
          <cell r="I2337">
            <v>80.04</v>
          </cell>
          <cell r="J2337">
            <v>7.13739</v>
          </cell>
        </row>
        <row r="2337">
          <cell r="AA2337" t="str">
            <v>4T4R</v>
          </cell>
        </row>
        <row r="2338">
          <cell r="E2338" t="str">
            <v>GMMAG1</v>
          </cell>
        </row>
        <row r="2338">
          <cell r="G2338" t="str">
            <v>GMMAG1H</v>
          </cell>
        </row>
        <row r="2338">
          <cell r="I2338">
            <v>80.04</v>
          </cell>
          <cell r="J2338">
            <v>7.13739</v>
          </cell>
        </row>
        <row r="2338">
          <cell r="AA2338" t="str">
            <v>4T4R</v>
          </cell>
        </row>
        <row r="2339">
          <cell r="E2339" t="str">
            <v>GMMAG1</v>
          </cell>
        </row>
        <row r="2339">
          <cell r="G2339" t="str">
            <v>GMMAG1G</v>
          </cell>
        </row>
        <row r="2339">
          <cell r="I2339">
            <v>80.04</v>
          </cell>
          <cell r="J2339">
            <v>7.13739</v>
          </cell>
        </row>
        <row r="2339">
          <cell r="AA2339" t="str">
            <v>2T2R</v>
          </cell>
        </row>
        <row r="2340">
          <cell r="E2340" t="str">
            <v>GMMAG1</v>
          </cell>
        </row>
        <row r="2340">
          <cell r="G2340" t="str">
            <v>GMMAG1F</v>
          </cell>
        </row>
        <row r="2340">
          <cell r="I2340">
            <v>80.04</v>
          </cell>
          <cell r="J2340">
            <v>7.13739</v>
          </cell>
        </row>
        <row r="2340">
          <cell r="AA2340" t="str">
            <v>2T2R</v>
          </cell>
        </row>
        <row r="2341">
          <cell r="E2341" t="str">
            <v>GMMAG1</v>
          </cell>
        </row>
        <row r="2341">
          <cell r="G2341" t="str">
            <v>GMMAG1-M-L85-C1</v>
          </cell>
        </row>
        <row r="2341">
          <cell r="I2341">
            <v>80.04</v>
          </cell>
          <cell r="J2341">
            <v>7.13739</v>
          </cell>
        </row>
        <row r="2341">
          <cell r="AA2341" t="str">
            <v>2T2R</v>
          </cell>
        </row>
        <row r="2342">
          <cell r="E2342" t="str">
            <v>GMMAG1</v>
          </cell>
        </row>
        <row r="2342">
          <cell r="G2342" t="str">
            <v>GMMAG1-M-L85-B1</v>
          </cell>
        </row>
        <row r="2342">
          <cell r="I2342">
            <v>80.04</v>
          </cell>
          <cell r="J2342">
            <v>7.13739</v>
          </cell>
        </row>
        <row r="2342">
          <cell r="AA2342" t="str">
            <v>2T2R</v>
          </cell>
        </row>
        <row r="2343">
          <cell r="E2343" t="str">
            <v>GMMAG1</v>
          </cell>
        </row>
        <row r="2343">
          <cell r="G2343" t="str">
            <v>GMMAG1-M-L85-A1</v>
          </cell>
        </row>
        <row r="2343">
          <cell r="I2343">
            <v>80.04</v>
          </cell>
          <cell r="J2343">
            <v>7.13739</v>
          </cell>
        </row>
        <row r="2343">
          <cell r="AA2343" t="str">
            <v>2T2R</v>
          </cell>
        </row>
        <row r="2344">
          <cell r="E2344" t="str">
            <v>GMMAG1</v>
          </cell>
        </row>
        <row r="2344">
          <cell r="G2344" t="str">
            <v>GMMAG1-M-L21-C2</v>
          </cell>
        </row>
        <row r="2344">
          <cell r="I2344">
            <v>80.04</v>
          </cell>
          <cell r="J2344">
            <v>7.13739</v>
          </cell>
        </row>
        <row r="2344">
          <cell r="AA2344" t="str">
            <v>2T2R</v>
          </cell>
        </row>
        <row r="2345">
          <cell r="E2345" t="str">
            <v>GMMAG1</v>
          </cell>
        </row>
        <row r="2345">
          <cell r="G2345" t="str">
            <v>GMMAG1-M-L21-B2</v>
          </cell>
        </row>
        <row r="2345">
          <cell r="I2345">
            <v>80.04</v>
          </cell>
          <cell r="J2345">
            <v>7.13739</v>
          </cell>
        </row>
        <row r="2345">
          <cell r="AA2345" t="str">
            <v>2T2R</v>
          </cell>
        </row>
        <row r="2346">
          <cell r="E2346" t="str">
            <v>GMMAG1</v>
          </cell>
        </row>
        <row r="2346">
          <cell r="G2346" t="str">
            <v>GMMAG1-M-L21-A2</v>
          </cell>
        </row>
        <row r="2346">
          <cell r="I2346">
            <v>80.04</v>
          </cell>
          <cell r="J2346">
            <v>7.13739</v>
          </cell>
        </row>
        <row r="2346">
          <cell r="AA2346" t="str">
            <v>2T2R</v>
          </cell>
        </row>
        <row r="2347">
          <cell r="E2347" t="str">
            <v>GMMAG1</v>
          </cell>
        </row>
        <row r="2347">
          <cell r="G2347" t="str">
            <v>GMMAG1-M-L18-F1</v>
          </cell>
        </row>
        <row r="2347">
          <cell r="I2347">
            <v>80.04</v>
          </cell>
          <cell r="J2347">
            <v>7.13739</v>
          </cell>
        </row>
        <row r="2347">
          <cell r="AA2347" t="str">
            <v>2T2R</v>
          </cell>
        </row>
        <row r="2348">
          <cell r="E2348" t="str">
            <v>GMMAG1</v>
          </cell>
        </row>
        <row r="2348">
          <cell r="G2348" t="str">
            <v>GMMAG1-M-L21-D2</v>
          </cell>
        </row>
        <row r="2348">
          <cell r="I2348">
            <v>80.04</v>
          </cell>
          <cell r="J2348">
            <v>7.13739</v>
          </cell>
        </row>
        <row r="2348">
          <cell r="AA2348" t="str">
            <v>2T2R</v>
          </cell>
        </row>
        <row r="2349">
          <cell r="E2349" t="str">
            <v>GMAHU1</v>
          </cell>
        </row>
        <row r="2349">
          <cell r="G2349" t="str">
            <v>GMAHU1I</v>
          </cell>
        </row>
        <row r="2349">
          <cell r="I2349">
            <v>80.0411</v>
          </cell>
          <cell r="J2349">
            <v>6.98956</v>
          </cell>
        </row>
        <row r="2349">
          <cell r="AA2349" t="str">
            <v>2T2R</v>
          </cell>
        </row>
        <row r="2350">
          <cell r="E2350" t="str">
            <v>GMAHU1</v>
          </cell>
        </row>
        <row r="2350">
          <cell r="G2350" t="str">
            <v>GMAHU1H</v>
          </cell>
        </row>
        <row r="2350">
          <cell r="I2350">
            <v>80.0411</v>
          </cell>
          <cell r="J2350">
            <v>6.98956</v>
          </cell>
        </row>
        <row r="2350">
          <cell r="AA2350" t="str">
            <v>2T2R</v>
          </cell>
        </row>
        <row r="2351">
          <cell r="E2351" t="str">
            <v>GMAHU1</v>
          </cell>
        </row>
        <row r="2351">
          <cell r="G2351" t="str">
            <v>GMAHU1G</v>
          </cell>
        </row>
        <row r="2351">
          <cell r="I2351">
            <v>80.0411</v>
          </cell>
          <cell r="J2351">
            <v>6.98956</v>
          </cell>
        </row>
        <row r="2351">
          <cell r="AA2351" t="str">
            <v>2T2R</v>
          </cell>
        </row>
        <row r="2352">
          <cell r="E2352" t="str">
            <v>GMWAL1</v>
          </cell>
        </row>
        <row r="2352">
          <cell r="G2352" t="str">
            <v>GMWAL1-M-L21-C2</v>
          </cell>
        </row>
        <row r="2352">
          <cell r="I2352">
            <v>80.0424</v>
          </cell>
          <cell r="J2352">
            <v>7.25565</v>
          </cell>
        </row>
        <row r="2352">
          <cell r="AA2352" t="str">
            <v>2T2R</v>
          </cell>
        </row>
        <row r="2353">
          <cell r="E2353" t="str">
            <v>GMWAL1</v>
          </cell>
        </row>
        <row r="2353">
          <cell r="G2353" t="str">
            <v>GMWAL1-M-L21-B2</v>
          </cell>
        </row>
        <row r="2353">
          <cell r="I2353">
            <v>80.0424</v>
          </cell>
          <cell r="J2353">
            <v>7.25565</v>
          </cell>
        </row>
        <row r="2353">
          <cell r="AA2353" t="str">
            <v>2T2R</v>
          </cell>
        </row>
        <row r="2354">
          <cell r="E2354" t="str">
            <v>GMWAL1</v>
          </cell>
        </row>
        <row r="2354">
          <cell r="G2354" t="str">
            <v>GMWAL1-M-L21-A2</v>
          </cell>
        </row>
        <row r="2354">
          <cell r="I2354">
            <v>80.0424</v>
          </cell>
          <cell r="J2354">
            <v>7.25565</v>
          </cell>
        </row>
        <row r="2354">
          <cell r="AA2354" t="str">
            <v>2T2R</v>
          </cell>
        </row>
        <row r="2355">
          <cell r="E2355" t="str">
            <v>GMWAL1</v>
          </cell>
        </row>
        <row r="2355">
          <cell r="G2355" t="str">
            <v>GMWAL1-M-L21-D2</v>
          </cell>
        </row>
        <row r="2355">
          <cell r="I2355">
            <v>80.0424</v>
          </cell>
          <cell r="J2355">
            <v>7.25565</v>
          </cell>
        </row>
        <row r="2355">
          <cell r="AA2355" t="str">
            <v>2T2R</v>
          </cell>
        </row>
        <row r="2356">
          <cell r="E2356" t="str">
            <v>GMWAL1</v>
          </cell>
        </row>
        <row r="2356">
          <cell r="G2356" t="str">
            <v>GMWAL1F</v>
          </cell>
        </row>
        <row r="2356">
          <cell r="I2356">
            <v>80.0424</v>
          </cell>
          <cell r="J2356">
            <v>7.25565</v>
          </cell>
        </row>
        <row r="2356">
          <cell r="AA2356" t="str">
            <v>2T2R</v>
          </cell>
        </row>
        <row r="2357">
          <cell r="E2357" t="str">
            <v>GMWAL1</v>
          </cell>
        </row>
        <row r="2357">
          <cell r="G2357" t="str">
            <v>GMWAL1-M-L85-D1</v>
          </cell>
        </row>
        <row r="2357">
          <cell r="I2357">
            <v>80.0424</v>
          </cell>
          <cell r="J2357">
            <v>7.25565</v>
          </cell>
        </row>
        <row r="2357">
          <cell r="AA2357" t="str">
            <v>2T2R</v>
          </cell>
        </row>
        <row r="2358">
          <cell r="E2358" t="str">
            <v>GMWAL1</v>
          </cell>
        </row>
        <row r="2358">
          <cell r="G2358" t="str">
            <v>GMWAL1-M-L85-C1</v>
          </cell>
        </row>
        <row r="2358">
          <cell r="I2358">
            <v>80.0424</v>
          </cell>
          <cell r="J2358">
            <v>7.25565</v>
          </cell>
        </row>
        <row r="2358">
          <cell r="AA2358" t="str">
            <v>2T2R</v>
          </cell>
        </row>
        <row r="2359">
          <cell r="E2359" t="str">
            <v>GMWAL1</v>
          </cell>
        </row>
        <row r="2359">
          <cell r="G2359" t="str">
            <v>GMWAL1-M-L85-B1</v>
          </cell>
        </row>
        <row r="2359">
          <cell r="I2359">
            <v>80.0424</v>
          </cell>
          <cell r="J2359">
            <v>7.25565</v>
          </cell>
        </row>
        <row r="2359">
          <cell r="AA2359" t="str">
            <v>2T2R</v>
          </cell>
        </row>
        <row r="2360">
          <cell r="E2360" t="str">
            <v>GMWAL1</v>
          </cell>
        </row>
        <row r="2360">
          <cell r="G2360" t="str">
            <v>GMWAL1-M-L85-A1</v>
          </cell>
        </row>
        <row r="2360">
          <cell r="I2360">
            <v>80.0424</v>
          </cell>
          <cell r="J2360">
            <v>7.25565</v>
          </cell>
        </row>
        <row r="2360">
          <cell r="AA2360" t="str">
            <v>2T2R</v>
          </cell>
        </row>
        <row r="2361">
          <cell r="E2361" t="str">
            <v>ZDOM09</v>
          </cell>
        </row>
        <row r="2361">
          <cell r="G2361" t="str">
            <v>ZDOM09I</v>
          </cell>
        </row>
        <row r="2361">
          <cell r="I2361">
            <v>80.0428</v>
          </cell>
          <cell r="J2361">
            <v>6.92641</v>
          </cell>
        </row>
        <row r="2361">
          <cell r="AA2361" t="str">
            <v>2T2R</v>
          </cell>
        </row>
        <row r="2362">
          <cell r="E2362" t="str">
            <v>ZDOM09</v>
          </cell>
        </row>
        <row r="2362">
          <cell r="G2362" t="str">
            <v>ZDOM09H</v>
          </cell>
        </row>
        <row r="2362">
          <cell r="I2362">
            <v>80.0428</v>
          </cell>
          <cell r="J2362">
            <v>6.92641</v>
          </cell>
        </row>
        <row r="2362">
          <cell r="AA2362" t="str">
            <v>2T2R</v>
          </cell>
        </row>
        <row r="2363">
          <cell r="E2363" t="str">
            <v>ZDOM09</v>
          </cell>
        </row>
        <row r="2363">
          <cell r="G2363" t="str">
            <v>ZDOM09G</v>
          </cell>
        </row>
        <row r="2363">
          <cell r="I2363">
            <v>80.0428</v>
          </cell>
          <cell r="J2363">
            <v>6.92641</v>
          </cell>
        </row>
        <row r="2363">
          <cell r="AA2363" t="str">
            <v>2T2R</v>
          </cell>
        </row>
        <row r="2364">
          <cell r="E2364" t="str">
            <v>ZDOM09</v>
          </cell>
        </row>
        <row r="2364">
          <cell r="G2364" t="str">
            <v>ZDOM09-M-L85-C1</v>
          </cell>
        </row>
        <row r="2364">
          <cell r="I2364">
            <v>80.0428</v>
          </cell>
          <cell r="J2364">
            <v>6.92641</v>
          </cell>
        </row>
        <row r="2364">
          <cell r="AA2364" t="str">
            <v>2T2R</v>
          </cell>
        </row>
        <row r="2365">
          <cell r="E2365" t="str">
            <v>ZDOM09</v>
          </cell>
        </row>
        <row r="2365">
          <cell r="G2365" t="str">
            <v>ZDOM09-M-L85-B1</v>
          </cell>
        </row>
        <row r="2365">
          <cell r="I2365">
            <v>80.0428</v>
          </cell>
          <cell r="J2365">
            <v>6.92641</v>
          </cell>
        </row>
        <row r="2365">
          <cell r="AA2365" t="str">
            <v>2T2R</v>
          </cell>
        </row>
        <row r="2366">
          <cell r="E2366" t="str">
            <v>ZDOM09</v>
          </cell>
        </row>
        <row r="2366">
          <cell r="G2366" t="str">
            <v>ZDOM09-M-L85-A1</v>
          </cell>
        </row>
        <row r="2366">
          <cell r="I2366">
            <v>80.0428</v>
          </cell>
          <cell r="J2366">
            <v>6.92641</v>
          </cell>
        </row>
        <row r="2366">
          <cell r="AA2366" t="str">
            <v>2T2R</v>
          </cell>
        </row>
        <row r="2367">
          <cell r="E2367" t="str">
            <v>GMHNG1</v>
          </cell>
        </row>
        <row r="2367">
          <cell r="G2367" t="str">
            <v>GMHNG1I</v>
          </cell>
        </row>
        <row r="2367">
          <cell r="I2367">
            <v>80.0438</v>
          </cell>
          <cell r="J2367">
            <v>7.2397</v>
          </cell>
        </row>
        <row r="2367">
          <cell r="AA2367" t="str">
            <v>4T4R</v>
          </cell>
        </row>
        <row r="2368">
          <cell r="E2368" t="str">
            <v>GMHNG1</v>
          </cell>
        </row>
        <row r="2368">
          <cell r="G2368" t="str">
            <v>GMHNG1H</v>
          </cell>
        </row>
        <row r="2368">
          <cell r="I2368">
            <v>80.0438</v>
          </cell>
          <cell r="J2368">
            <v>7.2397</v>
          </cell>
        </row>
        <row r="2368">
          <cell r="AA2368" t="str">
            <v>4T4R</v>
          </cell>
        </row>
        <row r="2369">
          <cell r="E2369" t="str">
            <v>GMHNG1</v>
          </cell>
        </row>
        <row r="2369">
          <cell r="G2369" t="str">
            <v>GMHNG1G</v>
          </cell>
        </row>
        <row r="2369">
          <cell r="I2369">
            <v>80.0438</v>
          </cell>
          <cell r="J2369">
            <v>7.2397</v>
          </cell>
        </row>
        <row r="2369">
          <cell r="AA2369" t="str">
            <v>4T4R</v>
          </cell>
        </row>
        <row r="2370">
          <cell r="E2370" t="str">
            <v>GMALG1</v>
          </cell>
        </row>
        <row r="2370">
          <cell r="G2370" t="str">
            <v>GMALG1I</v>
          </cell>
        </row>
        <row r="2370">
          <cell r="I2370">
            <v>80.0449</v>
          </cell>
          <cell r="J2370">
            <v>7.10846</v>
          </cell>
        </row>
        <row r="2370">
          <cell r="AA2370" t="str">
            <v>2T2R</v>
          </cell>
        </row>
        <row r="2371">
          <cell r="E2371" t="str">
            <v>GMALG1</v>
          </cell>
        </row>
        <row r="2371">
          <cell r="G2371" t="str">
            <v>GMALG1H</v>
          </cell>
        </row>
        <row r="2371">
          <cell r="I2371">
            <v>80.0449</v>
          </cell>
          <cell r="J2371">
            <v>7.10846</v>
          </cell>
        </row>
        <row r="2371">
          <cell r="AA2371" t="str">
            <v>2T2R</v>
          </cell>
        </row>
        <row r="2372">
          <cell r="E2372" t="str">
            <v>GMALG1</v>
          </cell>
        </row>
        <row r="2372">
          <cell r="G2372" t="str">
            <v>GMALG1G</v>
          </cell>
        </row>
        <row r="2372">
          <cell r="I2372">
            <v>80.0449</v>
          </cell>
          <cell r="J2372">
            <v>7.10846</v>
          </cell>
        </row>
        <row r="2372">
          <cell r="AA2372" t="str">
            <v>4T4R</v>
          </cell>
        </row>
        <row r="2373">
          <cell r="E2373" t="str">
            <v>GMALG1</v>
          </cell>
        </row>
        <row r="2373">
          <cell r="G2373" t="str">
            <v>GMALG1-M-L85-C1</v>
          </cell>
        </row>
        <row r="2373">
          <cell r="I2373">
            <v>80.0449</v>
          </cell>
          <cell r="J2373">
            <v>7.10846</v>
          </cell>
        </row>
        <row r="2373">
          <cell r="AA2373" t="str">
            <v>2T2R</v>
          </cell>
        </row>
        <row r="2374">
          <cell r="E2374" t="str">
            <v>GMALG1</v>
          </cell>
        </row>
        <row r="2374">
          <cell r="G2374" t="str">
            <v>GMALG1-M-L85-B1</v>
          </cell>
        </row>
        <row r="2374">
          <cell r="I2374">
            <v>80.0449</v>
          </cell>
          <cell r="J2374">
            <v>7.10846</v>
          </cell>
        </row>
        <row r="2374">
          <cell r="AA2374" t="str">
            <v>2T2R</v>
          </cell>
        </row>
        <row r="2375">
          <cell r="E2375" t="str">
            <v>GMALG1</v>
          </cell>
        </row>
        <row r="2375">
          <cell r="G2375" t="str">
            <v>GMALG1-M-L85-A1</v>
          </cell>
        </row>
        <row r="2375">
          <cell r="I2375">
            <v>80.0449</v>
          </cell>
          <cell r="J2375">
            <v>7.10846</v>
          </cell>
        </row>
        <row r="2375">
          <cell r="AA2375" t="str">
            <v>2T2R</v>
          </cell>
        </row>
        <row r="2376">
          <cell r="E2376" t="str">
            <v>GMALG1</v>
          </cell>
        </row>
        <row r="2376">
          <cell r="G2376" t="str">
            <v>GMALG1-M-L21-C2</v>
          </cell>
        </row>
        <row r="2376">
          <cell r="I2376">
            <v>80.0449</v>
          </cell>
          <cell r="J2376">
            <v>7.10846</v>
          </cell>
        </row>
        <row r="2376">
          <cell r="AA2376" t="str">
            <v>2T2R</v>
          </cell>
        </row>
        <row r="2377">
          <cell r="E2377" t="str">
            <v>GMALG1</v>
          </cell>
        </row>
        <row r="2377">
          <cell r="G2377" t="str">
            <v>GMALG1-M-L21-B2</v>
          </cell>
        </row>
        <row r="2377">
          <cell r="I2377">
            <v>80.0449</v>
          </cell>
          <cell r="J2377">
            <v>7.10846</v>
          </cell>
        </row>
        <row r="2377">
          <cell r="AA2377" t="str">
            <v>2T2R</v>
          </cell>
        </row>
        <row r="2378">
          <cell r="E2378" t="str">
            <v>GMALG1</v>
          </cell>
        </row>
        <row r="2378">
          <cell r="G2378" t="str">
            <v>GMALG1-M-L21-A2</v>
          </cell>
        </row>
        <row r="2378">
          <cell r="I2378">
            <v>80.0449</v>
          </cell>
          <cell r="J2378">
            <v>7.10846</v>
          </cell>
        </row>
        <row r="2378">
          <cell r="AA2378" t="str">
            <v>4T4R</v>
          </cell>
        </row>
        <row r="2379">
          <cell r="E2379" t="str">
            <v>GMALG1</v>
          </cell>
        </row>
        <row r="2379">
          <cell r="G2379" t="str">
            <v>GMALG1-M-L18-G1</v>
          </cell>
        </row>
        <row r="2379">
          <cell r="I2379">
            <v>80.0449</v>
          </cell>
          <cell r="J2379">
            <v>7.10846</v>
          </cell>
        </row>
        <row r="2379">
          <cell r="AA2379" t="str">
            <v>4T4R</v>
          </cell>
        </row>
        <row r="2380">
          <cell r="E2380" t="str">
            <v>GMALG1</v>
          </cell>
        </row>
        <row r="2380">
          <cell r="G2380" t="str">
            <v>GMALG1-M-L21-A1</v>
          </cell>
        </row>
        <row r="2380">
          <cell r="I2380">
            <v>80.0449</v>
          </cell>
          <cell r="J2380">
            <v>7.10846</v>
          </cell>
        </row>
        <row r="2380">
          <cell r="AA2380" t="str">
            <v>4T4R</v>
          </cell>
        </row>
        <row r="2381">
          <cell r="E2381" t="str">
            <v>GMYAK3</v>
          </cell>
        </row>
        <row r="2381">
          <cell r="G2381" t="str">
            <v>GMYAK3-M-L21-C2</v>
          </cell>
        </row>
        <row r="2381">
          <cell r="I2381">
            <v>80.0461</v>
          </cell>
          <cell r="J2381">
            <v>7.07725</v>
          </cell>
        </row>
        <row r="2381">
          <cell r="AA2381" t="str">
            <v>8T8R</v>
          </cell>
        </row>
        <row r="2382">
          <cell r="E2382" t="str">
            <v>GMYAK3</v>
          </cell>
        </row>
        <row r="2382">
          <cell r="G2382" t="str">
            <v>GMYAK3-M-L18-I1</v>
          </cell>
        </row>
        <row r="2382">
          <cell r="I2382">
            <v>80.0461</v>
          </cell>
          <cell r="J2382">
            <v>7.07725</v>
          </cell>
        </row>
        <row r="2382">
          <cell r="AA2382" t="str">
            <v>8T8R</v>
          </cell>
        </row>
        <row r="2383">
          <cell r="E2383" t="str">
            <v>GMYAK3</v>
          </cell>
        </row>
        <row r="2383">
          <cell r="G2383" t="str">
            <v>GMYAK3-M-L21-B2</v>
          </cell>
        </row>
        <row r="2383">
          <cell r="I2383">
            <v>80.0461</v>
          </cell>
          <cell r="J2383">
            <v>7.07725</v>
          </cell>
        </row>
        <row r="2383">
          <cell r="AA2383" t="str">
            <v>4T4R</v>
          </cell>
        </row>
        <row r="2384">
          <cell r="E2384" t="str">
            <v>GMYAK3</v>
          </cell>
        </row>
        <row r="2384">
          <cell r="G2384" t="str">
            <v>GMYAK3I</v>
          </cell>
        </row>
        <row r="2384">
          <cell r="I2384">
            <v>80.0461</v>
          </cell>
          <cell r="J2384">
            <v>7.07725</v>
          </cell>
        </row>
        <row r="2384">
          <cell r="AA2384" t="str">
            <v>8T8R</v>
          </cell>
        </row>
        <row r="2385">
          <cell r="E2385" t="str">
            <v>GMYAK3</v>
          </cell>
        </row>
        <row r="2385">
          <cell r="G2385" t="str">
            <v>GMYAK3H</v>
          </cell>
        </row>
        <row r="2385">
          <cell r="I2385">
            <v>80.0461</v>
          </cell>
          <cell r="J2385">
            <v>7.07725</v>
          </cell>
        </row>
        <row r="2385">
          <cell r="AA2385" t="str">
            <v>4T4R</v>
          </cell>
        </row>
        <row r="2386">
          <cell r="E2386" t="str">
            <v>GMYAK3</v>
          </cell>
        </row>
        <row r="2386">
          <cell r="G2386" t="str">
            <v>GMYAK3G</v>
          </cell>
        </row>
        <row r="2386">
          <cell r="I2386">
            <v>80.0461</v>
          </cell>
          <cell r="J2386">
            <v>7.07725</v>
          </cell>
        </row>
        <row r="2386">
          <cell r="AA2386" t="str">
            <v>4T4R</v>
          </cell>
        </row>
        <row r="2387">
          <cell r="E2387" t="str">
            <v>GMYAK3</v>
          </cell>
        </row>
        <row r="2387">
          <cell r="G2387" t="str">
            <v>GMYAK3-M-L85-C1</v>
          </cell>
        </row>
        <row r="2387">
          <cell r="I2387">
            <v>80.0461</v>
          </cell>
          <cell r="J2387">
            <v>7.07725</v>
          </cell>
        </row>
        <row r="2387">
          <cell r="AA2387" t="str">
            <v>2T2R</v>
          </cell>
        </row>
        <row r="2388">
          <cell r="E2388" t="str">
            <v>GMYAK3</v>
          </cell>
        </row>
        <row r="2388">
          <cell r="G2388" t="str">
            <v>GMYAK3-M-L85-B1</v>
          </cell>
        </row>
        <row r="2388">
          <cell r="I2388">
            <v>80.0461</v>
          </cell>
          <cell r="J2388">
            <v>7.07725</v>
          </cell>
        </row>
        <row r="2388">
          <cell r="AA2388" t="str">
            <v>2T2R</v>
          </cell>
        </row>
        <row r="2389">
          <cell r="E2389" t="str">
            <v>GMYAK3</v>
          </cell>
        </row>
        <row r="2389">
          <cell r="G2389" t="str">
            <v>GMYAK3-M-L85-A1</v>
          </cell>
        </row>
        <row r="2389">
          <cell r="I2389">
            <v>80.0461</v>
          </cell>
          <cell r="J2389">
            <v>7.07725</v>
          </cell>
        </row>
        <row r="2389">
          <cell r="AA2389" t="str">
            <v>2T2R</v>
          </cell>
        </row>
        <row r="2390">
          <cell r="E2390" t="str">
            <v>GMVEY4</v>
          </cell>
        </row>
        <row r="2390">
          <cell r="G2390" t="str">
            <v>GMVEY4-M-L21-C2</v>
          </cell>
        </row>
        <row r="2390">
          <cell r="I2390">
            <v>80.0477</v>
          </cell>
          <cell r="J2390">
            <v>7.1572</v>
          </cell>
        </row>
        <row r="2390">
          <cell r="AA2390" t="str">
            <v>2T2R</v>
          </cell>
        </row>
        <row r="2391">
          <cell r="E2391" t="str">
            <v>GMVEY4</v>
          </cell>
        </row>
        <row r="2391">
          <cell r="G2391" t="str">
            <v>GMVEY4-M-L21-B2</v>
          </cell>
        </row>
        <row r="2391">
          <cell r="I2391">
            <v>80.0477</v>
          </cell>
          <cell r="J2391">
            <v>7.1572</v>
          </cell>
        </row>
        <row r="2391">
          <cell r="AA2391" t="str">
            <v>2T2R</v>
          </cell>
        </row>
        <row r="2392">
          <cell r="E2392" t="str">
            <v>GMVEY4</v>
          </cell>
        </row>
        <row r="2392">
          <cell r="G2392" t="str">
            <v>GMVEY4-M-L21-A2</v>
          </cell>
        </row>
        <row r="2392">
          <cell r="I2392">
            <v>80.0477</v>
          </cell>
          <cell r="J2392">
            <v>7.1572</v>
          </cell>
        </row>
        <row r="2392">
          <cell r="AA2392" t="str">
            <v>2T2R</v>
          </cell>
        </row>
        <row r="2393">
          <cell r="E2393" t="str">
            <v>GMWEH1</v>
          </cell>
        </row>
        <row r="2393">
          <cell r="G2393" t="str">
            <v>GMWEH1-M-L85-A1</v>
          </cell>
        </row>
        <row r="2393">
          <cell r="I2393">
            <v>80.0487</v>
          </cell>
          <cell r="J2393">
            <v>7.28142</v>
          </cell>
        </row>
        <row r="2393">
          <cell r="AA2393" t="str">
            <v>2T2R</v>
          </cell>
        </row>
        <row r="2394">
          <cell r="E2394" t="str">
            <v>GMWEH1</v>
          </cell>
        </row>
        <row r="2394">
          <cell r="G2394" t="str">
            <v>GMWEH1-M-L85-B1</v>
          </cell>
        </row>
        <row r="2394">
          <cell r="I2394">
            <v>80.0487</v>
          </cell>
          <cell r="J2394">
            <v>7.28142</v>
          </cell>
        </row>
        <row r="2394">
          <cell r="AA2394" t="str">
            <v>2T2R</v>
          </cell>
        </row>
        <row r="2395">
          <cell r="E2395" t="str">
            <v>GMWEH1</v>
          </cell>
        </row>
        <row r="2395">
          <cell r="G2395" t="str">
            <v>GMWEH1-M-L85-C1</v>
          </cell>
        </row>
        <row r="2395">
          <cell r="I2395">
            <v>80.0487</v>
          </cell>
          <cell r="J2395">
            <v>7.28142</v>
          </cell>
        </row>
        <row r="2395">
          <cell r="AA2395" t="str">
            <v>2T2R</v>
          </cell>
        </row>
        <row r="2396">
          <cell r="E2396" t="str">
            <v>GMWEH1</v>
          </cell>
        </row>
        <row r="2396">
          <cell r="G2396" t="str">
            <v>GMWEH1I</v>
          </cell>
        </row>
        <row r="2396">
          <cell r="I2396">
            <v>80.0487</v>
          </cell>
          <cell r="J2396">
            <v>7.28142</v>
          </cell>
        </row>
        <row r="2396">
          <cell r="AA2396" t="str">
            <v>2T2R</v>
          </cell>
        </row>
        <row r="2397">
          <cell r="E2397" t="str">
            <v>GMWEH1</v>
          </cell>
        </row>
        <row r="2397">
          <cell r="G2397" t="str">
            <v>GMWEH1H</v>
          </cell>
        </row>
        <row r="2397">
          <cell r="I2397">
            <v>80.0487</v>
          </cell>
          <cell r="J2397">
            <v>7.28142</v>
          </cell>
        </row>
        <row r="2397">
          <cell r="AA2397" t="str">
            <v>2T2R</v>
          </cell>
        </row>
        <row r="2398">
          <cell r="E2398" t="str">
            <v>GMWEH1</v>
          </cell>
        </row>
        <row r="2398">
          <cell r="G2398" t="str">
            <v>GMWEH1G</v>
          </cell>
        </row>
        <row r="2398">
          <cell r="I2398">
            <v>80.0487</v>
          </cell>
          <cell r="J2398">
            <v>7.28142</v>
          </cell>
        </row>
        <row r="2398">
          <cell r="AA2398" t="str">
            <v>2T2R</v>
          </cell>
        </row>
        <row r="2399">
          <cell r="E2399" t="str">
            <v>ZDOM19</v>
          </cell>
        </row>
        <row r="2399">
          <cell r="G2399" t="str">
            <v>ZDOM19I</v>
          </cell>
        </row>
        <row r="2399">
          <cell r="I2399">
            <v>80.0497</v>
          </cell>
          <cell r="J2399">
            <v>6.97336</v>
          </cell>
        </row>
        <row r="2399">
          <cell r="AA2399" t="str">
            <v>4T4R</v>
          </cell>
        </row>
        <row r="2400">
          <cell r="E2400" t="str">
            <v>ZDOM19</v>
          </cell>
        </row>
        <row r="2400">
          <cell r="G2400" t="str">
            <v>ZDOM19H</v>
          </cell>
        </row>
        <row r="2400">
          <cell r="I2400">
            <v>80.0497</v>
          </cell>
          <cell r="J2400">
            <v>6.97336</v>
          </cell>
        </row>
        <row r="2400">
          <cell r="AA2400" t="str">
            <v>4T4R</v>
          </cell>
        </row>
        <row r="2401">
          <cell r="E2401" t="str">
            <v>ZDOM19</v>
          </cell>
        </row>
        <row r="2401">
          <cell r="G2401" t="str">
            <v>ZDOM19G</v>
          </cell>
        </row>
        <row r="2401">
          <cell r="I2401">
            <v>80.0497</v>
          </cell>
          <cell r="J2401">
            <v>6.97336</v>
          </cell>
        </row>
        <row r="2401">
          <cell r="AA2401" t="str">
            <v>4T4R</v>
          </cell>
        </row>
        <row r="2402">
          <cell r="E2402" t="str">
            <v>GMMOR1</v>
          </cell>
        </row>
        <row r="2402">
          <cell r="G2402" t="str">
            <v>GMMOR1-M-L85-C1</v>
          </cell>
        </row>
        <row r="2402">
          <cell r="I2402">
            <v>80.0498</v>
          </cell>
          <cell r="J2402">
            <v>7.09456</v>
          </cell>
        </row>
        <row r="2402">
          <cell r="AA2402" t="str">
            <v>2T2R</v>
          </cell>
        </row>
        <row r="2403">
          <cell r="E2403" t="str">
            <v>GMMOR1</v>
          </cell>
        </row>
        <row r="2403">
          <cell r="G2403" t="str">
            <v>GMMOR1-M-L85-B1</v>
          </cell>
        </row>
        <row r="2403">
          <cell r="I2403">
            <v>80.0498</v>
          </cell>
          <cell r="J2403">
            <v>7.09456</v>
          </cell>
        </row>
        <row r="2403">
          <cell r="AA2403" t="str">
            <v>2T2R</v>
          </cell>
        </row>
        <row r="2404">
          <cell r="E2404" t="str">
            <v>GMMOR1</v>
          </cell>
        </row>
        <row r="2404">
          <cell r="G2404" t="str">
            <v>GMMOR1-M-L85-A1</v>
          </cell>
        </row>
        <row r="2404">
          <cell r="I2404">
            <v>80.0498</v>
          </cell>
          <cell r="J2404">
            <v>7.09456</v>
          </cell>
        </row>
        <row r="2404">
          <cell r="AA2404" t="str">
            <v>2T2R</v>
          </cell>
        </row>
        <row r="2405">
          <cell r="E2405" t="str">
            <v>GMMOR1</v>
          </cell>
        </row>
        <row r="2405">
          <cell r="G2405" t="str">
            <v>GMMOR1I</v>
          </cell>
        </row>
        <row r="2405">
          <cell r="I2405">
            <v>80.0498</v>
          </cell>
          <cell r="J2405">
            <v>7.09456</v>
          </cell>
        </row>
        <row r="2405">
          <cell r="AA2405" t="str">
            <v>2T2R</v>
          </cell>
        </row>
        <row r="2406">
          <cell r="E2406" t="str">
            <v>GMMOR1</v>
          </cell>
        </row>
        <row r="2406">
          <cell r="G2406" t="str">
            <v>GMMOR1H</v>
          </cell>
        </row>
        <row r="2406">
          <cell r="I2406">
            <v>80.0498</v>
          </cell>
          <cell r="J2406">
            <v>7.09456</v>
          </cell>
        </row>
        <row r="2406">
          <cell r="AA2406" t="str">
            <v>2T2R</v>
          </cell>
        </row>
        <row r="2407">
          <cell r="E2407" t="str">
            <v>GMMOR1</v>
          </cell>
        </row>
        <row r="2407">
          <cell r="G2407" t="str">
            <v>GMMOR1G</v>
          </cell>
        </row>
        <row r="2407">
          <cell r="I2407">
            <v>80.0498</v>
          </cell>
          <cell r="J2407">
            <v>7.09456</v>
          </cell>
        </row>
        <row r="2407">
          <cell r="AA2407" t="str">
            <v>2T2R</v>
          </cell>
        </row>
        <row r="2408">
          <cell r="E2408" t="str">
            <v>GMMOR1</v>
          </cell>
        </row>
        <row r="2408">
          <cell r="G2408" t="str">
            <v>GMMOR1-M-L21-C2</v>
          </cell>
        </row>
        <row r="2408">
          <cell r="I2408">
            <v>80.0498</v>
          </cell>
          <cell r="J2408">
            <v>7.09456</v>
          </cell>
        </row>
        <row r="2408">
          <cell r="AA2408" t="str">
            <v>2T2R</v>
          </cell>
        </row>
        <row r="2409">
          <cell r="E2409" t="str">
            <v>GMMOR1</v>
          </cell>
        </row>
        <row r="2409">
          <cell r="G2409" t="str">
            <v>GMMOR1-M-L21-B2</v>
          </cell>
        </row>
        <row r="2409">
          <cell r="I2409">
            <v>80.0498</v>
          </cell>
          <cell r="J2409">
            <v>7.09456</v>
          </cell>
        </row>
        <row r="2409">
          <cell r="AA2409" t="str">
            <v>2T2R</v>
          </cell>
        </row>
        <row r="2410">
          <cell r="E2410" t="str">
            <v>GMMOR1</v>
          </cell>
        </row>
        <row r="2410">
          <cell r="G2410" t="str">
            <v>GMMOR1-M-L21-A2</v>
          </cell>
        </row>
        <row r="2410">
          <cell r="I2410">
            <v>80.0498</v>
          </cell>
          <cell r="J2410">
            <v>7.09456</v>
          </cell>
        </row>
        <row r="2410">
          <cell r="AA2410" t="str">
            <v>2T2R</v>
          </cell>
        </row>
        <row r="2411">
          <cell r="E2411" t="str">
            <v>GMBUT1</v>
          </cell>
        </row>
        <row r="2411">
          <cell r="G2411" t="str">
            <v>GMBUT1-M-L85-C1</v>
          </cell>
        </row>
        <row r="2411">
          <cell r="I2411">
            <v>80.050833</v>
          </cell>
          <cell r="J2411">
            <v>7.058333</v>
          </cell>
        </row>
        <row r="2411">
          <cell r="AA2411" t="str">
            <v>2T2R</v>
          </cell>
        </row>
        <row r="2412">
          <cell r="E2412" t="str">
            <v>GMBUT1</v>
          </cell>
        </row>
        <row r="2412">
          <cell r="G2412" t="str">
            <v>GMBUT1-M-L85-B1</v>
          </cell>
        </row>
        <row r="2412">
          <cell r="I2412">
            <v>80.050833</v>
          </cell>
          <cell r="J2412">
            <v>7.058333</v>
          </cell>
        </row>
        <row r="2412">
          <cell r="AA2412" t="str">
            <v>2T2R</v>
          </cell>
        </row>
        <row r="2413">
          <cell r="E2413" t="str">
            <v>GMBUT1</v>
          </cell>
        </row>
        <row r="2413">
          <cell r="G2413" t="str">
            <v>GMBUT1-M-L85-A1</v>
          </cell>
        </row>
        <row r="2413">
          <cell r="I2413">
            <v>80.050833</v>
          </cell>
          <cell r="J2413">
            <v>7.058333</v>
          </cell>
        </row>
        <row r="2413">
          <cell r="AA2413" t="str">
            <v>2T2R</v>
          </cell>
        </row>
        <row r="2414">
          <cell r="E2414" t="str">
            <v>GMBUT1</v>
          </cell>
        </row>
        <row r="2414">
          <cell r="G2414" t="str">
            <v>GMBUT1-M-L21-C2</v>
          </cell>
        </row>
        <row r="2414">
          <cell r="I2414">
            <v>80.050833</v>
          </cell>
          <cell r="J2414">
            <v>7.058333</v>
          </cell>
        </row>
        <row r="2414">
          <cell r="AA2414" t="str">
            <v>2T2R</v>
          </cell>
        </row>
        <row r="2415">
          <cell r="E2415" t="str">
            <v>GMBUT1</v>
          </cell>
        </row>
        <row r="2415">
          <cell r="G2415" t="str">
            <v>GMBUT1-M-L21-B2</v>
          </cell>
        </row>
        <row r="2415">
          <cell r="I2415">
            <v>80.050833</v>
          </cell>
          <cell r="J2415">
            <v>7.058333</v>
          </cell>
        </row>
        <row r="2415">
          <cell r="AA2415" t="str">
            <v>2T2R</v>
          </cell>
        </row>
        <row r="2416">
          <cell r="E2416" t="str">
            <v>GMBUT1</v>
          </cell>
        </row>
        <row r="2416">
          <cell r="G2416" t="str">
            <v>GMBUT1-M-L21-A2</v>
          </cell>
        </row>
        <row r="2416">
          <cell r="I2416">
            <v>80.050833</v>
          </cell>
          <cell r="J2416">
            <v>7.058333</v>
          </cell>
        </row>
        <row r="2416">
          <cell r="AA2416" t="str">
            <v>2T2R</v>
          </cell>
        </row>
        <row r="2417">
          <cell r="E2417" t="str">
            <v>GMHEN1</v>
          </cell>
        </row>
        <row r="2417">
          <cell r="G2417" t="str">
            <v>GMHEN1-M-L85-C1</v>
          </cell>
        </row>
        <row r="2417">
          <cell r="I2417">
            <v>80.0513</v>
          </cell>
          <cell r="J2417">
            <v>7.02439</v>
          </cell>
        </row>
        <row r="2417">
          <cell r="AA2417" t="str">
            <v>2T2R</v>
          </cell>
        </row>
        <row r="2418">
          <cell r="E2418" t="str">
            <v>GMHEN1</v>
          </cell>
        </row>
        <row r="2418">
          <cell r="G2418" t="str">
            <v>GMHEN1-M-L85-B1</v>
          </cell>
        </row>
        <row r="2418">
          <cell r="I2418">
            <v>80.0513</v>
          </cell>
          <cell r="J2418">
            <v>7.02439</v>
          </cell>
        </row>
        <row r="2418">
          <cell r="AA2418" t="str">
            <v>2T2R</v>
          </cell>
        </row>
        <row r="2419">
          <cell r="E2419" t="str">
            <v>GMHEN1</v>
          </cell>
        </row>
        <row r="2419">
          <cell r="G2419" t="str">
            <v>GMHEN1-M-L85-A1</v>
          </cell>
        </row>
        <row r="2419">
          <cell r="I2419">
            <v>80.0513</v>
          </cell>
          <cell r="J2419">
            <v>7.02439</v>
          </cell>
        </row>
        <row r="2419">
          <cell r="AA2419" t="str">
            <v>2T2R</v>
          </cell>
        </row>
        <row r="2420">
          <cell r="E2420" t="str">
            <v>GMHEN1</v>
          </cell>
        </row>
        <row r="2420">
          <cell r="G2420" t="str">
            <v>GMHEN1F</v>
          </cell>
        </row>
        <row r="2420">
          <cell r="I2420">
            <v>80.0513</v>
          </cell>
          <cell r="J2420">
            <v>7.02439</v>
          </cell>
        </row>
        <row r="2420">
          <cell r="AA2420" t="str">
            <v>4T4R</v>
          </cell>
        </row>
        <row r="2421">
          <cell r="E2421" t="str">
            <v>GMHEN1</v>
          </cell>
        </row>
        <row r="2421">
          <cell r="G2421" t="str">
            <v>GMHEN1-M-L21-A2</v>
          </cell>
        </row>
        <row r="2421">
          <cell r="I2421">
            <v>80.0513</v>
          </cell>
          <cell r="J2421">
            <v>7.02439</v>
          </cell>
        </row>
        <row r="2421">
          <cell r="AA2421" t="str">
            <v>2T2R</v>
          </cell>
        </row>
        <row r="2422">
          <cell r="E2422" t="str">
            <v>GMHEN1</v>
          </cell>
        </row>
        <row r="2422">
          <cell r="G2422" t="str">
            <v>GMHEN1-M-L21-C2</v>
          </cell>
        </row>
        <row r="2422">
          <cell r="I2422">
            <v>80.0513</v>
          </cell>
          <cell r="J2422">
            <v>7.02439</v>
          </cell>
        </row>
        <row r="2422">
          <cell r="AA2422" t="str">
            <v>4T4R</v>
          </cell>
        </row>
        <row r="2423">
          <cell r="E2423" t="str">
            <v>GMHEN1</v>
          </cell>
        </row>
        <row r="2423">
          <cell r="G2423" t="str">
            <v>GMHEN1-M-L21-B2</v>
          </cell>
        </row>
        <row r="2423">
          <cell r="I2423">
            <v>80.0513</v>
          </cell>
          <cell r="J2423">
            <v>7.02439</v>
          </cell>
        </row>
        <row r="2423">
          <cell r="AA2423" t="str">
            <v>2T2R</v>
          </cell>
        </row>
        <row r="2424">
          <cell r="E2424" t="str">
            <v>GMHEN1</v>
          </cell>
        </row>
        <row r="2424">
          <cell r="G2424" t="str">
            <v>GMHEN1-M-L18-I1</v>
          </cell>
        </row>
        <row r="2424">
          <cell r="I2424">
            <v>80.0513</v>
          </cell>
          <cell r="J2424">
            <v>7.02439</v>
          </cell>
        </row>
        <row r="2424">
          <cell r="AA2424" t="str">
            <v>4T4R</v>
          </cell>
        </row>
        <row r="2425">
          <cell r="E2425" t="str">
            <v>GMHEN1</v>
          </cell>
        </row>
        <row r="2425">
          <cell r="G2425" t="str">
            <v>GMHEN1-M-L21-D2</v>
          </cell>
        </row>
        <row r="2425">
          <cell r="I2425">
            <v>80.0513</v>
          </cell>
          <cell r="J2425">
            <v>7.02439</v>
          </cell>
        </row>
        <row r="2425">
          <cell r="AA2425" t="str">
            <v>4T4R</v>
          </cell>
        </row>
        <row r="2426">
          <cell r="E2426" t="str">
            <v>GMHEN1</v>
          </cell>
        </row>
        <row r="2426">
          <cell r="G2426" t="str">
            <v>GMHEN1-M-L21-C1</v>
          </cell>
        </row>
        <row r="2426">
          <cell r="I2426">
            <v>80.0513</v>
          </cell>
          <cell r="J2426">
            <v>7.02439</v>
          </cell>
        </row>
        <row r="2426">
          <cell r="AA2426" t="str">
            <v>4T4R</v>
          </cell>
        </row>
        <row r="2427">
          <cell r="E2427" t="str">
            <v>GMHEN1</v>
          </cell>
        </row>
        <row r="2427">
          <cell r="G2427" t="str">
            <v>GMHEN1I</v>
          </cell>
        </row>
        <row r="2427">
          <cell r="I2427">
            <v>80.0513</v>
          </cell>
          <cell r="J2427">
            <v>7.02439</v>
          </cell>
        </row>
        <row r="2427">
          <cell r="AA2427" t="str">
            <v>4T4R</v>
          </cell>
        </row>
        <row r="2428">
          <cell r="E2428" t="str">
            <v>GMHEN1</v>
          </cell>
        </row>
        <row r="2428">
          <cell r="G2428" t="str">
            <v>GMHEN1H</v>
          </cell>
        </row>
        <row r="2428">
          <cell r="I2428">
            <v>80.0513</v>
          </cell>
          <cell r="J2428">
            <v>7.02439</v>
          </cell>
        </row>
        <row r="2428">
          <cell r="AA2428" t="str">
            <v>2T2R</v>
          </cell>
        </row>
        <row r="2429">
          <cell r="E2429" t="str">
            <v>GMHEN1</v>
          </cell>
        </row>
        <row r="2429">
          <cell r="G2429" t="str">
            <v>GMHEN1G</v>
          </cell>
        </row>
        <row r="2429">
          <cell r="I2429">
            <v>80.0513</v>
          </cell>
          <cell r="J2429">
            <v>7.02439</v>
          </cell>
        </row>
        <row r="2429">
          <cell r="AA2429" t="str">
            <v>2T2R</v>
          </cell>
        </row>
        <row r="2430">
          <cell r="E2430" t="str">
            <v>ZDOM01</v>
          </cell>
        </row>
        <row r="2430">
          <cell r="G2430" t="str">
            <v>ZDOM01-M-L18-C1</v>
          </cell>
        </row>
        <row r="2430">
          <cell r="I2430">
            <v>80.052</v>
          </cell>
          <cell r="J2430">
            <v>6.95128</v>
          </cell>
        </row>
        <row r="2430">
          <cell r="AA2430" t="str">
            <v>2T2R</v>
          </cell>
        </row>
        <row r="2431">
          <cell r="E2431" t="str">
            <v>ZDOM01</v>
          </cell>
        </row>
        <row r="2431">
          <cell r="G2431" t="str">
            <v>ZDOM01-M-L18-G1</v>
          </cell>
        </row>
        <row r="2431">
          <cell r="I2431">
            <v>80.052</v>
          </cell>
          <cell r="J2431">
            <v>6.95128</v>
          </cell>
        </row>
        <row r="2431">
          <cell r="AA2431" t="str">
            <v>2T2R</v>
          </cell>
        </row>
        <row r="2432">
          <cell r="E2432" t="str">
            <v>ZDOM01</v>
          </cell>
        </row>
        <row r="2432">
          <cell r="G2432" t="str">
            <v>ZDOM01I</v>
          </cell>
        </row>
        <row r="2432">
          <cell r="I2432">
            <v>80.052</v>
          </cell>
          <cell r="J2432">
            <v>6.95128</v>
          </cell>
        </row>
        <row r="2432">
          <cell r="AA2432" t="str">
            <v>2T2R</v>
          </cell>
        </row>
        <row r="2433">
          <cell r="E2433" t="str">
            <v>ZDOM01</v>
          </cell>
        </row>
        <row r="2433">
          <cell r="G2433" t="str">
            <v>ZDOM01H</v>
          </cell>
        </row>
        <row r="2433">
          <cell r="I2433">
            <v>80.052</v>
          </cell>
          <cell r="J2433">
            <v>6.95128</v>
          </cell>
        </row>
        <row r="2433">
          <cell r="AA2433" t="str">
            <v>4T4R</v>
          </cell>
        </row>
        <row r="2434">
          <cell r="E2434" t="str">
            <v>ZDOM01</v>
          </cell>
        </row>
        <row r="2434">
          <cell r="G2434" t="str">
            <v>ZDOM01G</v>
          </cell>
        </row>
        <row r="2434">
          <cell r="I2434">
            <v>80.052</v>
          </cell>
          <cell r="J2434">
            <v>6.95128</v>
          </cell>
        </row>
        <row r="2434">
          <cell r="AA2434" t="str">
            <v>2T2R</v>
          </cell>
        </row>
        <row r="2435">
          <cell r="E2435" t="str">
            <v>ZDOM01</v>
          </cell>
        </row>
        <row r="2435">
          <cell r="G2435" t="str">
            <v>ZDOM01-M-L85-C1</v>
          </cell>
        </row>
        <row r="2435">
          <cell r="I2435">
            <v>80.052</v>
          </cell>
          <cell r="J2435">
            <v>6.95128</v>
          </cell>
        </row>
        <row r="2435">
          <cell r="AA2435" t="str">
            <v>2T2R</v>
          </cell>
        </row>
        <row r="2436">
          <cell r="E2436" t="str">
            <v>ZDOM01</v>
          </cell>
        </row>
        <row r="2436">
          <cell r="G2436" t="str">
            <v>ZDOM01-M-L85-B1</v>
          </cell>
        </row>
        <row r="2436">
          <cell r="I2436">
            <v>80.052</v>
          </cell>
          <cell r="J2436">
            <v>6.95128</v>
          </cell>
        </row>
        <row r="2436">
          <cell r="AA2436" t="str">
            <v>2T2R</v>
          </cell>
        </row>
        <row r="2437">
          <cell r="E2437" t="str">
            <v>ZDOM01</v>
          </cell>
        </row>
        <row r="2437">
          <cell r="G2437" t="str">
            <v>ZDOM01-M-L85-A1</v>
          </cell>
        </row>
        <row r="2437">
          <cell r="I2437">
            <v>80.052</v>
          </cell>
          <cell r="J2437">
            <v>6.95128</v>
          </cell>
        </row>
        <row r="2437">
          <cell r="AA2437" t="str">
            <v>2T2R</v>
          </cell>
        </row>
        <row r="2438">
          <cell r="E2438" t="str">
            <v>GMWIL1</v>
          </cell>
        </row>
        <row r="2438">
          <cell r="G2438" t="str">
            <v>GMWIL1-M-L85-C1</v>
          </cell>
        </row>
        <row r="2438">
          <cell r="I2438">
            <v>80.0564</v>
          </cell>
          <cell r="J2438">
            <v>7.02194</v>
          </cell>
        </row>
        <row r="2438">
          <cell r="AA2438" t="str">
            <v>2T2R</v>
          </cell>
        </row>
        <row r="2439">
          <cell r="E2439" t="str">
            <v>GMWIL1</v>
          </cell>
        </row>
        <row r="2439">
          <cell r="G2439" t="str">
            <v>GMWIL1-M-L85-B1</v>
          </cell>
        </row>
        <row r="2439">
          <cell r="I2439">
            <v>80.0564</v>
          </cell>
          <cell r="J2439">
            <v>7.02194</v>
          </cell>
        </row>
        <row r="2439">
          <cell r="AA2439" t="str">
            <v>2T2R</v>
          </cell>
        </row>
        <row r="2440">
          <cell r="E2440" t="str">
            <v>GMWIL1</v>
          </cell>
        </row>
        <row r="2440">
          <cell r="G2440" t="str">
            <v>GMWIL1-M-L85-A1</v>
          </cell>
        </row>
        <row r="2440">
          <cell r="I2440">
            <v>80.0564</v>
          </cell>
          <cell r="J2440">
            <v>7.02194</v>
          </cell>
        </row>
        <row r="2440">
          <cell r="AA2440" t="str">
            <v>2T2R</v>
          </cell>
        </row>
        <row r="2441">
          <cell r="E2441" t="str">
            <v>GMWIL1</v>
          </cell>
        </row>
        <row r="2441">
          <cell r="G2441" t="str">
            <v>GMWIL1I</v>
          </cell>
        </row>
        <row r="2441">
          <cell r="I2441">
            <v>80.0564</v>
          </cell>
          <cell r="J2441">
            <v>7.02194</v>
          </cell>
        </row>
        <row r="2441">
          <cell r="AA2441" t="str">
            <v>2T2R</v>
          </cell>
        </row>
        <row r="2442">
          <cell r="E2442" t="str">
            <v>GMWIL1</v>
          </cell>
        </row>
        <row r="2442">
          <cell r="G2442" t="str">
            <v>GMWIL1H</v>
          </cell>
        </row>
        <row r="2442">
          <cell r="I2442">
            <v>80.0564</v>
          </cell>
          <cell r="J2442">
            <v>7.02194</v>
          </cell>
        </row>
        <row r="2442">
          <cell r="AA2442" t="str">
            <v>2T2R</v>
          </cell>
        </row>
        <row r="2443">
          <cell r="E2443" t="str">
            <v>GMWIL1</v>
          </cell>
        </row>
        <row r="2443">
          <cell r="G2443" t="str">
            <v>GMWIL1G</v>
          </cell>
        </row>
        <row r="2443">
          <cell r="I2443">
            <v>80.0564</v>
          </cell>
          <cell r="J2443">
            <v>7.02194</v>
          </cell>
        </row>
        <row r="2443">
          <cell r="AA2443" t="str">
            <v>2T2R</v>
          </cell>
        </row>
        <row r="2444">
          <cell r="E2444" t="str">
            <v>GMVEY1</v>
          </cell>
        </row>
        <row r="2444">
          <cell r="G2444" t="str">
            <v>GMVEY1G</v>
          </cell>
        </row>
        <row r="2444">
          <cell r="I2444">
            <v>80.057</v>
          </cell>
          <cell r="J2444">
            <v>7.15555</v>
          </cell>
        </row>
        <row r="2444">
          <cell r="AA2444" t="str">
            <v>4T4R</v>
          </cell>
        </row>
        <row r="2445">
          <cell r="E2445" t="str">
            <v>GMVEY1</v>
          </cell>
        </row>
        <row r="2445">
          <cell r="G2445" t="str">
            <v>GMVEY1H</v>
          </cell>
        </row>
        <row r="2445">
          <cell r="I2445">
            <v>80.057</v>
          </cell>
          <cell r="J2445">
            <v>7.15555</v>
          </cell>
        </row>
        <row r="2445">
          <cell r="AA2445" t="str">
            <v>2T2R</v>
          </cell>
        </row>
        <row r="2446">
          <cell r="E2446" t="str">
            <v>GMVEY1</v>
          </cell>
        </row>
        <row r="2446">
          <cell r="G2446" t="str">
            <v>GMVEY1I</v>
          </cell>
        </row>
        <row r="2446">
          <cell r="I2446">
            <v>80.057</v>
          </cell>
          <cell r="J2446">
            <v>7.15555</v>
          </cell>
        </row>
        <row r="2446">
          <cell r="AA2446" t="str">
            <v>2T2R</v>
          </cell>
        </row>
        <row r="2447">
          <cell r="E2447" t="str">
            <v>GMVEY1</v>
          </cell>
        </row>
        <row r="2447">
          <cell r="G2447" t="str">
            <v>GMVEY1F</v>
          </cell>
        </row>
        <row r="2447">
          <cell r="I2447">
            <v>80.057</v>
          </cell>
          <cell r="J2447">
            <v>7.15555</v>
          </cell>
        </row>
        <row r="2447">
          <cell r="AA2447" t="str">
            <v>2T2R</v>
          </cell>
        </row>
        <row r="2448">
          <cell r="E2448" t="str">
            <v>GMVEY1</v>
          </cell>
        </row>
        <row r="2448">
          <cell r="G2448" t="str">
            <v>GMVEY1-M-L85-C1</v>
          </cell>
        </row>
        <row r="2448">
          <cell r="I2448">
            <v>80.057</v>
          </cell>
          <cell r="J2448">
            <v>7.15555</v>
          </cell>
        </row>
        <row r="2448">
          <cell r="AA2448" t="str">
            <v>2T2R</v>
          </cell>
        </row>
        <row r="2449">
          <cell r="E2449" t="str">
            <v>GMVEY1</v>
          </cell>
        </row>
        <row r="2449">
          <cell r="G2449" t="str">
            <v>GMVEY1-M-L85-B1</v>
          </cell>
        </row>
        <row r="2449">
          <cell r="I2449">
            <v>80.057</v>
          </cell>
          <cell r="J2449">
            <v>7.15555</v>
          </cell>
        </row>
        <row r="2449">
          <cell r="AA2449" t="str">
            <v>2T2R</v>
          </cell>
        </row>
        <row r="2450">
          <cell r="E2450" t="str">
            <v>GMVEY1</v>
          </cell>
        </row>
        <row r="2450">
          <cell r="G2450" t="str">
            <v>GMVEY1-M-L85-A1</v>
          </cell>
        </row>
        <row r="2450">
          <cell r="I2450">
            <v>80.057</v>
          </cell>
          <cell r="J2450">
            <v>7.15555</v>
          </cell>
        </row>
        <row r="2450">
          <cell r="AA2450" t="str">
            <v>2T2R</v>
          </cell>
        </row>
        <row r="2451">
          <cell r="E2451" t="str">
            <v>GMVEY1</v>
          </cell>
        </row>
        <row r="2451">
          <cell r="G2451" t="str">
            <v>GMVEY1-M-L18-A1</v>
          </cell>
        </row>
        <row r="2451">
          <cell r="I2451">
            <v>80.057</v>
          </cell>
          <cell r="J2451">
            <v>7.15555</v>
          </cell>
        </row>
        <row r="2451">
          <cell r="AA2451" t="str">
            <v>4T4R</v>
          </cell>
        </row>
        <row r="2452">
          <cell r="E2452" t="str">
            <v>GMVEY1</v>
          </cell>
        </row>
        <row r="2452">
          <cell r="G2452" t="str">
            <v>GMVEY1-M-L21-C2</v>
          </cell>
        </row>
        <row r="2452">
          <cell r="I2452">
            <v>80.057</v>
          </cell>
          <cell r="J2452">
            <v>7.15555</v>
          </cell>
        </row>
        <row r="2452">
          <cell r="AA2452" t="str">
            <v>2T2R</v>
          </cell>
        </row>
        <row r="2453">
          <cell r="E2453" t="str">
            <v>GMVEY1</v>
          </cell>
        </row>
        <row r="2453">
          <cell r="G2453" t="str">
            <v>GMVEY1-M-L21-B2</v>
          </cell>
        </row>
        <row r="2453">
          <cell r="I2453">
            <v>80.057</v>
          </cell>
          <cell r="J2453">
            <v>7.15555</v>
          </cell>
        </row>
        <row r="2453">
          <cell r="AA2453" t="str">
            <v>2T2R</v>
          </cell>
        </row>
        <row r="2454">
          <cell r="E2454" t="str">
            <v>GMVEY1</v>
          </cell>
        </row>
        <row r="2454">
          <cell r="G2454" t="str">
            <v>GMVEY1-M-L21-A2</v>
          </cell>
        </row>
        <row r="2454">
          <cell r="I2454">
            <v>80.057</v>
          </cell>
          <cell r="J2454">
            <v>7.15555</v>
          </cell>
        </row>
        <row r="2454">
          <cell r="AA2454" t="str">
            <v>4T4R</v>
          </cell>
        </row>
        <row r="2455">
          <cell r="E2455" t="str">
            <v>GMVEY1</v>
          </cell>
        </row>
        <row r="2455">
          <cell r="G2455" t="str">
            <v>GMVEY1-M-L18-H1</v>
          </cell>
        </row>
        <row r="2455">
          <cell r="I2455">
            <v>80.057</v>
          </cell>
          <cell r="J2455">
            <v>7.15555</v>
          </cell>
        </row>
        <row r="2455">
          <cell r="AA2455" t="str">
            <v>2T2R</v>
          </cell>
        </row>
        <row r="2456">
          <cell r="E2456" t="str">
            <v>GMVEY1</v>
          </cell>
        </row>
        <row r="2456">
          <cell r="G2456" t="str">
            <v>GMVEY1-M-L21-A1</v>
          </cell>
        </row>
        <row r="2456">
          <cell r="I2456">
            <v>80.057</v>
          </cell>
          <cell r="J2456">
            <v>7.15555</v>
          </cell>
        </row>
        <row r="2456">
          <cell r="AA2456" t="str">
            <v>4T4R</v>
          </cell>
        </row>
        <row r="2457">
          <cell r="E2457" t="str">
            <v>GMVEY1</v>
          </cell>
        </row>
        <row r="2457">
          <cell r="G2457" t="str">
            <v>GMVEY1-M-L21-D2</v>
          </cell>
        </row>
        <row r="2457">
          <cell r="I2457">
            <v>80.057</v>
          </cell>
          <cell r="J2457">
            <v>7.15555</v>
          </cell>
        </row>
        <row r="2457">
          <cell r="AA2457" t="str">
            <v>2T2R</v>
          </cell>
        </row>
        <row r="2458">
          <cell r="E2458" t="str">
            <v>GMMLG1</v>
          </cell>
        </row>
        <row r="2458">
          <cell r="G2458" t="str">
            <v>GMMLG1-M-L85-C1</v>
          </cell>
        </row>
        <row r="2458">
          <cell r="I2458">
            <v>80.057877</v>
          </cell>
          <cell r="J2458">
            <v>7.178043</v>
          </cell>
        </row>
        <row r="2458">
          <cell r="AA2458" t="str">
            <v>2T2R</v>
          </cell>
        </row>
        <row r="2459">
          <cell r="E2459" t="str">
            <v>GMMLG1</v>
          </cell>
        </row>
        <row r="2459">
          <cell r="G2459" t="str">
            <v>GMMLG1-M-L85-B1</v>
          </cell>
        </row>
        <row r="2459">
          <cell r="I2459">
            <v>80.057877</v>
          </cell>
          <cell r="J2459">
            <v>7.178043</v>
          </cell>
        </row>
        <row r="2459">
          <cell r="AA2459" t="str">
            <v>2T2R</v>
          </cell>
        </row>
        <row r="2460">
          <cell r="E2460" t="str">
            <v>GMMLG1</v>
          </cell>
        </row>
        <row r="2460">
          <cell r="G2460" t="str">
            <v>GMMLG1-M-L85-A1</v>
          </cell>
        </row>
        <row r="2460">
          <cell r="I2460">
            <v>80.057877</v>
          </cell>
          <cell r="J2460">
            <v>7.178043</v>
          </cell>
        </row>
        <row r="2460">
          <cell r="AA2460" t="str">
            <v>2T2R</v>
          </cell>
        </row>
        <row r="2461">
          <cell r="E2461" t="str">
            <v>GMMLG1</v>
          </cell>
        </row>
        <row r="2461">
          <cell r="G2461" t="str">
            <v>GMMLG1I</v>
          </cell>
        </row>
        <row r="2461">
          <cell r="I2461">
            <v>80.057877</v>
          </cell>
          <cell r="J2461">
            <v>7.178043</v>
          </cell>
        </row>
        <row r="2461">
          <cell r="AA2461" t="str">
            <v>4T4R</v>
          </cell>
        </row>
        <row r="2462">
          <cell r="E2462" t="str">
            <v>GMMLG1</v>
          </cell>
        </row>
        <row r="2462">
          <cell r="G2462" t="str">
            <v>GMMLG1H</v>
          </cell>
        </row>
        <row r="2462">
          <cell r="I2462">
            <v>80.057877</v>
          </cell>
          <cell r="J2462">
            <v>7.178043</v>
          </cell>
        </row>
        <row r="2462">
          <cell r="AA2462" t="str">
            <v>4T4R</v>
          </cell>
        </row>
        <row r="2463">
          <cell r="E2463" t="str">
            <v>GMMLG1</v>
          </cell>
        </row>
        <row r="2463">
          <cell r="G2463" t="str">
            <v>GMMLG1G</v>
          </cell>
        </row>
        <row r="2463">
          <cell r="I2463">
            <v>80.057877</v>
          </cell>
          <cell r="J2463">
            <v>7.178043</v>
          </cell>
        </row>
        <row r="2463">
          <cell r="AA2463" t="str">
            <v>4T4R</v>
          </cell>
        </row>
        <row r="2464">
          <cell r="E2464" t="str">
            <v>GMHEN2</v>
          </cell>
        </row>
        <row r="2464">
          <cell r="G2464" t="str">
            <v>GMHEN2I</v>
          </cell>
        </row>
        <row r="2464">
          <cell r="I2464">
            <v>80.0591</v>
          </cell>
          <cell r="J2464">
            <v>7.00286</v>
          </cell>
        </row>
        <row r="2464">
          <cell r="AA2464" t="str">
            <v>2T2R</v>
          </cell>
        </row>
        <row r="2465">
          <cell r="E2465" t="str">
            <v>GMHEN2</v>
          </cell>
        </row>
        <row r="2465">
          <cell r="G2465" t="str">
            <v>GMHEN2H</v>
          </cell>
        </row>
        <row r="2465">
          <cell r="I2465">
            <v>80.0591</v>
          </cell>
          <cell r="J2465">
            <v>7.00286</v>
          </cell>
        </row>
        <row r="2465">
          <cell r="AA2465" t="str">
            <v>2T2R</v>
          </cell>
        </row>
        <row r="2466">
          <cell r="E2466" t="str">
            <v>GMHEN2</v>
          </cell>
        </row>
        <row r="2466">
          <cell r="G2466" t="str">
            <v>GMHEN2G</v>
          </cell>
        </row>
        <row r="2466">
          <cell r="I2466">
            <v>80.0591</v>
          </cell>
          <cell r="J2466">
            <v>7.00286</v>
          </cell>
        </row>
        <row r="2466">
          <cell r="AA2466" t="str">
            <v>2T2R</v>
          </cell>
        </row>
        <row r="2467">
          <cell r="E2467" t="str">
            <v>GMHEN2</v>
          </cell>
        </row>
        <row r="2467">
          <cell r="G2467" t="str">
            <v>GMHEN2-M-L85-C1</v>
          </cell>
        </row>
        <row r="2467">
          <cell r="I2467">
            <v>80.0591</v>
          </cell>
          <cell r="J2467">
            <v>7.00286</v>
          </cell>
        </row>
        <row r="2467">
          <cell r="AA2467" t="str">
            <v>2T2R</v>
          </cell>
        </row>
        <row r="2468">
          <cell r="E2468" t="str">
            <v>GMHEN2</v>
          </cell>
        </row>
        <row r="2468">
          <cell r="G2468" t="str">
            <v>GMHEN2-M-L85-B1</v>
          </cell>
        </row>
        <row r="2468">
          <cell r="I2468">
            <v>80.0591</v>
          </cell>
          <cell r="J2468">
            <v>7.00286</v>
          </cell>
        </row>
        <row r="2468">
          <cell r="AA2468" t="str">
            <v>2T2R</v>
          </cell>
        </row>
        <row r="2469">
          <cell r="E2469" t="str">
            <v>GMHEN2</v>
          </cell>
        </row>
        <row r="2469">
          <cell r="G2469" t="str">
            <v>GMHEN2-M-L85-A1</v>
          </cell>
        </row>
        <row r="2469">
          <cell r="I2469">
            <v>80.0591</v>
          </cell>
          <cell r="J2469">
            <v>7.00286</v>
          </cell>
        </row>
        <row r="2469">
          <cell r="AA2469" t="str">
            <v>2T2R</v>
          </cell>
        </row>
        <row r="2470">
          <cell r="E2470" t="str">
            <v>GMMED2</v>
          </cell>
        </row>
        <row r="2470">
          <cell r="G2470" t="str">
            <v>GMMED2I</v>
          </cell>
        </row>
        <row r="2470">
          <cell r="I2470">
            <v>80.059167</v>
          </cell>
          <cell r="J2470">
            <v>7.191944</v>
          </cell>
        </row>
        <row r="2470">
          <cell r="AA2470" t="str">
            <v>2T2R</v>
          </cell>
        </row>
        <row r="2471">
          <cell r="E2471" t="str">
            <v>GMMED2</v>
          </cell>
        </row>
        <row r="2471">
          <cell r="G2471" t="str">
            <v>GMMED2H</v>
          </cell>
        </row>
        <row r="2471">
          <cell r="I2471">
            <v>80.059167</v>
          </cell>
          <cell r="J2471">
            <v>7.191944</v>
          </cell>
        </row>
        <row r="2471">
          <cell r="AA2471" t="str">
            <v>2T2R</v>
          </cell>
        </row>
        <row r="2472">
          <cell r="E2472" t="str">
            <v>GMMED2</v>
          </cell>
        </row>
        <row r="2472">
          <cell r="G2472" t="str">
            <v>GMMED2G</v>
          </cell>
        </row>
        <row r="2472">
          <cell r="I2472">
            <v>80.059167</v>
          </cell>
          <cell r="J2472">
            <v>7.191944</v>
          </cell>
        </row>
        <row r="2472">
          <cell r="AA2472" t="str">
            <v>2T2R</v>
          </cell>
        </row>
        <row r="2473">
          <cell r="E2473" t="str">
            <v>GMKAL2</v>
          </cell>
        </row>
        <row r="2473">
          <cell r="G2473" t="str">
            <v>GMKAL2I</v>
          </cell>
        </row>
        <row r="2473">
          <cell r="I2473">
            <v>80.06068</v>
          </cell>
          <cell r="J2473">
            <v>7.117603</v>
          </cell>
        </row>
        <row r="2473">
          <cell r="AA2473" t="str">
            <v>4T4R</v>
          </cell>
        </row>
        <row r="2474">
          <cell r="E2474" t="str">
            <v>GMKAL2</v>
          </cell>
        </row>
        <row r="2474">
          <cell r="G2474" t="str">
            <v>GMKAL2H</v>
          </cell>
        </row>
        <row r="2474">
          <cell r="I2474">
            <v>80.06068</v>
          </cell>
          <cell r="J2474">
            <v>7.117603</v>
          </cell>
        </row>
        <row r="2474">
          <cell r="AA2474" t="str">
            <v>2T2R</v>
          </cell>
        </row>
        <row r="2475">
          <cell r="E2475" t="str">
            <v>GMKAL2</v>
          </cell>
        </row>
        <row r="2475">
          <cell r="G2475" t="str">
            <v>GMKAL2G</v>
          </cell>
        </row>
        <row r="2475">
          <cell r="I2475">
            <v>80.06068</v>
          </cell>
          <cell r="J2475">
            <v>7.117603</v>
          </cell>
        </row>
        <row r="2475">
          <cell r="AA2475" t="str">
            <v>2T2R</v>
          </cell>
        </row>
        <row r="2476">
          <cell r="E2476" t="str">
            <v>GMKAL2</v>
          </cell>
        </row>
        <row r="2476">
          <cell r="G2476" t="str">
            <v>GMKAL2F</v>
          </cell>
        </row>
        <row r="2476">
          <cell r="I2476">
            <v>80.06068</v>
          </cell>
          <cell r="J2476">
            <v>7.117603</v>
          </cell>
        </row>
        <row r="2476">
          <cell r="AA2476" t="str">
            <v>4T4R</v>
          </cell>
        </row>
        <row r="2477">
          <cell r="E2477" t="str">
            <v>GMKAL2</v>
          </cell>
        </row>
        <row r="2477">
          <cell r="G2477" t="str">
            <v>GMKAL2-M-L85-D1</v>
          </cell>
        </row>
        <row r="2477">
          <cell r="I2477">
            <v>80.06068</v>
          </cell>
          <cell r="J2477">
            <v>7.117603</v>
          </cell>
        </row>
        <row r="2477">
          <cell r="AA2477" t="str">
            <v>2T2R</v>
          </cell>
        </row>
        <row r="2478">
          <cell r="E2478" t="str">
            <v>GMKAL2</v>
          </cell>
        </row>
        <row r="2478">
          <cell r="G2478" t="str">
            <v>GMKAL2-M-L85-C1</v>
          </cell>
        </row>
        <row r="2478">
          <cell r="I2478">
            <v>80.06068</v>
          </cell>
          <cell r="J2478">
            <v>7.117603</v>
          </cell>
        </row>
        <row r="2478">
          <cell r="AA2478" t="str">
            <v>2T2R</v>
          </cell>
        </row>
        <row r="2479">
          <cell r="E2479" t="str">
            <v>GMKAL2</v>
          </cell>
        </row>
        <row r="2479">
          <cell r="G2479" t="str">
            <v>GMKAL2-M-L85-B1</v>
          </cell>
        </row>
        <row r="2479">
          <cell r="I2479">
            <v>80.06068</v>
          </cell>
          <cell r="J2479">
            <v>7.117603</v>
          </cell>
        </row>
        <row r="2479">
          <cell r="AA2479" t="str">
            <v>2T2R</v>
          </cell>
        </row>
        <row r="2480">
          <cell r="E2480" t="str">
            <v>GMKAL2</v>
          </cell>
        </row>
        <row r="2480">
          <cell r="G2480" t="str">
            <v>GMKAL2-M-L85-A1</v>
          </cell>
        </row>
        <row r="2480">
          <cell r="I2480">
            <v>80.06068</v>
          </cell>
          <cell r="J2480">
            <v>7.117603</v>
          </cell>
        </row>
        <row r="2480">
          <cell r="AA2480" t="str">
            <v>2T2R</v>
          </cell>
        </row>
        <row r="2481">
          <cell r="E2481" t="str">
            <v>GMKAL2</v>
          </cell>
        </row>
        <row r="2481">
          <cell r="G2481" t="str">
            <v>GMKAL2-M-L21-C2</v>
          </cell>
        </row>
        <row r="2481">
          <cell r="I2481">
            <v>80.06068</v>
          </cell>
          <cell r="J2481">
            <v>7.117603</v>
          </cell>
        </row>
        <row r="2481">
          <cell r="AA2481" t="str">
            <v>4T4R</v>
          </cell>
        </row>
        <row r="2482">
          <cell r="E2482" t="str">
            <v>GMKAL2</v>
          </cell>
        </row>
        <row r="2482">
          <cell r="G2482" t="str">
            <v>GMKAL2-M-L21-B2</v>
          </cell>
        </row>
        <row r="2482">
          <cell r="I2482">
            <v>80.06068</v>
          </cell>
          <cell r="J2482">
            <v>7.117603</v>
          </cell>
        </row>
        <row r="2482">
          <cell r="AA2482" t="str">
            <v>2T2R</v>
          </cell>
        </row>
        <row r="2483">
          <cell r="E2483" t="str">
            <v>GMKAL2</v>
          </cell>
        </row>
        <row r="2483">
          <cell r="G2483" t="str">
            <v>GMKAL2-M-L21-A2</v>
          </cell>
        </row>
        <row r="2483">
          <cell r="I2483">
            <v>80.06068</v>
          </cell>
          <cell r="J2483">
            <v>7.117603</v>
          </cell>
        </row>
        <row r="2483">
          <cell r="AA2483" t="str">
            <v>2T2R</v>
          </cell>
        </row>
        <row r="2484">
          <cell r="E2484" t="str">
            <v>GMKAL2</v>
          </cell>
        </row>
        <row r="2484">
          <cell r="G2484" t="str">
            <v>GMKAL2-M-L21-D2</v>
          </cell>
        </row>
        <row r="2484">
          <cell r="I2484">
            <v>80.06068</v>
          </cell>
          <cell r="J2484">
            <v>7.117603</v>
          </cell>
        </row>
        <row r="2484">
          <cell r="AA2484" t="str">
            <v>4T4R</v>
          </cell>
        </row>
        <row r="2485">
          <cell r="E2485" t="str">
            <v>GMMUD1</v>
          </cell>
        </row>
        <row r="2485">
          <cell r="G2485" t="str">
            <v>GMMUD1I</v>
          </cell>
        </row>
        <row r="2485">
          <cell r="I2485">
            <v>80.0632</v>
          </cell>
          <cell r="J2485">
            <v>7.21004</v>
          </cell>
        </row>
        <row r="2485">
          <cell r="AA2485" t="str">
            <v>4T4R</v>
          </cell>
        </row>
        <row r="2486">
          <cell r="E2486" t="str">
            <v>GMMUD1</v>
          </cell>
        </row>
        <row r="2486">
          <cell r="G2486" t="str">
            <v>GMMUD1H</v>
          </cell>
        </row>
        <row r="2486">
          <cell r="I2486">
            <v>80.0632</v>
          </cell>
          <cell r="J2486">
            <v>7.21004</v>
          </cell>
        </row>
        <row r="2486">
          <cell r="AA2486" t="str">
            <v>4T4R</v>
          </cell>
        </row>
        <row r="2487">
          <cell r="E2487" t="str">
            <v>GMMUD1</v>
          </cell>
        </row>
        <row r="2487">
          <cell r="G2487" t="str">
            <v>GMMUD1G</v>
          </cell>
        </row>
        <row r="2487">
          <cell r="I2487">
            <v>80.0632</v>
          </cell>
          <cell r="J2487">
            <v>7.21004</v>
          </cell>
        </row>
        <row r="2487">
          <cell r="AA2487" t="str">
            <v>4T4R</v>
          </cell>
        </row>
        <row r="2488">
          <cell r="E2488" t="str">
            <v>GMMUD1</v>
          </cell>
        </row>
        <row r="2488">
          <cell r="G2488" t="str">
            <v>GMMUD1-M-L85-C1</v>
          </cell>
        </row>
        <row r="2488">
          <cell r="I2488">
            <v>80.0632</v>
          </cell>
          <cell r="J2488">
            <v>7.21004</v>
          </cell>
        </row>
        <row r="2488">
          <cell r="AA2488" t="str">
            <v>2T2R</v>
          </cell>
        </row>
        <row r="2489">
          <cell r="E2489" t="str">
            <v>GMMUD1</v>
          </cell>
        </row>
        <row r="2489">
          <cell r="G2489" t="str">
            <v>GMMUD1-M-L85-B1</v>
          </cell>
        </row>
        <row r="2489">
          <cell r="I2489">
            <v>80.0632</v>
          </cell>
          <cell r="J2489">
            <v>7.21004</v>
          </cell>
        </row>
        <row r="2489">
          <cell r="AA2489" t="str">
            <v>2T2R</v>
          </cell>
        </row>
        <row r="2490">
          <cell r="E2490" t="str">
            <v>GMMUD1</v>
          </cell>
        </row>
        <row r="2490">
          <cell r="G2490" t="str">
            <v>GMMUD1-M-L85-A1</v>
          </cell>
        </row>
        <row r="2490">
          <cell r="I2490">
            <v>80.0632</v>
          </cell>
          <cell r="J2490">
            <v>7.21004</v>
          </cell>
        </row>
        <row r="2490">
          <cell r="AA2490" t="str">
            <v>2T2R</v>
          </cell>
        </row>
        <row r="2491">
          <cell r="E2491" t="str">
            <v>GMMUD1</v>
          </cell>
        </row>
        <row r="2491">
          <cell r="G2491" t="str">
            <v>GMMUD1-M-L21-C2</v>
          </cell>
        </row>
        <row r="2491">
          <cell r="I2491">
            <v>80.0632</v>
          </cell>
          <cell r="J2491">
            <v>7.21004</v>
          </cell>
        </row>
        <row r="2491">
          <cell r="AA2491" t="str">
            <v>2T2R</v>
          </cell>
        </row>
        <row r="2492">
          <cell r="E2492" t="str">
            <v>GMMUD1</v>
          </cell>
        </row>
        <row r="2492">
          <cell r="G2492" t="str">
            <v>GMMUD1-M-L21-B2</v>
          </cell>
        </row>
        <row r="2492">
          <cell r="I2492">
            <v>80.0632</v>
          </cell>
          <cell r="J2492">
            <v>7.21004</v>
          </cell>
        </row>
        <row r="2492">
          <cell r="AA2492" t="str">
            <v>2T2R</v>
          </cell>
        </row>
        <row r="2493">
          <cell r="E2493" t="str">
            <v>GMMUD1</v>
          </cell>
        </row>
        <row r="2493">
          <cell r="G2493" t="str">
            <v>GMMUD1-M-L21-A2</v>
          </cell>
        </row>
        <row r="2493">
          <cell r="I2493">
            <v>80.0632</v>
          </cell>
          <cell r="J2493">
            <v>7.21004</v>
          </cell>
        </row>
        <row r="2493">
          <cell r="AA2493" t="str">
            <v>2T2R</v>
          </cell>
        </row>
        <row r="2494">
          <cell r="E2494" t="str">
            <v>GMDAD1</v>
          </cell>
        </row>
        <row r="2494">
          <cell r="G2494" t="str">
            <v>GMDAD1-M-L21-A2</v>
          </cell>
        </row>
        <row r="2494">
          <cell r="I2494">
            <v>80.0639</v>
          </cell>
          <cell r="J2494">
            <v>7.13907</v>
          </cell>
        </row>
        <row r="2494">
          <cell r="AA2494" t="str">
            <v>2T2R</v>
          </cell>
        </row>
        <row r="2495">
          <cell r="E2495" t="str">
            <v>GMDAD1</v>
          </cell>
        </row>
        <row r="2495">
          <cell r="G2495" t="str">
            <v>GMDAD1-M-L21-C2</v>
          </cell>
        </row>
        <row r="2495">
          <cell r="I2495">
            <v>80.0639</v>
          </cell>
          <cell r="J2495">
            <v>7.13907</v>
          </cell>
        </row>
        <row r="2495">
          <cell r="AA2495" t="str">
            <v>2T2R</v>
          </cell>
        </row>
        <row r="2496">
          <cell r="E2496" t="str">
            <v>GMDAD1</v>
          </cell>
        </row>
        <row r="2496">
          <cell r="G2496" t="str">
            <v>GMDAD1-M-L21-B2</v>
          </cell>
        </row>
        <row r="2496">
          <cell r="I2496">
            <v>80.0639</v>
          </cell>
          <cell r="J2496">
            <v>7.13907</v>
          </cell>
        </row>
        <row r="2496">
          <cell r="AA2496" t="str">
            <v>2T2R</v>
          </cell>
        </row>
        <row r="2497">
          <cell r="E2497" t="str">
            <v>GMDAD1</v>
          </cell>
        </row>
        <row r="2497">
          <cell r="G2497" t="str">
            <v>GMDAD1I</v>
          </cell>
        </row>
        <row r="2497">
          <cell r="I2497">
            <v>80.0639</v>
          </cell>
          <cell r="J2497">
            <v>7.13907</v>
          </cell>
        </row>
        <row r="2497">
          <cell r="AA2497" t="str">
            <v>2T2R</v>
          </cell>
        </row>
        <row r="2498">
          <cell r="E2498" t="str">
            <v>GMDAD1</v>
          </cell>
        </row>
        <row r="2498">
          <cell r="G2498" t="str">
            <v>GMDAD1H</v>
          </cell>
        </row>
        <row r="2498">
          <cell r="I2498">
            <v>80.0639</v>
          </cell>
          <cell r="J2498">
            <v>7.13907</v>
          </cell>
        </row>
        <row r="2498">
          <cell r="AA2498" t="str">
            <v>2T2R</v>
          </cell>
        </row>
        <row r="2499">
          <cell r="E2499" t="str">
            <v>GMDAD1</v>
          </cell>
        </row>
        <row r="2499">
          <cell r="G2499" t="str">
            <v>GMDAD1G</v>
          </cell>
        </row>
        <row r="2499">
          <cell r="I2499">
            <v>80.0639</v>
          </cell>
          <cell r="J2499">
            <v>7.13907</v>
          </cell>
        </row>
        <row r="2499">
          <cell r="AA2499" t="str">
            <v>2T2R</v>
          </cell>
        </row>
        <row r="2500">
          <cell r="E2500" t="str">
            <v>GMBAN1</v>
          </cell>
        </row>
        <row r="2500">
          <cell r="G2500" t="str">
            <v>GMBAN1-M-L21-C2</v>
          </cell>
        </row>
        <row r="2500">
          <cell r="I2500">
            <v>80.0648</v>
          </cell>
          <cell r="J2500">
            <v>7.23042</v>
          </cell>
        </row>
        <row r="2500">
          <cell r="AA2500" t="str">
            <v>2T2R</v>
          </cell>
        </row>
        <row r="2501">
          <cell r="E2501" t="str">
            <v>GMBAN1</v>
          </cell>
        </row>
        <row r="2501">
          <cell r="G2501" t="str">
            <v>GMBAN1-M-L21-B2</v>
          </cell>
        </row>
        <row r="2501">
          <cell r="I2501">
            <v>80.0648</v>
          </cell>
          <cell r="J2501">
            <v>7.23042</v>
          </cell>
        </row>
        <row r="2501">
          <cell r="AA2501" t="str">
            <v>2T2R</v>
          </cell>
        </row>
        <row r="2502">
          <cell r="E2502" t="str">
            <v>GMBAN1</v>
          </cell>
        </row>
        <row r="2502">
          <cell r="G2502" t="str">
            <v>GMBAN1-M-L21-A2</v>
          </cell>
        </row>
        <row r="2502">
          <cell r="I2502">
            <v>80.0648</v>
          </cell>
          <cell r="J2502">
            <v>7.23042</v>
          </cell>
        </row>
        <row r="2502">
          <cell r="AA2502" t="str">
            <v>2T2R</v>
          </cell>
        </row>
        <row r="2503">
          <cell r="E2503" t="str">
            <v>GMBAN1</v>
          </cell>
        </row>
        <row r="2503">
          <cell r="G2503" t="str">
            <v>GMBAN1F</v>
          </cell>
        </row>
        <row r="2503">
          <cell r="I2503">
            <v>80.0648</v>
          </cell>
          <cell r="J2503">
            <v>7.23042</v>
          </cell>
        </row>
        <row r="2503">
          <cell r="AA2503" t="str">
            <v>2T2R</v>
          </cell>
        </row>
        <row r="2504">
          <cell r="E2504" t="str">
            <v>GMBAN1</v>
          </cell>
        </row>
        <row r="2504">
          <cell r="G2504" t="str">
            <v>GMBAN1I</v>
          </cell>
        </row>
        <row r="2504">
          <cell r="I2504">
            <v>80.0648</v>
          </cell>
          <cell r="J2504">
            <v>7.23042</v>
          </cell>
        </row>
        <row r="2504">
          <cell r="AA2504" t="str">
            <v>4T4R</v>
          </cell>
        </row>
        <row r="2505">
          <cell r="E2505" t="str">
            <v>GMBAN1</v>
          </cell>
        </row>
        <row r="2505">
          <cell r="G2505" t="str">
            <v>GMBAN1H</v>
          </cell>
        </row>
        <row r="2505">
          <cell r="I2505">
            <v>80.0648</v>
          </cell>
          <cell r="J2505">
            <v>7.23042</v>
          </cell>
        </row>
        <row r="2505">
          <cell r="AA2505" t="str">
            <v>4T4R</v>
          </cell>
        </row>
        <row r="2506">
          <cell r="E2506" t="str">
            <v>GMBAN1</v>
          </cell>
        </row>
        <row r="2506">
          <cell r="G2506" t="str">
            <v>GMBAN1G</v>
          </cell>
        </row>
        <row r="2506">
          <cell r="I2506">
            <v>80.0648</v>
          </cell>
          <cell r="J2506">
            <v>7.23042</v>
          </cell>
        </row>
        <row r="2506">
          <cell r="AA2506" t="str">
            <v>4T4R</v>
          </cell>
        </row>
        <row r="2507">
          <cell r="E2507" t="str">
            <v>GMBAN1</v>
          </cell>
        </row>
        <row r="2507">
          <cell r="G2507" t="str">
            <v>GMBAN1-M-L85-C1</v>
          </cell>
        </row>
        <row r="2507">
          <cell r="I2507">
            <v>80.0648</v>
          </cell>
          <cell r="J2507">
            <v>7.23042</v>
          </cell>
        </row>
        <row r="2507">
          <cell r="AA2507" t="str">
            <v>2T2R</v>
          </cell>
        </row>
        <row r="2508">
          <cell r="E2508" t="str">
            <v>GMBAN1</v>
          </cell>
        </row>
        <row r="2508">
          <cell r="G2508" t="str">
            <v>GMBAN1-M-L85-B1</v>
          </cell>
        </row>
        <row r="2508">
          <cell r="I2508">
            <v>80.0648</v>
          </cell>
          <cell r="J2508">
            <v>7.23042</v>
          </cell>
        </row>
        <row r="2508">
          <cell r="AA2508" t="str">
            <v>2T2R</v>
          </cell>
        </row>
        <row r="2509">
          <cell r="E2509" t="str">
            <v>GMBAN1</v>
          </cell>
        </row>
        <row r="2509">
          <cell r="G2509" t="str">
            <v>GMBAN1-M-L85-A1</v>
          </cell>
        </row>
        <row r="2509">
          <cell r="I2509">
            <v>80.0648</v>
          </cell>
          <cell r="J2509">
            <v>7.23042</v>
          </cell>
        </row>
        <row r="2509">
          <cell r="AA2509" t="str">
            <v>2T2R</v>
          </cell>
        </row>
        <row r="2510">
          <cell r="E2510" t="str">
            <v>GMBAN1</v>
          </cell>
        </row>
        <row r="2510">
          <cell r="G2510" t="str">
            <v>GMBAN1-M-L85-D1</v>
          </cell>
        </row>
        <row r="2510">
          <cell r="I2510">
            <v>80.0648</v>
          </cell>
          <cell r="J2510">
            <v>7.23042</v>
          </cell>
        </row>
        <row r="2510">
          <cell r="AA2510" t="str">
            <v>2T2R</v>
          </cell>
        </row>
        <row r="2511">
          <cell r="E2511" t="str">
            <v>GMVEY2</v>
          </cell>
        </row>
        <row r="2511">
          <cell r="G2511" t="str">
            <v>GMVEY2I</v>
          </cell>
        </row>
        <row r="2511">
          <cell r="I2511">
            <v>80.065373</v>
          </cell>
          <cell r="J2511">
            <v>7.1718359</v>
          </cell>
        </row>
        <row r="2511">
          <cell r="AA2511" t="str">
            <v>4T4R</v>
          </cell>
        </row>
        <row r="2512">
          <cell r="E2512" t="str">
            <v>GMVEY2</v>
          </cell>
        </row>
        <row r="2512">
          <cell r="G2512" t="str">
            <v>GMVEY2H</v>
          </cell>
        </row>
        <row r="2512">
          <cell r="I2512">
            <v>80.065373</v>
          </cell>
          <cell r="J2512">
            <v>7.1718359</v>
          </cell>
        </row>
        <row r="2512">
          <cell r="AA2512" t="str">
            <v>4T4R</v>
          </cell>
        </row>
        <row r="2513">
          <cell r="E2513" t="str">
            <v>GMVEY2</v>
          </cell>
        </row>
        <row r="2513">
          <cell r="G2513" t="str">
            <v>GMVEY2G</v>
          </cell>
        </row>
        <row r="2513">
          <cell r="I2513">
            <v>80.065373</v>
          </cell>
          <cell r="J2513">
            <v>7.1718359</v>
          </cell>
        </row>
        <row r="2513">
          <cell r="AA2513" t="str">
            <v>4T4R</v>
          </cell>
        </row>
        <row r="2514">
          <cell r="E2514" t="str">
            <v>ZDOM14</v>
          </cell>
        </row>
        <row r="2514">
          <cell r="G2514" t="str">
            <v>ZDOM14-M-L21-C2</v>
          </cell>
        </row>
        <row r="2514">
          <cell r="I2514">
            <v>80.0674</v>
          </cell>
          <cell r="J2514">
            <v>6.94273</v>
          </cell>
        </row>
        <row r="2514">
          <cell r="AA2514" t="str">
            <v>2T2R</v>
          </cell>
        </row>
        <row r="2515">
          <cell r="E2515" t="str">
            <v>ZDOM14</v>
          </cell>
        </row>
        <row r="2515">
          <cell r="G2515" t="str">
            <v>ZDOM14-M-L21-B2</v>
          </cell>
        </row>
        <row r="2515">
          <cell r="I2515">
            <v>80.0674</v>
          </cell>
          <cell r="J2515">
            <v>6.94273</v>
          </cell>
        </row>
        <row r="2515">
          <cell r="AA2515" t="str">
            <v>2T2R</v>
          </cell>
        </row>
        <row r="2516">
          <cell r="E2516" t="str">
            <v>ZDOM14</v>
          </cell>
        </row>
        <row r="2516">
          <cell r="G2516" t="str">
            <v>ZDOM14I</v>
          </cell>
        </row>
        <row r="2516">
          <cell r="I2516">
            <v>80.0674</v>
          </cell>
          <cell r="J2516">
            <v>6.94273</v>
          </cell>
        </row>
        <row r="2516">
          <cell r="AA2516" t="str">
            <v>2T2R</v>
          </cell>
        </row>
        <row r="2517">
          <cell r="E2517" t="str">
            <v>ZDOM14</v>
          </cell>
        </row>
        <row r="2517">
          <cell r="G2517" t="str">
            <v>ZDOM14H</v>
          </cell>
        </row>
        <row r="2517">
          <cell r="I2517">
            <v>80.0674</v>
          </cell>
          <cell r="J2517">
            <v>6.94273</v>
          </cell>
        </row>
        <row r="2517">
          <cell r="AA2517" t="str">
            <v>2T2R</v>
          </cell>
        </row>
        <row r="2518">
          <cell r="E2518" t="str">
            <v>ZDOM14</v>
          </cell>
        </row>
        <row r="2518">
          <cell r="G2518" t="str">
            <v>ZDOM14G</v>
          </cell>
        </row>
        <row r="2518">
          <cell r="I2518">
            <v>80.0674</v>
          </cell>
          <cell r="J2518">
            <v>6.94273</v>
          </cell>
        </row>
        <row r="2518">
          <cell r="AA2518" t="str">
            <v>4T4R</v>
          </cell>
        </row>
        <row r="2519">
          <cell r="E2519" t="str">
            <v>ZDOM14</v>
          </cell>
        </row>
        <row r="2519">
          <cell r="G2519" t="str">
            <v>ZDOM14-M-L85-B1</v>
          </cell>
        </row>
        <row r="2519">
          <cell r="I2519">
            <v>80.0674</v>
          </cell>
          <cell r="J2519">
            <v>6.94273</v>
          </cell>
        </row>
        <row r="2519">
          <cell r="AA2519" t="str">
            <v>2T2R</v>
          </cell>
        </row>
        <row r="2520">
          <cell r="E2520" t="str">
            <v>ZDOM14</v>
          </cell>
        </row>
        <row r="2520">
          <cell r="G2520" t="str">
            <v>ZDOM14-M-L85-A1</v>
          </cell>
        </row>
        <row r="2520">
          <cell r="I2520">
            <v>80.0674</v>
          </cell>
          <cell r="J2520">
            <v>6.94273</v>
          </cell>
        </row>
        <row r="2520">
          <cell r="AA2520" t="str">
            <v>2T2R</v>
          </cell>
        </row>
        <row r="2521">
          <cell r="E2521" t="str">
            <v>ZDOM14</v>
          </cell>
        </row>
        <row r="2521">
          <cell r="G2521" t="str">
            <v>ZDOM14-M-L85-C1</v>
          </cell>
        </row>
        <row r="2521">
          <cell r="I2521">
            <v>80.0674</v>
          </cell>
          <cell r="J2521">
            <v>6.94273</v>
          </cell>
        </row>
        <row r="2521">
          <cell r="AA2521" t="str">
            <v>2T2R</v>
          </cell>
        </row>
        <row r="2522">
          <cell r="E2522" t="str">
            <v>GMTHI1</v>
          </cell>
        </row>
        <row r="2522">
          <cell r="G2522" t="str">
            <v>GMTHI1I</v>
          </cell>
        </row>
        <row r="2522">
          <cell r="I2522">
            <v>80.069</v>
          </cell>
          <cell r="J2522">
            <v>7.1285</v>
          </cell>
        </row>
        <row r="2522">
          <cell r="AA2522" t="str">
            <v>4T4R</v>
          </cell>
        </row>
        <row r="2523">
          <cell r="E2523" t="str">
            <v>GMTHI1</v>
          </cell>
        </row>
        <row r="2523">
          <cell r="G2523" t="str">
            <v>GMTHI1H</v>
          </cell>
        </row>
        <row r="2523">
          <cell r="I2523">
            <v>80.069</v>
          </cell>
          <cell r="J2523">
            <v>7.1285</v>
          </cell>
        </row>
        <row r="2523">
          <cell r="AA2523" t="str">
            <v>2T2R</v>
          </cell>
        </row>
        <row r="2524">
          <cell r="E2524" t="str">
            <v>GMTHI1</v>
          </cell>
        </row>
        <row r="2524">
          <cell r="G2524" t="str">
            <v>GMTHI1G</v>
          </cell>
        </row>
        <row r="2524">
          <cell r="I2524">
            <v>80.069</v>
          </cell>
          <cell r="J2524">
            <v>7.1285</v>
          </cell>
        </row>
        <row r="2524">
          <cell r="AA2524" t="str">
            <v>2T2R</v>
          </cell>
        </row>
        <row r="2525">
          <cell r="E2525" t="str">
            <v>GMTHI1</v>
          </cell>
        </row>
        <row r="2525">
          <cell r="G2525" t="str">
            <v>GMTHI1-M-L85-D1</v>
          </cell>
        </row>
        <row r="2525">
          <cell r="I2525">
            <v>80.069</v>
          </cell>
          <cell r="J2525">
            <v>7.1285</v>
          </cell>
        </row>
        <row r="2525">
          <cell r="AA2525" t="str">
            <v>2T2R</v>
          </cell>
        </row>
        <row r="2526">
          <cell r="E2526" t="str">
            <v>GMTHI1</v>
          </cell>
        </row>
        <row r="2526">
          <cell r="G2526" t="str">
            <v>GMTHI1-M-L85-C1</v>
          </cell>
        </row>
        <row r="2526">
          <cell r="I2526">
            <v>80.069</v>
          </cell>
          <cell r="J2526">
            <v>7.1285</v>
          </cell>
        </row>
        <row r="2526">
          <cell r="AA2526" t="str">
            <v>2T2R</v>
          </cell>
        </row>
        <row r="2527">
          <cell r="E2527" t="str">
            <v>GMTHI1</v>
          </cell>
        </row>
        <row r="2527">
          <cell r="G2527" t="str">
            <v>GMTHI1-M-L85-B1</v>
          </cell>
        </row>
        <row r="2527">
          <cell r="I2527">
            <v>80.069</v>
          </cell>
          <cell r="J2527">
            <v>7.1285</v>
          </cell>
        </row>
        <row r="2527">
          <cell r="AA2527" t="str">
            <v>2T2R</v>
          </cell>
        </row>
        <row r="2528">
          <cell r="E2528" t="str">
            <v>GMTHI1</v>
          </cell>
        </row>
        <row r="2528">
          <cell r="G2528" t="str">
            <v>GMTHI1-M-L85-A1</v>
          </cell>
        </row>
        <row r="2528">
          <cell r="I2528">
            <v>80.069</v>
          </cell>
          <cell r="J2528">
            <v>7.1285</v>
          </cell>
        </row>
        <row r="2528">
          <cell r="AA2528" t="str">
            <v>2T2R</v>
          </cell>
        </row>
        <row r="2529">
          <cell r="E2529" t="str">
            <v>GMTHI1</v>
          </cell>
        </row>
        <row r="2529">
          <cell r="G2529" t="str">
            <v>GMTHI1-M-L21-C2</v>
          </cell>
        </row>
        <row r="2529">
          <cell r="I2529">
            <v>80.069</v>
          </cell>
          <cell r="J2529">
            <v>7.1285</v>
          </cell>
        </row>
        <row r="2529">
          <cell r="AA2529" t="str">
            <v>2T2R</v>
          </cell>
        </row>
        <row r="2530">
          <cell r="E2530" t="str">
            <v>GMTHI1</v>
          </cell>
        </row>
        <row r="2530">
          <cell r="G2530" t="str">
            <v>GMTHI1-M-L21-B2</v>
          </cell>
        </row>
        <row r="2530">
          <cell r="I2530">
            <v>80.069</v>
          </cell>
          <cell r="J2530">
            <v>7.1285</v>
          </cell>
        </row>
        <row r="2530">
          <cell r="AA2530" t="str">
            <v>2T2R</v>
          </cell>
        </row>
        <row r="2531">
          <cell r="E2531" t="str">
            <v>GMTHI1</v>
          </cell>
        </row>
        <row r="2531">
          <cell r="G2531" t="str">
            <v>GMTHI1-M-L21-A2</v>
          </cell>
        </row>
        <row r="2531">
          <cell r="I2531">
            <v>80.069</v>
          </cell>
          <cell r="J2531">
            <v>7.1285</v>
          </cell>
        </row>
        <row r="2531">
          <cell r="AA2531" t="str">
            <v>2T2R</v>
          </cell>
        </row>
        <row r="2532">
          <cell r="E2532" t="str">
            <v>GMTHI1</v>
          </cell>
        </row>
        <row r="2532">
          <cell r="G2532" t="str">
            <v>GMTHI1F</v>
          </cell>
        </row>
        <row r="2532">
          <cell r="I2532">
            <v>80.069</v>
          </cell>
          <cell r="J2532">
            <v>7.1285</v>
          </cell>
        </row>
        <row r="2532">
          <cell r="AA2532" t="str">
            <v>2T2R</v>
          </cell>
        </row>
        <row r="2533">
          <cell r="E2533" t="str">
            <v>GMMAN1</v>
          </cell>
        </row>
        <row r="2533">
          <cell r="G2533" t="str">
            <v>GMMAN1-M-L85-C1</v>
          </cell>
        </row>
        <row r="2533">
          <cell r="I2533">
            <v>80.0707</v>
          </cell>
          <cell r="J2533">
            <v>7.10315</v>
          </cell>
        </row>
        <row r="2533">
          <cell r="AA2533" t="str">
            <v>2T2R</v>
          </cell>
        </row>
        <row r="2534">
          <cell r="E2534" t="str">
            <v>GMMAN1</v>
          </cell>
        </row>
        <row r="2534">
          <cell r="G2534" t="str">
            <v>GMMAN1-M-L85-B1</v>
          </cell>
        </row>
        <row r="2534">
          <cell r="I2534">
            <v>80.0707</v>
          </cell>
          <cell r="J2534">
            <v>7.10315</v>
          </cell>
        </row>
        <row r="2534">
          <cell r="AA2534" t="str">
            <v>2T2R</v>
          </cell>
        </row>
        <row r="2535">
          <cell r="E2535" t="str">
            <v>GMMAN1</v>
          </cell>
        </row>
        <row r="2535">
          <cell r="G2535" t="str">
            <v>GMMAN1-M-L85-A1</v>
          </cell>
        </row>
        <row r="2535">
          <cell r="I2535">
            <v>80.0707</v>
          </cell>
          <cell r="J2535">
            <v>7.10315</v>
          </cell>
        </row>
        <row r="2535">
          <cell r="AA2535" t="str">
            <v>2T2R</v>
          </cell>
        </row>
        <row r="2536">
          <cell r="E2536" t="str">
            <v>GMMAN1</v>
          </cell>
        </row>
        <row r="2536">
          <cell r="G2536" t="str">
            <v>GMMAN1-M-L21-C2</v>
          </cell>
        </row>
        <row r="2536">
          <cell r="I2536">
            <v>80.0707</v>
          </cell>
          <cell r="J2536">
            <v>7.10315</v>
          </cell>
        </row>
        <row r="2536">
          <cell r="AA2536" t="str">
            <v>2T2R</v>
          </cell>
        </row>
        <row r="2537">
          <cell r="E2537" t="str">
            <v>GMMAN1</v>
          </cell>
        </row>
        <row r="2537">
          <cell r="G2537" t="str">
            <v>GMMAN1-M-L21-B2</v>
          </cell>
        </row>
        <row r="2537">
          <cell r="I2537">
            <v>80.0707</v>
          </cell>
          <cell r="J2537">
            <v>7.10315</v>
          </cell>
        </row>
        <row r="2537">
          <cell r="AA2537" t="str">
            <v>2T2R</v>
          </cell>
        </row>
        <row r="2538">
          <cell r="E2538" t="str">
            <v>GMMAN1</v>
          </cell>
        </row>
        <row r="2538">
          <cell r="G2538" t="str">
            <v>GMMAN1-M-L21-A2</v>
          </cell>
        </row>
        <row r="2538">
          <cell r="I2538">
            <v>80.0707</v>
          </cell>
          <cell r="J2538">
            <v>7.10315</v>
          </cell>
        </row>
        <row r="2538">
          <cell r="AA2538" t="str">
            <v>2T2R</v>
          </cell>
        </row>
        <row r="2539">
          <cell r="E2539" t="str">
            <v>GMMAN1</v>
          </cell>
        </row>
        <row r="2539">
          <cell r="G2539" t="str">
            <v>GMMAN1I</v>
          </cell>
        </row>
        <row r="2539">
          <cell r="I2539">
            <v>80.0707</v>
          </cell>
          <cell r="J2539">
            <v>7.10315</v>
          </cell>
        </row>
        <row r="2539">
          <cell r="AA2539" t="str">
            <v>2T2R</v>
          </cell>
        </row>
        <row r="2540">
          <cell r="E2540" t="str">
            <v>GMMAN1</v>
          </cell>
        </row>
        <row r="2540">
          <cell r="G2540" t="str">
            <v>GMMAN1H</v>
          </cell>
        </row>
        <row r="2540">
          <cell r="I2540">
            <v>80.0707</v>
          </cell>
          <cell r="J2540">
            <v>7.10315</v>
          </cell>
        </row>
        <row r="2540">
          <cell r="AA2540" t="str">
            <v>2T2R</v>
          </cell>
        </row>
        <row r="2541">
          <cell r="E2541" t="str">
            <v>GMMAN1</v>
          </cell>
        </row>
        <row r="2541">
          <cell r="G2541" t="str">
            <v>GMMAN1G</v>
          </cell>
        </row>
        <row r="2541">
          <cell r="I2541">
            <v>80.0707</v>
          </cell>
          <cell r="J2541">
            <v>7.10315</v>
          </cell>
        </row>
        <row r="2541">
          <cell r="AA2541" t="str">
            <v>2T2R</v>
          </cell>
        </row>
        <row r="2542">
          <cell r="E2542" t="str">
            <v>GMMAL2</v>
          </cell>
        </row>
        <row r="2542">
          <cell r="G2542" t="str">
            <v>GMMAL2-M-L18-I1</v>
          </cell>
        </row>
        <row r="2542">
          <cell r="I2542">
            <v>80.070948</v>
          </cell>
          <cell r="J2542">
            <v>7.042393</v>
          </cell>
        </row>
        <row r="2542">
          <cell r="AA2542" t="str">
            <v>2T2R</v>
          </cell>
        </row>
        <row r="2543">
          <cell r="E2543" t="str">
            <v>GMMAL2</v>
          </cell>
        </row>
        <row r="2543">
          <cell r="G2543" t="str">
            <v>GMMAL2I</v>
          </cell>
        </row>
        <row r="2543">
          <cell r="I2543">
            <v>80.070948</v>
          </cell>
          <cell r="J2543">
            <v>7.042393</v>
          </cell>
        </row>
        <row r="2543">
          <cell r="AA2543" t="str">
            <v>2T2R</v>
          </cell>
        </row>
        <row r="2544">
          <cell r="E2544" t="str">
            <v>GMMAL2</v>
          </cell>
        </row>
        <row r="2544">
          <cell r="G2544" t="str">
            <v>GMMAL2H</v>
          </cell>
        </row>
        <row r="2544">
          <cell r="I2544">
            <v>80.070948</v>
          </cell>
          <cell r="J2544">
            <v>7.042393</v>
          </cell>
        </row>
        <row r="2544">
          <cell r="AA2544" t="str">
            <v>2T2R</v>
          </cell>
        </row>
        <row r="2545">
          <cell r="E2545" t="str">
            <v>GMMAL2</v>
          </cell>
        </row>
        <row r="2545">
          <cell r="G2545" t="str">
            <v>GMMAL2G</v>
          </cell>
        </row>
        <row r="2545">
          <cell r="I2545">
            <v>80.070948</v>
          </cell>
          <cell r="J2545">
            <v>7.042393</v>
          </cell>
        </row>
        <row r="2545">
          <cell r="AA2545" t="str">
            <v>4T4R</v>
          </cell>
        </row>
        <row r="2546">
          <cell r="E2546" t="str">
            <v>GMMAL1</v>
          </cell>
        </row>
        <row r="2546">
          <cell r="G2546" t="str">
            <v>GMMAL1I</v>
          </cell>
        </row>
        <row r="2546">
          <cell r="I2546">
            <v>80.07195</v>
          </cell>
          <cell r="J2546">
            <v>7.060039</v>
          </cell>
        </row>
        <row r="2546">
          <cell r="AA2546" t="str">
            <v>2T2R</v>
          </cell>
        </row>
        <row r="2547">
          <cell r="E2547" t="str">
            <v>GMMAL1</v>
          </cell>
        </row>
        <row r="2547">
          <cell r="G2547" t="str">
            <v>GMMAL1G</v>
          </cell>
        </row>
        <row r="2547">
          <cell r="I2547">
            <v>80.07195</v>
          </cell>
          <cell r="J2547">
            <v>7.060039</v>
          </cell>
        </row>
        <row r="2547">
          <cell r="AA2547" t="str">
            <v>2T2R</v>
          </cell>
        </row>
        <row r="2548">
          <cell r="E2548" t="str">
            <v>GMMAL1</v>
          </cell>
        </row>
        <row r="2548">
          <cell r="G2548" t="str">
            <v>GMMAL1-M-L21-B2</v>
          </cell>
        </row>
        <row r="2548">
          <cell r="I2548">
            <v>80.07195</v>
          </cell>
          <cell r="J2548">
            <v>7.060039</v>
          </cell>
        </row>
        <row r="2548">
          <cell r="AA2548" t="str">
            <v>2T2R</v>
          </cell>
        </row>
        <row r="2549">
          <cell r="E2549" t="str">
            <v>GMMAL1</v>
          </cell>
        </row>
        <row r="2549">
          <cell r="G2549" t="str">
            <v>GMMAL1-M-L85-C1</v>
          </cell>
        </row>
        <row r="2549">
          <cell r="I2549">
            <v>80.07195</v>
          </cell>
          <cell r="J2549">
            <v>7.060039</v>
          </cell>
        </row>
        <row r="2549">
          <cell r="AA2549" t="str">
            <v>2T2R</v>
          </cell>
        </row>
        <row r="2550">
          <cell r="E2550" t="str">
            <v>GMMAL1</v>
          </cell>
        </row>
        <row r="2550">
          <cell r="G2550" t="str">
            <v>GMMAL1-M-L85-B1</v>
          </cell>
        </row>
        <row r="2550">
          <cell r="I2550">
            <v>80.07195</v>
          </cell>
          <cell r="J2550">
            <v>7.060039</v>
          </cell>
        </row>
        <row r="2550">
          <cell r="AA2550" t="str">
            <v>2T2R</v>
          </cell>
        </row>
        <row r="2551">
          <cell r="E2551" t="str">
            <v>GMMAL1</v>
          </cell>
        </row>
        <row r="2551">
          <cell r="G2551" t="str">
            <v>GMMAL1-M-L85-A1</v>
          </cell>
        </row>
        <row r="2551">
          <cell r="I2551">
            <v>80.07195</v>
          </cell>
          <cell r="J2551">
            <v>7.060039</v>
          </cell>
        </row>
        <row r="2551">
          <cell r="AA2551" t="str">
            <v>2T2R</v>
          </cell>
        </row>
        <row r="2552">
          <cell r="E2552" t="str">
            <v>ZDOM12</v>
          </cell>
        </row>
        <row r="2552">
          <cell r="G2552" t="str">
            <v>ZDOM12-M-L21-C2</v>
          </cell>
        </row>
        <row r="2552">
          <cell r="I2552">
            <v>80.0736</v>
          </cell>
          <cell r="J2552">
            <v>6.92031</v>
          </cell>
        </row>
        <row r="2552">
          <cell r="AA2552" t="str">
            <v>1T1R</v>
          </cell>
        </row>
        <row r="2553">
          <cell r="E2553" t="str">
            <v>ZDOM12</v>
          </cell>
        </row>
        <row r="2553">
          <cell r="G2553" t="str">
            <v>ZDOM12-M-L21-B2</v>
          </cell>
        </row>
        <row r="2553">
          <cell r="I2553">
            <v>80.0736</v>
          </cell>
          <cell r="J2553">
            <v>6.92031</v>
          </cell>
        </row>
        <row r="2553">
          <cell r="AA2553" t="str">
            <v>1T1R</v>
          </cell>
        </row>
        <row r="2554">
          <cell r="E2554" t="str">
            <v>ZDOM12</v>
          </cell>
        </row>
        <row r="2554">
          <cell r="G2554" t="str">
            <v>ZDOM12-M-L21-A2</v>
          </cell>
        </row>
        <row r="2554">
          <cell r="I2554">
            <v>80.0736</v>
          </cell>
          <cell r="J2554">
            <v>6.92031</v>
          </cell>
        </row>
        <row r="2554">
          <cell r="AA2554" t="str">
            <v>2T2R</v>
          </cell>
        </row>
        <row r="2555">
          <cell r="E2555" t="str">
            <v>ZDOM12</v>
          </cell>
        </row>
        <row r="2555">
          <cell r="G2555" t="str">
            <v>ZDOM12I</v>
          </cell>
        </row>
        <row r="2555">
          <cell r="I2555">
            <v>80.0736</v>
          </cell>
          <cell r="J2555">
            <v>6.92031</v>
          </cell>
        </row>
        <row r="2555">
          <cell r="AA2555" t="str">
            <v>2T2R</v>
          </cell>
        </row>
        <row r="2556">
          <cell r="E2556" t="str">
            <v>ZDOM12</v>
          </cell>
        </row>
        <row r="2556">
          <cell r="G2556" t="str">
            <v>ZDOM12H</v>
          </cell>
        </row>
        <row r="2556">
          <cell r="I2556">
            <v>80.0736</v>
          </cell>
          <cell r="J2556">
            <v>6.92031</v>
          </cell>
        </row>
        <row r="2556">
          <cell r="AA2556" t="str">
            <v>2T2R</v>
          </cell>
        </row>
        <row r="2557">
          <cell r="E2557" t="str">
            <v>ZDOM12</v>
          </cell>
        </row>
        <row r="2557">
          <cell r="G2557" t="str">
            <v>ZDOM12G</v>
          </cell>
        </row>
        <row r="2557">
          <cell r="I2557">
            <v>80.0736</v>
          </cell>
          <cell r="J2557">
            <v>6.92031</v>
          </cell>
        </row>
        <row r="2557">
          <cell r="AA2557" t="str">
            <v>2T2R</v>
          </cell>
        </row>
        <row r="2558">
          <cell r="E2558" t="str">
            <v>GMKEE1</v>
          </cell>
        </row>
        <row r="2558">
          <cell r="G2558" t="str">
            <v>GMKEE1G</v>
          </cell>
        </row>
        <row r="2558">
          <cell r="I2558">
            <v>80.0747</v>
          </cell>
          <cell r="J2558">
            <v>7.18422</v>
          </cell>
        </row>
        <row r="2558">
          <cell r="AA2558" t="str">
            <v>2T2R</v>
          </cell>
        </row>
        <row r="2559">
          <cell r="E2559" t="str">
            <v>GMKEE1</v>
          </cell>
        </row>
        <row r="2559">
          <cell r="G2559" t="str">
            <v>GMKEE1I</v>
          </cell>
        </row>
        <row r="2559">
          <cell r="I2559">
            <v>80.0747</v>
          </cell>
          <cell r="J2559">
            <v>7.18422</v>
          </cell>
        </row>
        <row r="2559">
          <cell r="AA2559" t="str">
            <v>2T2R</v>
          </cell>
        </row>
        <row r="2560">
          <cell r="E2560" t="str">
            <v>GMKEE1</v>
          </cell>
        </row>
        <row r="2560">
          <cell r="G2560" t="str">
            <v>GMKEE1H</v>
          </cell>
        </row>
        <row r="2560">
          <cell r="I2560">
            <v>80.0747</v>
          </cell>
          <cell r="J2560">
            <v>7.18422</v>
          </cell>
        </row>
        <row r="2560">
          <cell r="AA2560" t="str">
            <v>2T2R</v>
          </cell>
        </row>
        <row r="2561">
          <cell r="E2561" t="str">
            <v>GMKEE1</v>
          </cell>
        </row>
        <row r="2561">
          <cell r="G2561" t="str">
            <v>GMKEE1-M-L85-C1</v>
          </cell>
        </row>
        <row r="2561">
          <cell r="I2561">
            <v>80.0747</v>
          </cell>
          <cell r="J2561">
            <v>7.18422</v>
          </cell>
        </row>
        <row r="2561">
          <cell r="AA2561" t="str">
            <v>2T2R</v>
          </cell>
        </row>
        <row r="2562">
          <cell r="E2562" t="str">
            <v>GMKEE1</v>
          </cell>
        </row>
        <row r="2562">
          <cell r="G2562" t="str">
            <v>GMKEE1-M-L85-B1</v>
          </cell>
        </row>
        <row r="2562">
          <cell r="I2562">
            <v>80.0747</v>
          </cell>
          <cell r="J2562">
            <v>7.18422</v>
          </cell>
        </row>
        <row r="2562">
          <cell r="AA2562" t="str">
            <v>2T2R</v>
          </cell>
        </row>
        <row r="2563">
          <cell r="E2563" t="str">
            <v>GMKEE1</v>
          </cell>
        </row>
        <row r="2563">
          <cell r="G2563" t="str">
            <v>GMKEE1-M-L85-A1</v>
          </cell>
        </row>
        <row r="2563">
          <cell r="I2563">
            <v>80.0747</v>
          </cell>
          <cell r="J2563">
            <v>7.18422</v>
          </cell>
        </row>
        <row r="2563">
          <cell r="AA2563" t="str">
            <v>2T2R</v>
          </cell>
        </row>
        <row r="2564">
          <cell r="E2564" t="str">
            <v>GMKEE1</v>
          </cell>
        </row>
        <row r="2564">
          <cell r="G2564" t="str">
            <v>GMKEE1-M-L21-C2</v>
          </cell>
        </row>
        <row r="2564">
          <cell r="I2564">
            <v>80.0747</v>
          </cell>
          <cell r="J2564">
            <v>7.18422</v>
          </cell>
        </row>
        <row r="2564">
          <cell r="AA2564" t="str">
            <v>2T2R</v>
          </cell>
        </row>
        <row r="2565">
          <cell r="E2565" t="str">
            <v>GMKEE1</v>
          </cell>
        </row>
        <row r="2565">
          <cell r="G2565" t="str">
            <v>GMKEE1-M-L21-B2</v>
          </cell>
        </row>
        <row r="2565">
          <cell r="I2565">
            <v>80.0747</v>
          </cell>
          <cell r="J2565">
            <v>7.18422</v>
          </cell>
        </row>
        <row r="2565">
          <cell r="AA2565" t="str">
            <v>2T2R</v>
          </cell>
        </row>
        <row r="2566">
          <cell r="E2566" t="str">
            <v>GMKEE1</v>
          </cell>
        </row>
        <row r="2566">
          <cell r="G2566" t="str">
            <v>GMKEE1-M-L21-A2</v>
          </cell>
        </row>
        <row r="2566">
          <cell r="I2566">
            <v>80.0747</v>
          </cell>
          <cell r="J2566">
            <v>7.18422</v>
          </cell>
        </row>
        <row r="2566">
          <cell r="AA2566" t="str">
            <v>2T2R</v>
          </cell>
        </row>
        <row r="2567">
          <cell r="E2567" t="str">
            <v>GMKOT1</v>
          </cell>
        </row>
        <row r="2567">
          <cell r="G2567" t="str">
            <v>GMKOT1-M-L85-C1</v>
          </cell>
        </row>
        <row r="2567">
          <cell r="I2567">
            <v>80.0754</v>
          </cell>
          <cell r="J2567">
            <v>7.27924</v>
          </cell>
        </row>
        <row r="2567">
          <cell r="AA2567" t="str">
            <v>2T2R</v>
          </cell>
        </row>
        <row r="2568">
          <cell r="E2568" t="str">
            <v>GMKOT1</v>
          </cell>
        </row>
        <row r="2568">
          <cell r="G2568" t="str">
            <v>GMKOT1-M-L85-B1</v>
          </cell>
        </row>
        <row r="2568">
          <cell r="I2568">
            <v>80.0754</v>
          </cell>
          <cell r="J2568">
            <v>7.27924</v>
          </cell>
        </row>
        <row r="2568">
          <cell r="AA2568" t="str">
            <v>2T2R</v>
          </cell>
        </row>
        <row r="2569">
          <cell r="E2569" t="str">
            <v>GMKOT1</v>
          </cell>
        </row>
        <row r="2569">
          <cell r="G2569" t="str">
            <v>GMKOT1-M-L85-A1</v>
          </cell>
        </row>
        <row r="2569">
          <cell r="I2569">
            <v>80.0754</v>
          </cell>
          <cell r="J2569">
            <v>7.27924</v>
          </cell>
        </row>
        <row r="2569">
          <cell r="AA2569" t="str">
            <v>2T2R</v>
          </cell>
        </row>
        <row r="2570">
          <cell r="E2570" t="str">
            <v>GMKOT1</v>
          </cell>
        </row>
        <row r="2570">
          <cell r="G2570" t="str">
            <v>GMKOT1-M-L21-C2</v>
          </cell>
        </row>
        <row r="2570">
          <cell r="I2570">
            <v>80.0754</v>
          </cell>
          <cell r="J2570">
            <v>7.27924</v>
          </cell>
        </row>
        <row r="2570">
          <cell r="AA2570" t="str">
            <v>2T2R</v>
          </cell>
        </row>
        <row r="2571">
          <cell r="E2571" t="str">
            <v>GMKOT1</v>
          </cell>
        </row>
        <row r="2571">
          <cell r="G2571" t="str">
            <v>GMKOT1-M-L21-B2</v>
          </cell>
        </row>
        <row r="2571">
          <cell r="I2571">
            <v>80.0754</v>
          </cell>
          <cell r="J2571">
            <v>7.27924</v>
          </cell>
        </row>
        <row r="2571">
          <cell r="AA2571" t="str">
            <v>2T2R</v>
          </cell>
        </row>
        <row r="2572">
          <cell r="E2572" t="str">
            <v>GMKOT1</v>
          </cell>
        </row>
        <row r="2572">
          <cell r="G2572" t="str">
            <v>GMKOT1-M-L21-A2</v>
          </cell>
        </row>
        <row r="2572">
          <cell r="I2572">
            <v>80.0754</v>
          </cell>
          <cell r="J2572">
            <v>7.27924</v>
          </cell>
        </row>
        <row r="2572">
          <cell r="AA2572" t="str">
            <v>2T2R</v>
          </cell>
        </row>
        <row r="2573">
          <cell r="E2573" t="str">
            <v>GMKOT1</v>
          </cell>
        </row>
        <row r="2573">
          <cell r="G2573" t="str">
            <v>GMKOT1I</v>
          </cell>
        </row>
        <row r="2573">
          <cell r="I2573">
            <v>80.0754</v>
          </cell>
          <cell r="J2573">
            <v>7.27924</v>
          </cell>
        </row>
        <row r="2573">
          <cell r="AA2573" t="str">
            <v>2T2R</v>
          </cell>
        </row>
        <row r="2574">
          <cell r="E2574" t="str">
            <v>GMKOT1</v>
          </cell>
        </row>
        <row r="2574">
          <cell r="G2574" t="str">
            <v>GMKOT1H</v>
          </cell>
        </row>
        <row r="2574">
          <cell r="I2574">
            <v>80.0754</v>
          </cell>
          <cell r="J2574">
            <v>7.27924</v>
          </cell>
        </row>
        <row r="2574">
          <cell r="AA2574" t="str">
            <v>4T4R</v>
          </cell>
        </row>
        <row r="2575">
          <cell r="E2575" t="str">
            <v>GMKOT1</v>
          </cell>
        </row>
        <row r="2575">
          <cell r="G2575" t="str">
            <v>GMKOT1G</v>
          </cell>
        </row>
        <row r="2575">
          <cell r="I2575">
            <v>80.0754</v>
          </cell>
          <cell r="J2575">
            <v>7.27924</v>
          </cell>
        </row>
        <row r="2575">
          <cell r="AA2575" t="str">
            <v>2T2R</v>
          </cell>
        </row>
        <row r="2576">
          <cell r="E2576" t="str">
            <v>QGZLR1</v>
          </cell>
        </row>
        <row r="2576">
          <cell r="G2576" t="str">
            <v>QGZLR1G</v>
          </cell>
        </row>
        <row r="2576">
          <cell r="I2576">
            <v>80.077</v>
          </cell>
          <cell r="J2576">
            <v>6.9453</v>
          </cell>
        </row>
        <row r="2576">
          <cell r="AA2576" t="str">
            <v>1T1R</v>
          </cell>
        </row>
        <row r="2577">
          <cell r="E2577" t="str">
            <v>GMUDM1</v>
          </cell>
        </row>
        <row r="2577">
          <cell r="G2577" t="str">
            <v>GMUDM1I</v>
          </cell>
        </row>
        <row r="2577">
          <cell r="I2577">
            <v>80.0774</v>
          </cell>
          <cell r="J2577">
            <v>7.14889</v>
          </cell>
        </row>
        <row r="2577">
          <cell r="AA2577" t="str">
            <v>4T4R</v>
          </cell>
        </row>
        <row r="2578">
          <cell r="E2578" t="str">
            <v>GMUDM1</v>
          </cell>
        </row>
        <row r="2578">
          <cell r="G2578" t="str">
            <v>GMUDM1H</v>
          </cell>
        </row>
        <row r="2578">
          <cell r="I2578">
            <v>80.0774</v>
          </cell>
          <cell r="J2578">
            <v>7.14889</v>
          </cell>
        </row>
        <row r="2578">
          <cell r="AA2578" t="str">
            <v>4T4R</v>
          </cell>
        </row>
        <row r="2579">
          <cell r="E2579" t="str">
            <v>GMUDM1</v>
          </cell>
        </row>
        <row r="2579">
          <cell r="G2579" t="str">
            <v>GMUDM1G</v>
          </cell>
        </row>
        <row r="2579">
          <cell r="I2579">
            <v>80.0774</v>
          </cell>
          <cell r="J2579">
            <v>7.14889</v>
          </cell>
        </row>
        <row r="2579">
          <cell r="AA2579" t="str">
            <v>4T4R</v>
          </cell>
        </row>
        <row r="2580">
          <cell r="E2580" t="str">
            <v>GMUDM1</v>
          </cell>
        </row>
        <row r="2580">
          <cell r="G2580" t="str">
            <v>GMUDM1-M-L21-C2</v>
          </cell>
        </row>
        <row r="2580">
          <cell r="I2580">
            <v>80.0774</v>
          </cell>
          <cell r="J2580">
            <v>7.14889</v>
          </cell>
        </row>
        <row r="2580">
          <cell r="AA2580" t="str">
            <v>4T4R</v>
          </cell>
        </row>
        <row r="2581">
          <cell r="E2581" t="str">
            <v>GMUDM1</v>
          </cell>
        </row>
        <row r="2581">
          <cell r="G2581" t="str">
            <v>GMUDM1-M-L21-B2</v>
          </cell>
        </row>
        <row r="2581">
          <cell r="I2581">
            <v>80.0774</v>
          </cell>
          <cell r="J2581">
            <v>7.14889</v>
          </cell>
        </row>
        <row r="2581">
          <cell r="AA2581" t="str">
            <v>4T4R</v>
          </cell>
        </row>
        <row r="2582">
          <cell r="E2582" t="str">
            <v>GMUDM1</v>
          </cell>
        </row>
        <row r="2582">
          <cell r="G2582" t="str">
            <v>GMUDM1-M-L21-A2</v>
          </cell>
        </row>
        <row r="2582">
          <cell r="I2582">
            <v>80.0774</v>
          </cell>
          <cell r="J2582">
            <v>7.14889</v>
          </cell>
        </row>
        <row r="2582">
          <cell r="AA2582" t="str">
            <v>4T4R</v>
          </cell>
        </row>
        <row r="2583">
          <cell r="E2583" t="str">
            <v>GMUDM1</v>
          </cell>
        </row>
        <row r="2583">
          <cell r="G2583" t="str">
            <v>GMUDM1-M-L85-C1</v>
          </cell>
        </row>
        <row r="2583">
          <cell r="I2583">
            <v>80.0774</v>
          </cell>
          <cell r="J2583">
            <v>7.14889</v>
          </cell>
        </row>
        <row r="2583">
          <cell r="AA2583" t="str">
            <v>2T2R</v>
          </cell>
        </row>
        <row r="2584">
          <cell r="E2584" t="str">
            <v>GMUDM1</v>
          </cell>
        </row>
        <row r="2584">
          <cell r="G2584" t="str">
            <v>GMUDM1-M-L85-B1</v>
          </cell>
        </row>
        <row r="2584">
          <cell r="I2584">
            <v>80.0774</v>
          </cell>
          <cell r="J2584">
            <v>7.14889</v>
          </cell>
        </row>
        <row r="2584">
          <cell r="AA2584" t="str">
            <v>2T2R</v>
          </cell>
        </row>
        <row r="2585">
          <cell r="E2585" t="str">
            <v>GMUDM1</v>
          </cell>
        </row>
        <row r="2585">
          <cell r="G2585" t="str">
            <v>GMUDM1-M-L85-A1</v>
          </cell>
        </row>
        <row r="2585">
          <cell r="I2585">
            <v>80.0774</v>
          </cell>
          <cell r="J2585">
            <v>7.14889</v>
          </cell>
        </row>
        <row r="2585">
          <cell r="AA2585" t="str">
            <v>2T2R</v>
          </cell>
        </row>
        <row r="2586">
          <cell r="E2586" t="str">
            <v>GMTRN1</v>
          </cell>
        </row>
        <row r="2586">
          <cell r="G2586" t="str">
            <v>GMTRN1I</v>
          </cell>
        </row>
        <row r="2586">
          <cell r="I2586">
            <v>80.0778953</v>
          </cell>
          <cell r="J2586">
            <v>7.0120131</v>
          </cell>
        </row>
        <row r="2586">
          <cell r="AA2586" t="str">
            <v>2T2R</v>
          </cell>
        </row>
        <row r="2587">
          <cell r="E2587" t="str">
            <v>GMTRN1</v>
          </cell>
        </row>
        <row r="2587">
          <cell r="G2587" t="str">
            <v>GMTRN1H</v>
          </cell>
        </row>
        <row r="2587">
          <cell r="I2587">
            <v>80.0778953</v>
          </cell>
          <cell r="J2587">
            <v>7.0120131</v>
          </cell>
        </row>
        <row r="2587">
          <cell r="AA2587" t="str">
            <v>2T2R</v>
          </cell>
        </row>
        <row r="2588">
          <cell r="E2588" t="str">
            <v>GMTRN1</v>
          </cell>
        </row>
        <row r="2588">
          <cell r="G2588" t="str">
            <v>GMTRN1G</v>
          </cell>
        </row>
        <row r="2588">
          <cell r="I2588">
            <v>80.0778953</v>
          </cell>
          <cell r="J2588">
            <v>7.0120131</v>
          </cell>
        </row>
        <row r="2588">
          <cell r="AA2588" t="str">
            <v>2T2R</v>
          </cell>
        </row>
        <row r="2589">
          <cell r="E2589" t="str">
            <v>GMTRN1</v>
          </cell>
        </row>
        <row r="2589">
          <cell r="G2589" t="str">
            <v>GMTRN1-M-L21-A2</v>
          </cell>
        </row>
        <row r="2589">
          <cell r="I2589">
            <v>80.0778953</v>
          </cell>
          <cell r="J2589">
            <v>7.0120131</v>
          </cell>
        </row>
        <row r="2589">
          <cell r="AA2589" t="str">
            <v>2T2R</v>
          </cell>
        </row>
        <row r="2590">
          <cell r="E2590" t="str">
            <v>GMTHI2</v>
          </cell>
        </row>
        <row r="2590">
          <cell r="G2590" t="str">
            <v>GMTHI2I</v>
          </cell>
        </row>
        <row r="2590">
          <cell r="I2590">
            <v>80.0798</v>
          </cell>
          <cell r="J2590">
            <v>7.13409</v>
          </cell>
        </row>
        <row r="2590">
          <cell r="AA2590" t="str">
            <v>4T4R</v>
          </cell>
        </row>
        <row r="2591">
          <cell r="E2591" t="str">
            <v>GMTHI2</v>
          </cell>
        </row>
        <row r="2591">
          <cell r="G2591" t="str">
            <v>GMTHI2H</v>
          </cell>
        </row>
        <row r="2591">
          <cell r="I2591">
            <v>80.0798</v>
          </cell>
          <cell r="J2591">
            <v>7.13409</v>
          </cell>
        </row>
        <row r="2591">
          <cell r="AA2591" t="str">
            <v>4T4R</v>
          </cell>
        </row>
        <row r="2592">
          <cell r="E2592" t="str">
            <v>GMTHI2</v>
          </cell>
        </row>
        <row r="2592">
          <cell r="G2592" t="str">
            <v>GMTHI2G</v>
          </cell>
        </row>
        <row r="2592">
          <cell r="I2592">
            <v>80.0798</v>
          </cell>
          <cell r="J2592">
            <v>7.13409</v>
          </cell>
        </row>
        <row r="2592">
          <cell r="AA2592" t="str">
            <v>4T4R</v>
          </cell>
        </row>
        <row r="2593">
          <cell r="E2593" t="str">
            <v>GMTHI2</v>
          </cell>
        </row>
        <row r="2593">
          <cell r="G2593" t="str">
            <v>GMTHI2-M-L21-C2</v>
          </cell>
        </row>
        <row r="2593">
          <cell r="I2593">
            <v>80.0798</v>
          </cell>
          <cell r="J2593">
            <v>7.13409</v>
          </cell>
        </row>
        <row r="2593">
          <cell r="AA2593" t="str">
            <v>2T2R</v>
          </cell>
        </row>
        <row r="2594">
          <cell r="E2594" t="str">
            <v>GMTHI2</v>
          </cell>
        </row>
        <row r="2594">
          <cell r="G2594" t="str">
            <v>GMTHI2-M-L21-B2</v>
          </cell>
        </row>
        <row r="2594">
          <cell r="I2594">
            <v>80.0798</v>
          </cell>
          <cell r="J2594">
            <v>7.13409</v>
          </cell>
        </row>
        <row r="2594">
          <cell r="AA2594" t="str">
            <v>2T2R</v>
          </cell>
        </row>
        <row r="2595">
          <cell r="E2595" t="str">
            <v>GMTHI2</v>
          </cell>
        </row>
        <row r="2595">
          <cell r="G2595" t="str">
            <v>GMTHI2-M-L21-A2</v>
          </cell>
        </row>
        <row r="2595">
          <cell r="I2595">
            <v>80.0798</v>
          </cell>
          <cell r="J2595">
            <v>7.13409</v>
          </cell>
        </row>
        <row r="2595">
          <cell r="AA2595" t="str">
            <v>2T2R</v>
          </cell>
        </row>
        <row r="2596">
          <cell r="E2596" t="str">
            <v>GMUDA2</v>
          </cell>
        </row>
        <row r="2596">
          <cell r="G2596" t="str">
            <v>GMUDA2I</v>
          </cell>
        </row>
        <row r="2596">
          <cell r="I2596">
            <v>80.08111</v>
          </cell>
          <cell r="J2596">
            <v>7.094694</v>
          </cell>
        </row>
        <row r="2596">
          <cell r="AA2596" t="str">
            <v>2T2R</v>
          </cell>
        </row>
        <row r="2597">
          <cell r="E2597" t="str">
            <v>GMUDA2</v>
          </cell>
        </row>
        <row r="2597">
          <cell r="G2597" t="str">
            <v>GMUDA2H</v>
          </cell>
        </row>
        <row r="2597">
          <cell r="I2597">
            <v>80.08111</v>
          </cell>
          <cell r="J2597">
            <v>7.094694</v>
          </cell>
        </row>
        <row r="2597">
          <cell r="AA2597" t="str">
            <v>2T2R</v>
          </cell>
        </row>
        <row r="2598">
          <cell r="E2598" t="str">
            <v>GMUDA2</v>
          </cell>
        </row>
        <row r="2598">
          <cell r="G2598" t="str">
            <v>GMUDA2G</v>
          </cell>
        </row>
        <row r="2598">
          <cell r="I2598">
            <v>80.08111</v>
          </cell>
          <cell r="J2598">
            <v>7.094694</v>
          </cell>
        </row>
        <row r="2598">
          <cell r="AA2598" t="str">
            <v>2T2R</v>
          </cell>
        </row>
        <row r="2599">
          <cell r="E2599" t="str">
            <v>QGMRO1</v>
          </cell>
        </row>
        <row r="2599">
          <cell r="G2599" t="str">
            <v>QGMRO1G</v>
          </cell>
        </row>
        <row r="2599">
          <cell r="I2599">
            <v>80.0833</v>
          </cell>
          <cell r="J2599">
            <v>7.1316</v>
          </cell>
        </row>
        <row r="2599">
          <cell r="AA2599" t="str">
            <v>1T1R</v>
          </cell>
        </row>
        <row r="2600">
          <cell r="E2600" t="str">
            <v>GMWAR1</v>
          </cell>
        </row>
        <row r="2600">
          <cell r="G2600" t="str">
            <v>GMWAR1I</v>
          </cell>
        </row>
        <row r="2600">
          <cell r="I2600">
            <v>80.084444</v>
          </cell>
          <cell r="J2600">
            <v>7.078055</v>
          </cell>
        </row>
        <row r="2600">
          <cell r="AA2600" t="str">
            <v>2T2R</v>
          </cell>
        </row>
        <row r="2601">
          <cell r="E2601" t="str">
            <v>GMWAR1</v>
          </cell>
        </row>
        <row r="2601">
          <cell r="G2601" t="str">
            <v>GMWAR1H</v>
          </cell>
        </row>
        <row r="2601">
          <cell r="I2601">
            <v>80.084444</v>
          </cell>
          <cell r="J2601">
            <v>7.078055</v>
          </cell>
        </row>
        <row r="2601">
          <cell r="AA2601" t="str">
            <v>2T2R</v>
          </cell>
        </row>
        <row r="2602">
          <cell r="E2602" t="str">
            <v>GMWAR1</v>
          </cell>
        </row>
        <row r="2602">
          <cell r="G2602" t="str">
            <v>GMWAR1G</v>
          </cell>
        </row>
        <row r="2602">
          <cell r="I2602">
            <v>80.084444</v>
          </cell>
          <cell r="J2602">
            <v>7.078055</v>
          </cell>
        </row>
        <row r="2602">
          <cell r="AA2602" t="str">
            <v>2T2R</v>
          </cell>
        </row>
        <row r="2603">
          <cell r="E2603" t="str">
            <v>GMWAR1</v>
          </cell>
        </row>
        <row r="2603">
          <cell r="G2603" t="str">
            <v>GMWAR1-M-L21-C2</v>
          </cell>
        </row>
        <row r="2603">
          <cell r="I2603">
            <v>80.084444</v>
          </cell>
          <cell r="J2603">
            <v>7.078055</v>
          </cell>
        </row>
        <row r="2603">
          <cell r="AA2603" t="str">
            <v>2T2R</v>
          </cell>
        </row>
        <row r="2604">
          <cell r="E2604" t="str">
            <v>GMWAR1</v>
          </cell>
        </row>
        <row r="2604">
          <cell r="G2604" t="str">
            <v>GMWAR1-M-L21-B2</v>
          </cell>
        </row>
        <row r="2604">
          <cell r="I2604">
            <v>80.084444</v>
          </cell>
          <cell r="J2604">
            <v>7.078055</v>
          </cell>
        </row>
        <row r="2604">
          <cell r="AA2604" t="str">
            <v>2T2R</v>
          </cell>
        </row>
        <row r="2605">
          <cell r="E2605" t="str">
            <v>GMWAR1</v>
          </cell>
        </row>
        <row r="2605">
          <cell r="G2605" t="str">
            <v>GMWAR1-M-L21-A2</v>
          </cell>
        </row>
        <row r="2605">
          <cell r="I2605">
            <v>80.084444</v>
          </cell>
          <cell r="J2605">
            <v>7.078055</v>
          </cell>
        </row>
        <row r="2605">
          <cell r="AA2605" t="str">
            <v>2T2R</v>
          </cell>
        </row>
        <row r="2606">
          <cell r="E2606" t="str">
            <v>GMWAR1</v>
          </cell>
        </row>
        <row r="2606">
          <cell r="G2606" t="str">
            <v>GMWAR1-M-L85-C1</v>
          </cell>
        </row>
        <row r="2606">
          <cell r="I2606">
            <v>80.084444</v>
          </cell>
          <cell r="J2606">
            <v>7.078055</v>
          </cell>
        </row>
        <row r="2606">
          <cell r="AA2606" t="str">
            <v>2T2R</v>
          </cell>
        </row>
        <row r="2607">
          <cell r="E2607" t="str">
            <v>GMWAR1</v>
          </cell>
        </row>
        <row r="2607">
          <cell r="G2607" t="str">
            <v>GMWAR1-M-L85-B1</v>
          </cell>
        </row>
        <row r="2607">
          <cell r="I2607">
            <v>80.084444</v>
          </cell>
          <cell r="J2607">
            <v>7.078055</v>
          </cell>
        </row>
        <row r="2607">
          <cell r="AA2607" t="str">
            <v>2T2R</v>
          </cell>
        </row>
        <row r="2608">
          <cell r="E2608" t="str">
            <v>GMWAR1</v>
          </cell>
        </row>
        <row r="2608">
          <cell r="G2608" t="str">
            <v>GMWAR1-M-L85-A1</v>
          </cell>
        </row>
        <row r="2608">
          <cell r="I2608">
            <v>80.084444</v>
          </cell>
          <cell r="J2608">
            <v>7.078055</v>
          </cell>
        </row>
        <row r="2608">
          <cell r="AA2608" t="str">
            <v>2T2R</v>
          </cell>
        </row>
        <row r="2609">
          <cell r="E2609" t="str">
            <v>GMWAR1</v>
          </cell>
        </row>
        <row r="2609">
          <cell r="G2609" t="str">
            <v>GMWAR1F</v>
          </cell>
        </row>
        <row r="2609">
          <cell r="I2609">
            <v>80.084444</v>
          </cell>
          <cell r="J2609">
            <v>7.078055</v>
          </cell>
        </row>
        <row r="2609">
          <cell r="AA2609" t="str">
            <v>2T2R</v>
          </cell>
        </row>
        <row r="2610">
          <cell r="E2610" t="str">
            <v>GMPAL4</v>
          </cell>
        </row>
        <row r="2610">
          <cell r="G2610" t="str">
            <v>GMPAL4I</v>
          </cell>
        </row>
        <row r="2610">
          <cell r="I2610">
            <v>80.08471</v>
          </cell>
          <cell r="J2610">
            <v>7.197822</v>
          </cell>
        </row>
        <row r="2610">
          <cell r="AA2610" t="str">
            <v>4T4R</v>
          </cell>
        </row>
        <row r="2611">
          <cell r="E2611" t="str">
            <v>GMPAL4</v>
          </cell>
        </row>
        <row r="2611">
          <cell r="G2611" t="str">
            <v>GMPAL4H</v>
          </cell>
        </row>
        <row r="2611">
          <cell r="I2611">
            <v>80.08471</v>
          </cell>
          <cell r="J2611">
            <v>7.197822</v>
          </cell>
        </row>
        <row r="2611">
          <cell r="AA2611" t="str">
            <v>4T4R</v>
          </cell>
        </row>
        <row r="2612">
          <cell r="E2612" t="str">
            <v>GMPAL4</v>
          </cell>
        </row>
        <row r="2612">
          <cell r="G2612" t="str">
            <v>GMPAL4G</v>
          </cell>
        </row>
        <row r="2612">
          <cell r="I2612">
            <v>80.08471</v>
          </cell>
          <cell r="J2612">
            <v>7.197822</v>
          </cell>
        </row>
        <row r="2612">
          <cell r="AA2612" t="str">
            <v>4T4R</v>
          </cell>
        </row>
        <row r="2613">
          <cell r="E2613" t="str">
            <v>ZDOM05</v>
          </cell>
        </row>
        <row r="2613">
          <cell r="G2613" t="str">
            <v>ZDOM05-M-L21-C2</v>
          </cell>
        </row>
        <row r="2613">
          <cell r="I2613">
            <v>80.085</v>
          </cell>
          <cell r="J2613">
            <v>6.97635</v>
          </cell>
        </row>
        <row r="2613">
          <cell r="AA2613" t="str">
            <v>4T4R</v>
          </cell>
        </row>
        <row r="2614">
          <cell r="E2614" t="str">
            <v>ZDOM05</v>
          </cell>
        </row>
        <row r="2614">
          <cell r="G2614" t="str">
            <v>ZDOM05-M-L21-B2</v>
          </cell>
        </row>
        <row r="2614">
          <cell r="I2614">
            <v>80.085</v>
          </cell>
          <cell r="J2614">
            <v>6.97635</v>
          </cell>
        </row>
        <row r="2614">
          <cell r="AA2614" t="str">
            <v>2T2R</v>
          </cell>
        </row>
        <row r="2615">
          <cell r="E2615" t="str">
            <v>ZDOM05</v>
          </cell>
        </row>
        <row r="2615">
          <cell r="G2615" t="str">
            <v>ZDOM05-M-L21-A2</v>
          </cell>
        </row>
        <row r="2615">
          <cell r="I2615">
            <v>80.085</v>
          </cell>
          <cell r="J2615">
            <v>6.97635</v>
          </cell>
        </row>
        <row r="2615">
          <cell r="AA2615" t="str">
            <v>2T2R</v>
          </cell>
        </row>
        <row r="2616">
          <cell r="E2616" t="str">
            <v>ZDOM05</v>
          </cell>
        </row>
        <row r="2616">
          <cell r="G2616" t="str">
            <v>ZDOM05-M-L18-I1</v>
          </cell>
        </row>
        <row r="2616">
          <cell r="I2616">
            <v>80.085</v>
          </cell>
          <cell r="J2616">
            <v>6.97635</v>
          </cell>
        </row>
        <row r="2616">
          <cell r="AA2616" t="str">
            <v>4T4R</v>
          </cell>
        </row>
        <row r="2617">
          <cell r="E2617" t="str">
            <v>ZDOM05</v>
          </cell>
        </row>
        <row r="2617">
          <cell r="G2617" t="str">
            <v>ZDOM05F</v>
          </cell>
        </row>
        <row r="2617">
          <cell r="I2617">
            <v>80.085</v>
          </cell>
          <cell r="J2617">
            <v>6.97635</v>
          </cell>
        </row>
        <row r="2617">
          <cell r="AA2617" t="str">
            <v>4T4R</v>
          </cell>
        </row>
        <row r="2618">
          <cell r="E2618" t="str">
            <v>ZDOM05</v>
          </cell>
        </row>
        <row r="2618">
          <cell r="G2618" t="str">
            <v>ZDOM05-M-L21-C1</v>
          </cell>
        </row>
        <row r="2618">
          <cell r="I2618">
            <v>80.085</v>
          </cell>
          <cell r="J2618">
            <v>6.97635</v>
          </cell>
        </row>
        <row r="2618">
          <cell r="AA2618" t="str">
            <v>4T4R</v>
          </cell>
        </row>
        <row r="2619">
          <cell r="E2619" t="str">
            <v>ZDOM05</v>
          </cell>
        </row>
        <row r="2619">
          <cell r="G2619" t="str">
            <v>ZDOM05-M-L21-D1</v>
          </cell>
        </row>
        <row r="2619">
          <cell r="I2619">
            <v>80.085</v>
          </cell>
          <cell r="J2619">
            <v>6.97635</v>
          </cell>
        </row>
        <row r="2619">
          <cell r="AA2619" t="str">
            <v>2T2R</v>
          </cell>
        </row>
        <row r="2620">
          <cell r="E2620" t="str">
            <v>ZDOM05</v>
          </cell>
        </row>
        <row r="2620">
          <cell r="G2620" t="str">
            <v>ZDOM05I</v>
          </cell>
        </row>
        <row r="2620">
          <cell r="I2620">
            <v>80.085</v>
          </cell>
          <cell r="J2620">
            <v>6.97635</v>
          </cell>
        </row>
        <row r="2620">
          <cell r="AA2620" t="str">
            <v>4T4R</v>
          </cell>
        </row>
        <row r="2621">
          <cell r="E2621" t="str">
            <v>ZDOM05</v>
          </cell>
        </row>
        <row r="2621">
          <cell r="G2621" t="str">
            <v>ZDOM05H</v>
          </cell>
        </row>
        <row r="2621">
          <cell r="I2621">
            <v>80.085</v>
          </cell>
          <cell r="J2621">
            <v>6.97635</v>
          </cell>
        </row>
        <row r="2621">
          <cell r="AA2621" t="str">
            <v>4T4R</v>
          </cell>
        </row>
        <row r="2622">
          <cell r="E2622" t="str">
            <v>ZDOM05</v>
          </cell>
        </row>
        <row r="2622">
          <cell r="G2622" t="str">
            <v>ZDOM05G</v>
          </cell>
        </row>
        <row r="2622">
          <cell r="I2622">
            <v>80.085</v>
          </cell>
          <cell r="J2622">
            <v>6.97635</v>
          </cell>
        </row>
        <row r="2622">
          <cell r="AA2622" t="str">
            <v>4T4R</v>
          </cell>
        </row>
        <row r="2623">
          <cell r="E2623" t="str">
            <v>ZDOM05</v>
          </cell>
        </row>
        <row r="2623">
          <cell r="G2623" t="str">
            <v>ZDOM05-M-L85-D1</v>
          </cell>
        </row>
        <row r="2623">
          <cell r="I2623">
            <v>80.085</v>
          </cell>
          <cell r="J2623">
            <v>6.97635</v>
          </cell>
        </row>
        <row r="2623">
          <cell r="AA2623" t="str">
            <v>2T2R</v>
          </cell>
        </row>
        <row r="2624">
          <cell r="E2624" t="str">
            <v>ZDOM05</v>
          </cell>
        </row>
        <row r="2624">
          <cell r="G2624" t="str">
            <v>ZDOM05-M-L85-C1</v>
          </cell>
        </row>
        <row r="2624">
          <cell r="I2624">
            <v>80.085</v>
          </cell>
          <cell r="J2624">
            <v>6.97635</v>
          </cell>
        </row>
        <row r="2624">
          <cell r="AA2624" t="str">
            <v>2T2R</v>
          </cell>
        </row>
        <row r="2625">
          <cell r="E2625" t="str">
            <v>ZDOM05</v>
          </cell>
        </row>
        <row r="2625">
          <cell r="G2625" t="str">
            <v>ZDOM05-M-L85-B1</v>
          </cell>
        </row>
        <row r="2625">
          <cell r="I2625">
            <v>80.085</v>
          </cell>
          <cell r="J2625">
            <v>6.97635</v>
          </cell>
        </row>
        <row r="2625">
          <cell r="AA2625" t="str">
            <v>2T2R</v>
          </cell>
        </row>
        <row r="2626">
          <cell r="E2626" t="str">
            <v>ZDOM05</v>
          </cell>
        </row>
        <row r="2626">
          <cell r="G2626" t="str">
            <v>ZDOM05-M-L85-A1</v>
          </cell>
        </row>
        <row r="2626">
          <cell r="I2626">
            <v>80.085</v>
          </cell>
          <cell r="J2626">
            <v>6.97635</v>
          </cell>
        </row>
        <row r="2626">
          <cell r="AA2626" t="str">
            <v>2T2R</v>
          </cell>
        </row>
        <row r="2627">
          <cell r="E2627" t="str">
            <v>GMHAM1</v>
          </cell>
        </row>
        <row r="2627">
          <cell r="G2627" t="str">
            <v>GMHAM1I</v>
          </cell>
        </row>
        <row r="2627">
          <cell r="I2627">
            <v>80.0863</v>
          </cell>
          <cell r="J2627">
            <v>7.1644</v>
          </cell>
        </row>
        <row r="2627">
          <cell r="AA2627" t="str">
            <v>4T4R</v>
          </cell>
        </row>
        <row r="2628">
          <cell r="E2628" t="str">
            <v>GMHAM1</v>
          </cell>
        </row>
        <row r="2628">
          <cell r="G2628" t="str">
            <v>GMHAM1H</v>
          </cell>
        </row>
        <row r="2628">
          <cell r="I2628">
            <v>80.0863</v>
          </cell>
          <cell r="J2628">
            <v>7.1644</v>
          </cell>
        </row>
        <row r="2628">
          <cell r="AA2628" t="str">
            <v>4T4R</v>
          </cell>
        </row>
        <row r="2629">
          <cell r="E2629" t="str">
            <v>GMHAM1</v>
          </cell>
        </row>
        <row r="2629">
          <cell r="G2629" t="str">
            <v>GMHAM1G</v>
          </cell>
        </row>
        <row r="2629">
          <cell r="I2629">
            <v>80.0863</v>
          </cell>
          <cell r="J2629">
            <v>7.1644</v>
          </cell>
        </row>
        <row r="2629">
          <cell r="AA2629" t="str">
            <v>4T4R</v>
          </cell>
        </row>
        <row r="2630">
          <cell r="E2630" t="str">
            <v>GMMWL1</v>
          </cell>
        </row>
        <row r="2630">
          <cell r="G2630" t="str">
            <v>GMMWL1I</v>
          </cell>
        </row>
        <row r="2630">
          <cell r="I2630">
            <v>80.087</v>
          </cell>
          <cell r="J2630">
            <v>7.11</v>
          </cell>
        </row>
        <row r="2630">
          <cell r="AA2630" t="str">
            <v>2T2R</v>
          </cell>
        </row>
        <row r="2631">
          <cell r="E2631" t="str">
            <v>GMMWL1</v>
          </cell>
        </row>
        <row r="2631">
          <cell r="G2631" t="str">
            <v>GMMWL1H</v>
          </cell>
        </row>
        <row r="2631">
          <cell r="I2631">
            <v>80.087</v>
          </cell>
          <cell r="J2631">
            <v>7.11</v>
          </cell>
        </row>
        <row r="2631">
          <cell r="AA2631" t="str">
            <v>2T2R</v>
          </cell>
        </row>
        <row r="2632">
          <cell r="E2632" t="str">
            <v>GMMWL1</v>
          </cell>
        </row>
        <row r="2632">
          <cell r="G2632" t="str">
            <v>GMMWL1G</v>
          </cell>
        </row>
        <row r="2632">
          <cell r="I2632">
            <v>80.087</v>
          </cell>
          <cell r="J2632">
            <v>7.11</v>
          </cell>
        </row>
        <row r="2632">
          <cell r="AA2632" t="str">
            <v>2T2R</v>
          </cell>
        </row>
        <row r="2633">
          <cell r="E2633" t="str">
            <v>GMMWL1</v>
          </cell>
        </row>
        <row r="2633">
          <cell r="G2633" t="str">
            <v>GMMWL1-M-L85-C1</v>
          </cell>
        </row>
        <row r="2633">
          <cell r="I2633">
            <v>80.087</v>
          </cell>
          <cell r="J2633">
            <v>7.11</v>
          </cell>
        </row>
        <row r="2633">
          <cell r="AA2633" t="str">
            <v>2T2R</v>
          </cell>
        </row>
        <row r="2634">
          <cell r="E2634" t="str">
            <v>GMMWL1</v>
          </cell>
        </row>
        <row r="2634">
          <cell r="G2634" t="str">
            <v>GMMWL1-M-L85-B1</v>
          </cell>
        </row>
        <row r="2634">
          <cell r="I2634">
            <v>80.087</v>
          </cell>
          <cell r="J2634">
            <v>7.11</v>
          </cell>
        </row>
        <row r="2634">
          <cell r="AA2634" t="str">
            <v>2T2R</v>
          </cell>
        </row>
        <row r="2635">
          <cell r="E2635" t="str">
            <v>GMMWL1</v>
          </cell>
        </row>
        <row r="2635">
          <cell r="G2635" t="str">
            <v>GMMWL1-M-L85-A1</v>
          </cell>
        </row>
        <row r="2635">
          <cell r="I2635">
            <v>80.087</v>
          </cell>
          <cell r="J2635">
            <v>7.11</v>
          </cell>
        </row>
        <row r="2635">
          <cell r="AA2635" t="str">
            <v>2T2R</v>
          </cell>
        </row>
        <row r="2636">
          <cell r="E2636" t="str">
            <v>ZDOM06</v>
          </cell>
        </row>
        <row r="2636">
          <cell r="G2636" t="str">
            <v>ZDOM06I</v>
          </cell>
        </row>
        <row r="2636">
          <cell r="I2636">
            <v>80.0872</v>
          </cell>
          <cell r="J2636">
            <v>6.944</v>
          </cell>
        </row>
        <row r="2636">
          <cell r="AA2636" t="str">
            <v>2T2R</v>
          </cell>
        </row>
        <row r="2637">
          <cell r="E2637" t="str">
            <v>ZDOM06</v>
          </cell>
        </row>
        <row r="2637">
          <cell r="G2637" t="str">
            <v>ZDOM06H</v>
          </cell>
        </row>
        <row r="2637">
          <cell r="I2637">
            <v>80.0872</v>
          </cell>
          <cell r="J2637">
            <v>6.944</v>
          </cell>
        </row>
        <row r="2637">
          <cell r="AA2637" t="str">
            <v>2T2R</v>
          </cell>
        </row>
        <row r="2638">
          <cell r="E2638" t="str">
            <v>ZDOM06</v>
          </cell>
        </row>
        <row r="2638">
          <cell r="G2638" t="str">
            <v>ZDOM06G</v>
          </cell>
        </row>
        <row r="2638">
          <cell r="I2638">
            <v>80.0872</v>
          </cell>
          <cell r="J2638">
            <v>6.944</v>
          </cell>
        </row>
        <row r="2638">
          <cell r="AA2638" t="str">
            <v>4T4R</v>
          </cell>
        </row>
        <row r="2639">
          <cell r="E2639" t="str">
            <v>ZDOM06</v>
          </cell>
        </row>
        <row r="2639">
          <cell r="G2639" t="str">
            <v>ZDOM06-M-L85-C1</v>
          </cell>
        </row>
        <row r="2639">
          <cell r="I2639">
            <v>80.0872</v>
          </cell>
          <cell r="J2639">
            <v>6.944</v>
          </cell>
        </row>
        <row r="2639">
          <cell r="AA2639" t="str">
            <v>2T2R</v>
          </cell>
        </row>
        <row r="2640">
          <cell r="E2640" t="str">
            <v>ZDOM06</v>
          </cell>
        </row>
        <row r="2640">
          <cell r="G2640" t="str">
            <v>ZDOM06-M-L85-B1</v>
          </cell>
        </row>
        <row r="2640">
          <cell r="I2640">
            <v>80.0872</v>
          </cell>
          <cell r="J2640">
            <v>6.944</v>
          </cell>
        </row>
        <row r="2640">
          <cell r="AA2640" t="str">
            <v>2T2R</v>
          </cell>
        </row>
        <row r="2641">
          <cell r="E2641" t="str">
            <v>ZDOM06</v>
          </cell>
        </row>
        <row r="2641">
          <cell r="G2641" t="str">
            <v>ZDOM06-M-L85-A1</v>
          </cell>
        </row>
        <row r="2641">
          <cell r="I2641">
            <v>80.0872</v>
          </cell>
          <cell r="J2641">
            <v>6.944</v>
          </cell>
        </row>
        <row r="2641">
          <cell r="AA2641" t="str">
            <v>2T2R</v>
          </cell>
        </row>
        <row r="2642">
          <cell r="E2642" t="str">
            <v>ZDOM06</v>
          </cell>
        </row>
        <row r="2642">
          <cell r="G2642" t="str">
            <v>ZDOM06-M-L21-C2</v>
          </cell>
        </row>
        <row r="2642">
          <cell r="I2642">
            <v>80.0872</v>
          </cell>
          <cell r="J2642">
            <v>6.944</v>
          </cell>
        </row>
        <row r="2642">
          <cell r="AA2642" t="str">
            <v>2T2R</v>
          </cell>
        </row>
        <row r="2643">
          <cell r="E2643" t="str">
            <v>ZDOM06</v>
          </cell>
        </row>
        <row r="2643">
          <cell r="G2643" t="str">
            <v>ZDOM06-M-L21-B2</v>
          </cell>
        </row>
        <row r="2643">
          <cell r="I2643">
            <v>80.0872</v>
          </cell>
          <cell r="J2643">
            <v>6.944</v>
          </cell>
        </row>
        <row r="2643">
          <cell r="AA2643" t="str">
            <v>2T2R</v>
          </cell>
        </row>
        <row r="2644">
          <cell r="E2644" t="str">
            <v>ZDOM06</v>
          </cell>
        </row>
        <row r="2644">
          <cell r="G2644" t="str">
            <v>ZDOM06-M-L21-A2</v>
          </cell>
        </row>
        <row r="2644">
          <cell r="I2644">
            <v>80.0872</v>
          </cell>
          <cell r="J2644">
            <v>6.944</v>
          </cell>
        </row>
        <row r="2644">
          <cell r="AA2644" t="str">
            <v>4T4R</v>
          </cell>
        </row>
        <row r="2645">
          <cell r="E2645" t="str">
            <v>GMGNG1</v>
          </cell>
        </row>
        <row r="2645">
          <cell r="G2645" t="str">
            <v>GMGNG1I</v>
          </cell>
        </row>
        <row r="2645">
          <cell r="I2645">
            <v>80.087222</v>
          </cell>
          <cell r="J2645">
            <v>7.218333</v>
          </cell>
        </row>
        <row r="2645">
          <cell r="AA2645" t="str">
            <v>2T2R</v>
          </cell>
        </row>
        <row r="2646">
          <cell r="E2646" t="str">
            <v>GMGNG1</v>
          </cell>
        </row>
        <row r="2646">
          <cell r="G2646" t="str">
            <v>GMGNG1H</v>
          </cell>
        </row>
        <row r="2646">
          <cell r="I2646">
            <v>80.087222</v>
          </cell>
          <cell r="J2646">
            <v>7.218333</v>
          </cell>
        </row>
        <row r="2646">
          <cell r="AA2646" t="str">
            <v>2T2R</v>
          </cell>
        </row>
        <row r="2647">
          <cell r="E2647" t="str">
            <v>GMGNG1</v>
          </cell>
        </row>
        <row r="2647">
          <cell r="G2647" t="str">
            <v>GMGNG1G</v>
          </cell>
        </row>
        <row r="2647">
          <cell r="I2647">
            <v>80.087222</v>
          </cell>
          <cell r="J2647">
            <v>7.218333</v>
          </cell>
        </row>
        <row r="2647">
          <cell r="AA2647" t="str">
            <v>2T2R</v>
          </cell>
        </row>
        <row r="2648">
          <cell r="E2648" t="str">
            <v>ZDOM03</v>
          </cell>
        </row>
        <row r="2648">
          <cell r="G2648" t="str">
            <v>ZDOM03I</v>
          </cell>
        </row>
        <row r="2648">
          <cell r="I2648">
            <v>80.0891</v>
          </cell>
          <cell r="J2648">
            <v>7.03169</v>
          </cell>
        </row>
        <row r="2648">
          <cell r="AA2648" t="str">
            <v>2T2R</v>
          </cell>
        </row>
        <row r="2649">
          <cell r="E2649" t="str">
            <v>ZDOM03</v>
          </cell>
        </row>
        <row r="2649">
          <cell r="G2649" t="str">
            <v>ZDOM03H</v>
          </cell>
        </row>
        <row r="2649">
          <cell r="I2649">
            <v>80.0891</v>
          </cell>
          <cell r="J2649">
            <v>7.03169</v>
          </cell>
        </row>
        <row r="2649">
          <cell r="AA2649" t="str">
            <v>4T4R</v>
          </cell>
        </row>
        <row r="2650">
          <cell r="E2650" t="str">
            <v>ZDOM03</v>
          </cell>
        </row>
        <row r="2650">
          <cell r="G2650" t="str">
            <v>ZDOM03G</v>
          </cell>
        </row>
        <row r="2650">
          <cell r="I2650">
            <v>80.0891</v>
          </cell>
          <cell r="J2650">
            <v>7.03169</v>
          </cell>
        </row>
        <row r="2650">
          <cell r="AA2650" t="str">
            <v>2T2R</v>
          </cell>
        </row>
        <row r="2651">
          <cell r="E2651" t="str">
            <v>ZDOM03</v>
          </cell>
        </row>
        <row r="2651">
          <cell r="G2651" t="str">
            <v>ZDOM03-M-L85-C1</v>
          </cell>
        </row>
        <row r="2651">
          <cell r="I2651">
            <v>80.0891</v>
          </cell>
          <cell r="J2651">
            <v>7.03169</v>
          </cell>
        </row>
        <row r="2651">
          <cell r="AA2651" t="str">
            <v>2T2R</v>
          </cell>
        </row>
        <row r="2652">
          <cell r="E2652" t="str">
            <v>ZDOM03</v>
          </cell>
        </row>
        <row r="2652">
          <cell r="G2652" t="str">
            <v>ZDOM03-M-L85-B1</v>
          </cell>
        </row>
        <row r="2652">
          <cell r="I2652">
            <v>80.0891</v>
          </cell>
          <cell r="J2652">
            <v>7.03169</v>
          </cell>
        </row>
        <row r="2652">
          <cell r="AA2652" t="str">
            <v>2T2R</v>
          </cell>
        </row>
        <row r="2653">
          <cell r="E2653" t="str">
            <v>ZDOM03</v>
          </cell>
        </row>
        <row r="2653">
          <cell r="G2653" t="str">
            <v>ZDOM03-M-L85-A1</v>
          </cell>
        </row>
        <row r="2653">
          <cell r="I2653">
            <v>80.0891</v>
          </cell>
          <cell r="J2653">
            <v>7.03169</v>
          </cell>
        </row>
        <row r="2653">
          <cell r="AA2653" t="str">
            <v>2T2R</v>
          </cell>
        </row>
        <row r="2654">
          <cell r="E2654" t="str">
            <v>ZDOM03</v>
          </cell>
        </row>
        <row r="2654">
          <cell r="G2654" t="str">
            <v>ZDOM03-M-L18-I1</v>
          </cell>
        </row>
        <row r="2654">
          <cell r="I2654">
            <v>80.0891</v>
          </cell>
          <cell r="J2654">
            <v>7.03169</v>
          </cell>
        </row>
        <row r="2654">
          <cell r="AA2654" t="str">
            <v>4T4R</v>
          </cell>
        </row>
        <row r="2655">
          <cell r="E2655" t="str">
            <v>ZDOM03</v>
          </cell>
        </row>
        <row r="2655">
          <cell r="G2655" t="str">
            <v>ZDOM03-M-L21-B2</v>
          </cell>
        </row>
        <row r="2655">
          <cell r="I2655">
            <v>80.0891</v>
          </cell>
          <cell r="J2655">
            <v>7.03169</v>
          </cell>
        </row>
        <row r="2655">
          <cell r="AA2655" t="str">
            <v>2T2R</v>
          </cell>
        </row>
        <row r="2656">
          <cell r="E2656" t="str">
            <v>ZDOM03</v>
          </cell>
        </row>
        <row r="2656">
          <cell r="G2656" t="str">
            <v>ZDOM03-M-L21-C2</v>
          </cell>
        </row>
        <row r="2656">
          <cell r="I2656">
            <v>80.0891</v>
          </cell>
          <cell r="J2656">
            <v>7.03169</v>
          </cell>
        </row>
        <row r="2656">
          <cell r="AA2656" t="str">
            <v>2T2R</v>
          </cell>
        </row>
        <row r="2657">
          <cell r="E2657" t="str">
            <v>ZDOM03</v>
          </cell>
        </row>
        <row r="2657">
          <cell r="G2657" t="str">
            <v>ZDOM03-M-L21-A2</v>
          </cell>
        </row>
        <row r="2657">
          <cell r="I2657">
            <v>80.0891</v>
          </cell>
          <cell r="J2657">
            <v>7.03169</v>
          </cell>
        </row>
        <row r="2657">
          <cell r="AA2657" t="str">
            <v>2T2R</v>
          </cell>
        </row>
        <row r="2658">
          <cell r="E2658" t="str">
            <v>ZDOM03</v>
          </cell>
        </row>
        <row r="2658">
          <cell r="G2658" t="str">
            <v>ZDOM03-M-L18-H1</v>
          </cell>
        </row>
        <row r="2658">
          <cell r="I2658">
            <v>80.0891</v>
          </cell>
          <cell r="J2658">
            <v>7.03169</v>
          </cell>
        </row>
        <row r="2658">
          <cell r="AA2658" t="str">
            <v>4T4R</v>
          </cell>
        </row>
        <row r="2659">
          <cell r="E2659" t="str">
            <v>GMKIT1</v>
          </cell>
        </row>
        <row r="2659">
          <cell r="G2659" t="str">
            <v>GMKIT1I</v>
          </cell>
        </row>
        <row r="2659">
          <cell r="I2659">
            <v>80.0919</v>
          </cell>
          <cell r="J2659">
            <v>7.252</v>
          </cell>
        </row>
        <row r="2659">
          <cell r="AA2659" t="str">
            <v>2T2R</v>
          </cell>
        </row>
        <row r="2660">
          <cell r="E2660" t="str">
            <v>GMKIT1</v>
          </cell>
        </row>
        <row r="2660">
          <cell r="G2660" t="str">
            <v>GMKIT1H</v>
          </cell>
        </row>
        <row r="2660">
          <cell r="I2660">
            <v>80.0919</v>
          </cell>
          <cell r="J2660">
            <v>7.252</v>
          </cell>
        </row>
        <row r="2660">
          <cell r="AA2660" t="str">
            <v>2T2R</v>
          </cell>
        </row>
        <row r="2661">
          <cell r="E2661" t="str">
            <v>GMKIT1</v>
          </cell>
        </row>
        <row r="2661">
          <cell r="G2661" t="str">
            <v>GMKIT1G</v>
          </cell>
        </row>
        <row r="2661">
          <cell r="I2661">
            <v>80.0919</v>
          </cell>
          <cell r="J2661">
            <v>7.252</v>
          </cell>
        </row>
        <row r="2661">
          <cell r="AA2661" t="str">
            <v>2T2R</v>
          </cell>
        </row>
        <row r="2662">
          <cell r="E2662" t="str">
            <v>GMDIY1</v>
          </cell>
        </row>
        <row r="2662">
          <cell r="G2662" t="str">
            <v>GMDIY1I</v>
          </cell>
        </row>
        <row r="2662">
          <cell r="I2662">
            <v>80.0921</v>
          </cell>
          <cell r="J2662">
            <v>7.30104</v>
          </cell>
        </row>
        <row r="2662">
          <cell r="AA2662" t="str">
            <v>2T2R</v>
          </cell>
        </row>
        <row r="2663">
          <cell r="E2663" t="str">
            <v>GMDIY1</v>
          </cell>
        </row>
        <row r="2663">
          <cell r="G2663" t="str">
            <v>GMDIY1H</v>
          </cell>
        </row>
        <row r="2663">
          <cell r="I2663">
            <v>80.0921</v>
          </cell>
          <cell r="J2663">
            <v>7.30104</v>
          </cell>
        </row>
        <row r="2663">
          <cell r="AA2663" t="str">
            <v>2T2R</v>
          </cell>
        </row>
        <row r="2664">
          <cell r="E2664" t="str">
            <v>GMDIY1</v>
          </cell>
        </row>
        <row r="2664">
          <cell r="G2664" t="str">
            <v>GMDIY1G</v>
          </cell>
        </row>
        <row r="2664">
          <cell r="I2664">
            <v>80.0921</v>
          </cell>
          <cell r="J2664">
            <v>7.30104</v>
          </cell>
        </row>
        <row r="2664">
          <cell r="AA2664" t="str">
            <v>2T2R</v>
          </cell>
        </row>
        <row r="2665">
          <cell r="E2665" t="str">
            <v>GMDIY1</v>
          </cell>
        </row>
        <row r="2665">
          <cell r="G2665" t="str">
            <v>GMDIY1-M-L85-C1</v>
          </cell>
        </row>
        <row r="2665">
          <cell r="I2665">
            <v>80.0921</v>
          </cell>
          <cell r="J2665">
            <v>7.30104</v>
          </cell>
        </row>
        <row r="2665">
          <cell r="AA2665" t="str">
            <v>2T2R</v>
          </cell>
        </row>
        <row r="2666">
          <cell r="E2666" t="str">
            <v>GMDIY1</v>
          </cell>
        </row>
        <row r="2666">
          <cell r="G2666" t="str">
            <v>GMDIY1-M-L85-B1</v>
          </cell>
        </row>
        <row r="2666">
          <cell r="I2666">
            <v>80.0921</v>
          </cell>
          <cell r="J2666">
            <v>7.30104</v>
          </cell>
        </row>
        <row r="2666">
          <cell r="AA2666" t="str">
            <v>2T2R</v>
          </cell>
        </row>
        <row r="2667">
          <cell r="E2667" t="str">
            <v>GMDIY1</v>
          </cell>
        </row>
        <row r="2667">
          <cell r="G2667" t="str">
            <v>GMDIY1-M-L85-A1</v>
          </cell>
        </row>
        <row r="2667">
          <cell r="I2667">
            <v>80.0921</v>
          </cell>
          <cell r="J2667">
            <v>7.30104</v>
          </cell>
        </row>
        <row r="2667">
          <cell r="AA2667" t="str">
            <v>2T2R</v>
          </cell>
        </row>
        <row r="2668">
          <cell r="E2668" t="str">
            <v>GMWAT1</v>
          </cell>
        </row>
        <row r="2668">
          <cell r="G2668" t="str">
            <v>GMWAT1I</v>
          </cell>
        </row>
        <row r="2668">
          <cell r="I2668">
            <v>80.0921</v>
          </cell>
          <cell r="J2668">
            <v>7.05514</v>
          </cell>
        </row>
        <row r="2668">
          <cell r="AA2668" t="str">
            <v>4T4R</v>
          </cell>
        </row>
        <row r="2669">
          <cell r="E2669" t="str">
            <v>GMWAT1</v>
          </cell>
        </row>
        <row r="2669">
          <cell r="G2669" t="str">
            <v>GMWAT1H</v>
          </cell>
        </row>
        <row r="2669">
          <cell r="I2669">
            <v>80.0921</v>
          </cell>
          <cell r="J2669">
            <v>7.05514</v>
          </cell>
        </row>
        <row r="2669">
          <cell r="AA2669" t="str">
            <v>4T4R</v>
          </cell>
        </row>
        <row r="2670">
          <cell r="E2670" t="str">
            <v>GMWAT1</v>
          </cell>
        </row>
        <row r="2670">
          <cell r="G2670" t="str">
            <v>GMWAT1G</v>
          </cell>
        </row>
        <row r="2670">
          <cell r="I2670">
            <v>80.0921</v>
          </cell>
          <cell r="J2670">
            <v>7.05514</v>
          </cell>
        </row>
        <row r="2670">
          <cell r="AA2670" t="str">
            <v>4T4R</v>
          </cell>
        </row>
        <row r="2671">
          <cell r="E2671" t="str">
            <v>GMWAT1</v>
          </cell>
        </row>
        <row r="2671">
          <cell r="G2671" t="str">
            <v>GMWAT1-M-L85-C1</v>
          </cell>
        </row>
        <row r="2671">
          <cell r="I2671">
            <v>80.0921</v>
          </cell>
          <cell r="J2671">
            <v>7.05514</v>
          </cell>
        </row>
        <row r="2671">
          <cell r="AA2671" t="str">
            <v>2T2R</v>
          </cell>
        </row>
        <row r="2672">
          <cell r="E2672" t="str">
            <v>GMWAT1</v>
          </cell>
        </row>
        <row r="2672">
          <cell r="G2672" t="str">
            <v>GMWAT1-M-L85-B1</v>
          </cell>
        </row>
        <row r="2672">
          <cell r="I2672">
            <v>80.0921</v>
          </cell>
          <cell r="J2672">
            <v>7.05514</v>
          </cell>
        </row>
        <row r="2672">
          <cell r="AA2672" t="str">
            <v>2T2R</v>
          </cell>
        </row>
        <row r="2673">
          <cell r="E2673" t="str">
            <v>GMWAT1</v>
          </cell>
        </row>
        <row r="2673">
          <cell r="G2673" t="str">
            <v>GMWAT1-M-L85-A1</v>
          </cell>
        </row>
        <row r="2673">
          <cell r="I2673">
            <v>80.0921</v>
          </cell>
          <cell r="J2673">
            <v>7.05514</v>
          </cell>
        </row>
        <row r="2673">
          <cell r="AA2673" t="str">
            <v>2T2R</v>
          </cell>
        </row>
        <row r="2674">
          <cell r="E2674" t="str">
            <v>GMNIT1</v>
          </cell>
        </row>
        <row r="2674">
          <cell r="G2674" t="str">
            <v>GMNIT1G</v>
          </cell>
        </row>
        <row r="2674">
          <cell r="I2674">
            <v>80.093055</v>
          </cell>
          <cell r="J2674">
            <v>7.145555</v>
          </cell>
        </row>
        <row r="2674">
          <cell r="AA2674" t="str">
            <v>4T4R</v>
          </cell>
        </row>
        <row r="2675">
          <cell r="E2675" t="str">
            <v>GMNIT1</v>
          </cell>
        </row>
        <row r="2675">
          <cell r="G2675" t="str">
            <v>GMNIT1H</v>
          </cell>
        </row>
        <row r="2675">
          <cell r="I2675">
            <v>80.093055</v>
          </cell>
          <cell r="J2675">
            <v>7.145555</v>
          </cell>
        </row>
        <row r="2675">
          <cell r="AA2675" t="str">
            <v>4T4R</v>
          </cell>
        </row>
        <row r="2676">
          <cell r="E2676" t="str">
            <v>GMNIT1</v>
          </cell>
        </row>
        <row r="2676">
          <cell r="G2676" t="str">
            <v>GMNIT1I</v>
          </cell>
        </row>
        <row r="2676">
          <cell r="I2676">
            <v>80.093055</v>
          </cell>
          <cell r="J2676">
            <v>7.145555</v>
          </cell>
        </row>
        <row r="2676">
          <cell r="AA2676" t="str">
            <v>4T4R</v>
          </cell>
        </row>
        <row r="2677">
          <cell r="E2677" t="str">
            <v>GMNIT1</v>
          </cell>
        </row>
        <row r="2677">
          <cell r="G2677" t="str">
            <v>GMNIT1-M-L85-D1</v>
          </cell>
        </row>
        <row r="2677">
          <cell r="I2677">
            <v>80.093055</v>
          </cell>
          <cell r="J2677">
            <v>7.145555</v>
          </cell>
        </row>
        <row r="2677">
          <cell r="AA2677" t="str">
            <v>2T2R</v>
          </cell>
        </row>
        <row r="2678">
          <cell r="E2678" t="str">
            <v>GMNIT1</v>
          </cell>
        </row>
        <row r="2678">
          <cell r="G2678" t="str">
            <v>GMNIT1-M-L85-C1</v>
          </cell>
        </row>
        <row r="2678">
          <cell r="I2678">
            <v>80.093055</v>
          </cell>
          <cell r="J2678">
            <v>7.145555</v>
          </cell>
        </row>
        <row r="2678">
          <cell r="AA2678" t="str">
            <v>2T2R</v>
          </cell>
        </row>
        <row r="2679">
          <cell r="E2679" t="str">
            <v>GMNIT1</v>
          </cell>
        </row>
        <row r="2679">
          <cell r="G2679" t="str">
            <v>GMNIT1-M-L85-B1</v>
          </cell>
        </row>
        <row r="2679">
          <cell r="I2679">
            <v>80.093055</v>
          </cell>
          <cell r="J2679">
            <v>7.145555</v>
          </cell>
        </row>
        <row r="2679">
          <cell r="AA2679" t="str">
            <v>2T2R</v>
          </cell>
        </row>
        <row r="2680">
          <cell r="E2680" t="str">
            <v>GMNIT1</v>
          </cell>
        </row>
        <row r="2680">
          <cell r="G2680" t="str">
            <v>GMNIT1-M-L85-A1</v>
          </cell>
        </row>
        <row r="2680">
          <cell r="I2680">
            <v>80.093055</v>
          </cell>
          <cell r="J2680">
            <v>7.145555</v>
          </cell>
        </row>
        <row r="2680">
          <cell r="AA2680" t="str">
            <v>2T2R</v>
          </cell>
        </row>
        <row r="2681">
          <cell r="E2681" t="str">
            <v>GMNIT1</v>
          </cell>
        </row>
        <row r="2681">
          <cell r="G2681" t="str">
            <v>GMNIT1-M-L21-C2</v>
          </cell>
        </row>
        <row r="2681">
          <cell r="I2681">
            <v>80.093055</v>
          </cell>
          <cell r="J2681">
            <v>7.145555</v>
          </cell>
        </row>
        <row r="2681">
          <cell r="AA2681" t="str">
            <v>2T2R</v>
          </cell>
        </row>
        <row r="2682">
          <cell r="E2682" t="str">
            <v>GMNIT1</v>
          </cell>
        </row>
        <row r="2682">
          <cell r="G2682" t="str">
            <v>GMNIT1-M-L21-B2</v>
          </cell>
        </row>
        <row r="2682">
          <cell r="I2682">
            <v>80.093055</v>
          </cell>
          <cell r="J2682">
            <v>7.145555</v>
          </cell>
        </row>
        <row r="2682">
          <cell r="AA2682" t="str">
            <v>2T2R</v>
          </cell>
        </row>
        <row r="2683">
          <cell r="E2683" t="str">
            <v>GMNIT1</v>
          </cell>
        </row>
        <row r="2683">
          <cell r="G2683" t="str">
            <v>GMNIT1-M-L21-A2</v>
          </cell>
        </row>
        <row r="2683">
          <cell r="I2683">
            <v>80.093055</v>
          </cell>
          <cell r="J2683">
            <v>7.145555</v>
          </cell>
        </row>
        <row r="2683">
          <cell r="AA2683" t="str">
            <v>2T2R</v>
          </cell>
        </row>
        <row r="2684">
          <cell r="E2684" t="str">
            <v>GMPAL1</v>
          </cell>
        </row>
        <row r="2684">
          <cell r="G2684" t="str">
            <v>GMPAL1-M-L21-C2</v>
          </cell>
        </row>
        <row r="2684">
          <cell r="I2684">
            <v>80.0949</v>
          </cell>
          <cell r="J2684">
            <v>7.18472</v>
          </cell>
        </row>
        <row r="2684">
          <cell r="AA2684" t="str">
            <v>2T2R</v>
          </cell>
        </row>
        <row r="2685">
          <cell r="E2685" t="str">
            <v>GMPAL1</v>
          </cell>
        </row>
        <row r="2685">
          <cell r="G2685" t="str">
            <v>GMPAL1-M-L21-B2</v>
          </cell>
        </row>
        <row r="2685">
          <cell r="I2685">
            <v>80.0949</v>
          </cell>
          <cell r="J2685">
            <v>7.18472</v>
          </cell>
        </row>
        <row r="2685">
          <cell r="AA2685" t="str">
            <v>2T2R</v>
          </cell>
        </row>
        <row r="2686">
          <cell r="E2686" t="str">
            <v>GMPAL1</v>
          </cell>
        </row>
        <row r="2686">
          <cell r="G2686" t="str">
            <v>GMPAL1-M-L21-A2</v>
          </cell>
        </row>
        <row r="2686">
          <cell r="I2686">
            <v>80.0949</v>
          </cell>
          <cell r="J2686">
            <v>7.18472</v>
          </cell>
        </row>
        <row r="2686">
          <cell r="AA2686" t="str">
            <v>2T2R</v>
          </cell>
        </row>
        <row r="2687">
          <cell r="E2687" t="str">
            <v>GMPAL1</v>
          </cell>
        </row>
        <row r="2687">
          <cell r="G2687" t="str">
            <v>GMPAL1I</v>
          </cell>
        </row>
        <row r="2687">
          <cell r="I2687">
            <v>80.0949</v>
          </cell>
          <cell r="J2687">
            <v>7.18472</v>
          </cell>
        </row>
        <row r="2687">
          <cell r="AA2687" t="str">
            <v>4T4R</v>
          </cell>
        </row>
        <row r="2688">
          <cell r="E2688" t="str">
            <v>GMPAL1</v>
          </cell>
        </row>
        <row r="2688">
          <cell r="G2688" t="str">
            <v>GMPAL1H</v>
          </cell>
        </row>
        <row r="2688">
          <cell r="I2688">
            <v>80.0949</v>
          </cell>
          <cell r="J2688">
            <v>7.18472</v>
          </cell>
        </row>
        <row r="2688">
          <cell r="AA2688" t="str">
            <v>2T2R</v>
          </cell>
        </row>
        <row r="2689">
          <cell r="E2689" t="str">
            <v>GMPAL1</v>
          </cell>
        </row>
        <row r="2689">
          <cell r="G2689" t="str">
            <v>GMPAL1G</v>
          </cell>
        </row>
        <row r="2689">
          <cell r="I2689">
            <v>80.0949</v>
          </cell>
          <cell r="J2689">
            <v>7.18472</v>
          </cell>
        </row>
        <row r="2689">
          <cell r="AA2689" t="str">
            <v>4T4R</v>
          </cell>
        </row>
        <row r="2690">
          <cell r="E2690" t="str">
            <v>GMPAL1</v>
          </cell>
        </row>
        <row r="2690">
          <cell r="G2690" t="str">
            <v>GMPAL1-M-L85-C1</v>
          </cell>
        </row>
        <row r="2690">
          <cell r="I2690">
            <v>80.0949</v>
          </cell>
          <cell r="J2690">
            <v>7.18472</v>
          </cell>
        </row>
        <row r="2690">
          <cell r="AA2690" t="str">
            <v>2T2R</v>
          </cell>
        </row>
        <row r="2691">
          <cell r="E2691" t="str">
            <v>GMPAL1</v>
          </cell>
        </row>
        <row r="2691">
          <cell r="G2691" t="str">
            <v>GMPAL1-M-L85-B1</v>
          </cell>
        </row>
        <row r="2691">
          <cell r="I2691">
            <v>80.0949</v>
          </cell>
          <cell r="J2691">
            <v>7.18472</v>
          </cell>
        </row>
        <row r="2691">
          <cell r="AA2691" t="str">
            <v>2T2R</v>
          </cell>
        </row>
        <row r="2692">
          <cell r="E2692" t="str">
            <v>GMPAL1</v>
          </cell>
        </row>
        <row r="2692">
          <cell r="G2692" t="str">
            <v>GMPAL1-M-L85-A1</v>
          </cell>
        </row>
        <row r="2692">
          <cell r="I2692">
            <v>80.0949</v>
          </cell>
          <cell r="J2692">
            <v>7.18472</v>
          </cell>
        </row>
        <row r="2692">
          <cell r="AA2692" t="str">
            <v>2T2R</v>
          </cell>
        </row>
        <row r="2693">
          <cell r="E2693" t="str">
            <v>ZDOM11</v>
          </cell>
        </row>
        <row r="2693">
          <cell r="G2693" t="str">
            <v>ZDOM11I</v>
          </cell>
        </row>
        <row r="2693">
          <cell r="I2693">
            <v>80.096</v>
          </cell>
          <cell r="J2693">
            <v>7.00106</v>
          </cell>
        </row>
        <row r="2693">
          <cell r="AA2693" t="str">
            <v>4T4R</v>
          </cell>
        </row>
        <row r="2694">
          <cell r="E2694" t="str">
            <v>ZDOM11</v>
          </cell>
        </row>
        <row r="2694">
          <cell r="G2694" t="str">
            <v>ZDOM11H</v>
          </cell>
        </row>
        <row r="2694">
          <cell r="I2694">
            <v>80.096</v>
          </cell>
          <cell r="J2694">
            <v>7.00106</v>
          </cell>
        </row>
        <row r="2694">
          <cell r="AA2694" t="str">
            <v>2T2R</v>
          </cell>
        </row>
        <row r="2695">
          <cell r="E2695" t="str">
            <v>ZDOM11</v>
          </cell>
        </row>
        <row r="2695">
          <cell r="G2695" t="str">
            <v>ZDOM11G</v>
          </cell>
        </row>
        <row r="2695">
          <cell r="I2695">
            <v>80.096</v>
          </cell>
          <cell r="J2695">
            <v>7.00106</v>
          </cell>
        </row>
        <row r="2695">
          <cell r="AA2695" t="str">
            <v>4T4R</v>
          </cell>
        </row>
        <row r="2696">
          <cell r="E2696" t="str">
            <v>ZDOM11</v>
          </cell>
        </row>
        <row r="2696">
          <cell r="G2696" t="str">
            <v>ZDOM11-M-L85-C1</v>
          </cell>
        </row>
        <row r="2696">
          <cell r="I2696">
            <v>80.096</v>
          </cell>
          <cell r="J2696">
            <v>7.00106</v>
          </cell>
        </row>
        <row r="2696">
          <cell r="AA2696" t="str">
            <v>2T2R</v>
          </cell>
        </row>
        <row r="2697">
          <cell r="E2697" t="str">
            <v>ZDOM11</v>
          </cell>
        </row>
        <row r="2697">
          <cell r="G2697" t="str">
            <v>ZDOM11-M-L85-B1</v>
          </cell>
        </row>
        <row r="2697">
          <cell r="I2697">
            <v>80.096</v>
          </cell>
          <cell r="J2697">
            <v>7.00106</v>
          </cell>
        </row>
        <row r="2697">
          <cell r="AA2697" t="str">
            <v>2T2R</v>
          </cell>
        </row>
        <row r="2698">
          <cell r="E2698" t="str">
            <v>ZDOM11</v>
          </cell>
        </row>
        <row r="2698">
          <cell r="G2698" t="str">
            <v>ZDOM11-M-L85-A1</v>
          </cell>
        </row>
        <row r="2698">
          <cell r="I2698">
            <v>80.096</v>
          </cell>
          <cell r="J2698">
            <v>7.00106</v>
          </cell>
        </row>
        <row r="2698">
          <cell r="AA2698" t="str">
            <v>2T2R</v>
          </cell>
        </row>
        <row r="2699">
          <cell r="E2699" t="str">
            <v>ZDOM11</v>
          </cell>
        </row>
        <row r="2699">
          <cell r="G2699" t="str">
            <v>ZDOM11-M-L21-C2</v>
          </cell>
        </row>
        <row r="2699">
          <cell r="I2699">
            <v>80.096</v>
          </cell>
          <cell r="J2699">
            <v>7.00106</v>
          </cell>
        </row>
        <row r="2699">
          <cell r="AA2699" t="str">
            <v>2T2R</v>
          </cell>
        </row>
        <row r="2700">
          <cell r="E2700" t="str">
            <v>ZDOM11</v>
          </cell>
        </row>
        <row r="2700">
          <cell r="G2700" t="str">
            <v>ZDOM11-M-L21-B2</v>
          </cell>
        </row>
        <row r="2700">
          <cell r="I2700">
            <v>80.096</v>
          </cell>
          <cell r="J2700">
            <v>7.00106</v>
          </cell>
        </row>
        <row r="2700">
          <cell r="AA2700" t="str">
            <v>2T2R</v>
          </cell>
        </row>
        <row r="2701">
          <cell r="E2701" t="str">
            <v>ZDOM11</v>
          </cell>
        </row>
        <row r="2701">
          <cell r="G2701" t="str">
            <v>ZDOM11-M-L21-A2</v>
          </cell>
        </row>
        <row r="2701">
          <cell r="I2701">
            <v>80.096</v>
          </cell>
          <cell r="J2701">
            <v>7.00106</v>
          </cell>
        </row>
        <row r="2701">
          <cell r="AA2701" t="str">
            <v>2T2R</v>
          </cell>
        </row>
        <row r="2702">
          <cell r="E2702" t="str">
            <v>GMNIT3</v>
          </cell>
        </row>
        <row r="2702">
          <cell r="G2702" t="str">
            <v>GMNIT3-M-L21-C2</v>
          </cell>
        </row>
        <row r="2702">
          <cell r="I2702">
            <v>80.0961</v>
          </cell>
          <cell r="J2702">
            <v>7.1397</v>
          </cell>
        </row>
        <row r="2702">
          <cell r="AA2702" t="str">
            <v>2T2R</v>
          </cell>
        </row>
        <row r="2703">
          <cell r="E2703" t="str">
            <v>GMNIT3</v>
          </cell>
        </row>
        <row r="2703">
          <cell r="G2703" t="str">
            <v>GMNIT3-M-L21-B2</v>
          </cell>
        </row>
        <row r="2703">
          <cell r="I2703">
            <v>80.0961</v>
          </cell>
          <cell r="J2703">
            <v>7.1397</v>
          </cell>
        </row>
        <row r="2703">
          <cell r="AA2703" t="str">
            <v>2T2R</v>
          </cell>
        </row>
        <row r="2704">
          <cell r="E2704" t="str">
            <v>GMNIT3</v>
          </cell>
        </row>
        <row r="2704">
          <cell r="G2704" t="str">
            <v>GMNIT3-M-L21-A2</v>
          </cell>
        </row>
        <row r="2704">
          <cell r="I2704">
            <v>80.0961</v>
          </cell>
          <cell r="J2704">
            <v>7.1397</v>
          </cell>
        </row>
        <row r="2704">
          <cell r="AA2704" t="str">
            <v>2T2R</v>
          </cell>
        </row>
        <row r="2705">
          <cell r="E2705" t="str">
            <v>GMNIT3</v>
          </cell>
        </row>
        <row r="2705">
          <cell r="G2705" t="str">
            <v>GMNIT3I</v>
          </cell>
        </row>
        <row r="2705">
          <cell r="I2705">
            <v>80.0961</v>
          </cell>
          <cell r="J2705">
            <v>7.1397</v>
          </cell>
        </row>
        <row r="2705">
          <cell r="AA2705" t="str">
            <v>2T2R</v>
          </cell>
        </row>
        <row r="2706">
          <cell r="E2706" t="str">
            <v>GMNIT3</v>
          </cell>
        </row>
        <row r="2706">
          <cell r="G2706" t="str">
            <v>GMNIT3H</v>
          </cell>
        </row>
        <row r="2706">
          <cell r="I2706">
            <v>80.0961</v>
          </cell>
          <cell r="J2706">
            <v>7.1397</v>
          </cell>
        </row>
        <row r="2706">
          <cell r="AA2706" t="str">
            <v>2T2R</v>
          </cell>
        </row>
        <row r="2707">
          <cell r="E2707" t="str">
            <v>GMNIT3</v>
          </cell>
        </row>
        <row r="2707">
          <cell r="G2707" t="str">
            <v>GMNIT3G</v>
          </cell>
        </row>
        <row r="2707">
          <cell r="I2707">
            <v>80.0961</v>
          </cell>
          <cell r="J2707">
            <v>7.1397</v>
          </cell>
        </row>
        <row r="2707">
          <cell r="AA2707" t="str">
            <v>2T2R</v>
          </cell>
        </row>
        <row r="2708">
          <cell r="E2708" t="str">
            <v>GMMIR4</v>
          </cell>
        </row>
        <row r="2708">
          <cell r="G2708" t="str">
            <v>GMMIR4I</v>
          </cell>
        </row>
        <row r="2708">
          <cell r="I2708">
            <v>80.0993</v>
          </cell>
          <cell r="J2708">
            <v>7.26209</v>
          </cell>
        </row>
        <row r="2708">
          <cell r="AA2708" t="str">
            <v>4T4R</v>
          </cell>
        </row>
        <row r="2709">
          <cell r="E2709" t="str">
            <v>GMMIR4</v>
          </cell>
        </row>
        <row r="2709">
          <cell r="G2709" t="str">
            <v>GMMIR4H</v>
          </cell>
        </row>
        <row r="2709">
          <cell r="I2709">
            <v>80.0993</v>
          </cell>
          <cell r="J2709">
            <v>7.26209</v>
          </cell>
        </row>
        <row r="2709">
          <cell r="AA2709" t="str">
            <v>4T4R</v>
          </cell>
        </row>
        <row r="2710">
          <cell r="E2710" t="str">
            <v>GMMIR4</v>
          </cell>
        </row>
        <row r="2710">
          <cell r="G2710" t="str">
            <v>GMMIR4G</v>
          </cell>
        </row>
        <row r="2710">
          <cell r="I2710">
            <v>80.0993</v>
          </cell>
          <cell r="J2710">
            <v>7.26209</v>
          </cell>
        </row>
        <row r="2710">
          <cell r="AA2710" t="str">
            <v>2T2R</v>
          </cell>
        </row>
        <row r="2711">
          <cell r="E2711" t="str">
            <v>GMMIR4</v>
          </cell>
        </row>
        <row r="2711">
          <cell r="G2711" t="str">
            <v>GMMIR4-M-L21-C2</v>
          </cell>
        </row>
        <row r="2711">
          <cell r="I2711">
            <v>80.0993</v>
          </cell>
          <cell r="J2711">
            <v>7.26209</v>
          </cell>
        </row>
        <row r="2711">
          <cell r="AA2711" t="str">
            <v>4T4R</v>
          </cell>
        </row>
        <row r="2712">
          <cell r="E2712" t="str">
            <v>GMMIR4</v>
          </cell>
        </row>
        <row r="2712">
          <cell r="G2712" t="str">
            <v>GMMIR4-M-L21-B2</v>
          </cell>
        </row>
        <row r="2712">
          <cell r="I2712">
            <v>80.0993</v>
          </cell>
          <cell r="J2712">
            <v>7.26209</v>
          </cell>
        </row>
        <row r="2712">
          <cell r="AA2712" t="str">
            <v>2T2R</v>
          </cell>
        </row>
        <row r="2713">
          <cell r="E2713" t="str">
            <v>GMMIR4</v>
          </cell>
        </row>
        <row r="2713">
          <cell r="G2713" t="str">
            <v>GMMIR4-M-L21-A2</v>
          </cell>
        </row>
        <row r="2713">
          <cell r="I2713">
            <v>80.0993</v>
          </cell>
          <cell r="J2713">
            <v>7.26209</v>
          </cell>
        </row>
        <row r="2713">
          <cell r="AA2713" t="str">
            <v>2T2R</v>
          </cell>
        </row>
        <row r="2714">
          <cell r="E2714" t="str">
            <v>GMMIR4</v>
          </cell>
        </row>
        <row r="2714">
          <cell r="G2714" t="str">
            <v>GMMIR4-M-L85-C1</v>
          </cell>
        </row>
        <row r="2714">
          <cell r="I2714">
            <v>80.0993</v>
          </cell>
          <cell r="J2714">
            <v>7.26209</v>
          </cell>
        </row>
        <row r="2714">
          <cell r="AA2714" t="str">
            <v>2T2R</v>
          </cell>
        </row>
        <row r="2715">
          <cell r="E2715" t="str">
            <v>GMMIR4</v>
          </cell>
        </row>
        <row r="2715">
          <cell r="G2715" t="str">
            <v>GMMIR4-M-L85-B1</v>
          </cell>
        </row>
        <row r="2715">
          <cell r="I2715">
            <v>80.0993</v>
          </cell>
          <cell r="J2715">
            <v>7.26209</v>
          </cell>
        </row>
        <row r="2715">
          <cell r="AA2715" t="str">
            <v>2T2R</v>
          </cell>
        </row>
        <row r="2716">
          <cell r="E2716" t="str">
            <v>GMMIR4</v>
          </cell>
        </row>
        <row r="2716">
          <cell r="G2716" t="str">
            <v>GMMIR4-M-L85-A1</v>
          </cell>
        </row>
        <row r="2716">
          <cell r="I2716">
            <v>80.0993</v>
          </cell>
          <cell r="J2716">
            <v>7.26209</v>
          </cell>
        </row>
        <row r="2716">
          <cell r="AA2716" t="str">
            <v>2T2R</v>
          </cell>
        </row>
        <row r="2717">
          <cell r="E2717" t="str">
            <v>ZDOM24</v>
          </cell>
        </row>
        <row r="2717">
          <cell r="G2717" t="str">
            <v>ZDOM24I</v>
          </cell>
        </row>
        <row r="2717">
          <cell r="I2717">
            <v>80.1009</v>
          </cell>
          <cell r="J2717">
            <v>7.0397</v>
          </cell>
        </row>
        <row r="2717">
          <cell r="AA2717" t="str">
            <v>4T4R</v>
          </cell>
        </row>
        <row r="2718">
          <cell r="E2718" t="str">
            <v>ZDOM24</v>
          </cell>
        </row>
        <row r="2718">
          <cell r="G2718" t="str">
            <v>ZDOM24H</v>
          </cell>
        </row>
        <row r="2718">
          <cell r="I2718">
            <v>80.1009</v>
          </cell>
          <cell r="J2718">
            <v>7.0397</v>
          </cell>
        </row>
        <row r="2718">
          <cell r="AA2718" t="str">
            <v>4T4R</v>
          </cell>
        </row>
        <row r="2719">
          <cell r="E2719" t="str">
            <v>ZDOM24</v>
          </cell>
        </row>
        <row r="2719">
          <cell r="G2719" t="str">
            <v>ZDOM24G</v>
          </cell>
        </row>
        <row r="2719">
          <cell r="I2719">
            <v>80.1009</v>
          </cell>
          <cell r="J2719">
            <v>7.0397</v>
          </cell>
        </row>
        <row r="2719">
          <cell r="AA2719" t="str">
            <v>4T4R</v>
          </cell>
        </row>
        <row r="2720">
          <cell r="E2720" t="str">
            <v>GMHAK1</v>
          </cell>
        </row>
        <row r="2720">
          <cell r="G2720" t="str">
            <v>GMHAK1-M-L21-C2</v>
          </cell>
        </row>
        <row r="2720">
          <cell r="I2720">
            <v>80.101388</v>
          </cell>
          <cell r="J2720">
            <v>7.165277</v>
          </cell>
        </row>
        <row r="2720">
          <cell r="AA2720" t="str">
            <v>2T2R</v>
          </cell>
        </row>
        <row r="2721">
          <cell r="E2721" t="str">
            <v>GMHAK1</v>
          </cell>
        </row>
        <row r="2721">
          <cell r="G2721" t="str">
            <v>GMHAK1-M-L21-B2</v>
          </cell>
        </row>
        <row r="2721">
          <cell r="I2721">
            <v>80.101388</v>
          </cell>
          <cell r="J2721">
            <v>7.165277</v>
          </cell>
        </row>
        <row r="2721">
          <cell r="AA2721" t="str">
            <v>2T2R</v>
          </cell>
        </row>
        <row r="2722">
          <cell r="E2722" t="str">
            <v>GMHAK1</v>
          </cell>
        </row>
        <row r="2722">
          <cell r="G2722" t="str">
            <v>GMHAK1-M-L21-A2</v>
          </cell>
        </row>
        <row r="2722">
          <cell r="I2722">
            <v>80.101388</v>
          </cell>
          <cell r="J2722">
            <v>7.165277</v>
          </cell>
        </row>
        <row r="2722">
          <cell r="AA2722" t="str">
            <v>2T2R</v>
          </cell>
        </row>
        <row r="2723">
          <cell r="E2723" t="str">
            <v>GMHAK1</v>
          </cell>
        </row>
        <row r="2723">
          <cell r="G2723" t="str">
            <v>GMHAK1-M-L85-C1</v>
          </cell>
        </row>
        <row r="2723">
          <cell r="I2723">
            <v>80.101388</v>
          </cell>
          <cell r="J2723">
            <v>7.165277</v>
          </cell>
        </row>
        <row r="2723">
          <cell r="AA2723" t="str">
            <v>2T2R</v>
          </cell>
        </row>
        <row r="2724">
          <cell r="E2724" t="str">
            <v>GMHAK1</v>
          </cell>
        </row>
        <row r="2724">
          <cell r="G2724" t="str">
            <v>GMHAK1-M-L85-B1</v>
          </cell>
        </row>
        <row r="2724">
          <cell r="I2724">
            <v>80.101388</v>
          </cell>
          <cell r="J2724">
            <v>7.165277</v>
          </cell>
        </row>
        <row r="2724">
          <cell r="AA2724" t="str">
            <v>2T2R</v>
          </cell>
        </row>
        <row r="2725">
          <cell r="E2725" t="str">
            <v>GMHAK1</v>
          </cell>
        </row>
        <row r="2725">
          <cell r="G2725" t="str">
            <v>GMHAK1-M-L85-A1</v>
          </cell>
        </row>
        <row r="2725">
          <cell r="I2725">
            <v>80.101388</v>
          </cell>
          <cell r="J2725">
            <v>7.165277</v>
          </cell>
        </row>
        <row r="2725">
          <cell r="AA2725" t="str">
            <v>2T2R</v>
          </cell>
        </row>
        <row r="2726">
          <cell r="E2726" t="str">
            <v>GMHAK1</v>
          </cell>
        </row>
        <row r="2726">
          <cell r="G2726" t="str">
            <v>GMHAK1I</v>
          </cell>
        </row>
        <row r="2726">
          <cell r="I2726">
            <v>80.101388</v>
          </cell>
          <cell r="J2726">
            <v>7.165277</v>
          </cell>
        </row>
        <row r="2726">
          <cell r="AA2726" t="str">
            <v>2T2R</v>
          </cell>
        </row>
        <row r="2727">
          <cell r="E2727" t="str">
            <v>GMHAK1</v>
          </cell>
        </row>
        <row r="2727">
          <cell r="G2727" t="str">
            <v>GMHAK1H</v>
          </cell>
        </row>
        <row r="2727">
          <cell r="I2727">
            <v>80.101388</v>
          </cell>
          <cell r="J2727">
            <v>7.165277</v>
          </cell>
        </row>
        <row r="2727">
          <cell r="AA2727" t="str">
            <v>2T2R</v>
          </cell>
        </row>
        <row r="2728">
          <cell r="E2728" t="str">
            <v>GMHAK1</v>
          </cell>
        </row>
        <row r="2728">
          <cell r="G2728" t="str">
            <v>GMHAK1G</v>
          </cell>
        </row>
        <row r="2728">
          <cell r="I2728">
            <v>80.101388</v>
          </cell>
          <cell r="J2728">
            <v>7.165277</v>
          </cell>
        </row>
        <row r="2728">
          <cell r="AA2728" t="str">
            <v>2T2R</v>
          </cell>
        </row>
        <row r="2729">
          <cell r="E2729" t="str">
            <v>GMWAT2</v>
          </cell>
        </row>
        <row r="2729">
          <cell r="G2729" t="str">
            <v>GMWAT2I</v>
          </cell>
        </row>
        <row r="2729">
          <cell r="I2729">
            <v>80.1024</v>
          </cell>
          <cell r="J2729">
            <v>7.07542</v>
          </cell>
        </row>
        <row r="2729">
          <cell r="AA2729" t="str">
            <v>2T2R</v>
          </cell>
        </row>
        <row r="2730">
          <cell r="E2730" t="str">
            <v>GMWAT2</v>
          </cell>
        </row>
        <row r="2730">
          <cell r="G2730" t="str">
            <v>GMWAT2H</v>
          </cell>
        </row>
        <row r="2730">
          <cell r="I2730">
            <v>80.1024</v>
          </cell>
          <cell r="J2730">
            <v>7.07542</v>
          </cell>
        </row>
        <row r="2730">
          <cell r="AA2730" t="str">
            <v>2T2R</v>
          </cell>
        </row>
        <row r="2731">
          <cell r="E2731" t="str">
            <v>GMWAT2</v>
          </cell>
        </row>
        <row r="2731">
          <cell r="G2731" t="str">
            <v>GMWAT2G</v>
          </cell>
        </row>
        <row r="2731">
          <cell r="I2731">
            <v>80.1024</v>
          </cell>
          <cell r="J2731">
            <v>7.07542</v>
          </cell>
        </row>
        <row r="2731">
          <cell r="AA2731" t="str">
            <v>2T2R</v>
          </cell>
        </row>
        <row r="2732">
          <cell r="E2732" t="str">
            <v>GMWAT2</v>
          </cell>
        </row>
        <row r="2732">
          <cell r="G2732" t="str">
            <v>GMWAT2-M-L85-C1</v>
          </cell>
        </row>
        <row r="2732">
          <cell r="I2732">
            <v>80.1024</v>
          </cell>
          <cell r="J2732">
            <v>7.07542</v>
          </cell>
        </row>
        <row r="2732">
          <cell r="AA2732" t="str">
            <v>2T2R</v>
          </cell>
        </row>
        <row r="2733">
          <cell r="E2733" t="str">
            <v>GMWAT2</v>
          </cell>
        </row>
        <row r="2733">
          <cell r="G2733" t="str">
            <v>GMWAT2-M-L85-B1</v>
          </cell>
        </row>
        <row r="2733">
          <cell r="I2733">
            <v>80.1024</v>
          </cell>
          <cell r="J2733">
            <v>7.07542</v>
          </cell>
        </row>
        <row r="2733">
          <cell r="AA2733" t="str">
            <v>2T2R</v>
          </cell>
        </row>
        <row r="2734">
          <cell r="E2734" t="str">
            <v>GMWAT2</v>
          </cell>
        </row>
        <row r="2734">
          <cell r="G2734" t="str">
            <v>GMWAT2-M-L85-A1</v>
          </cell>
        </row>
        <row r="2734">
          <cell r="I2734">
            <v>80.1024</v>
          </cell>
          <cell r="J2734">
            <v>7.07542</v>
          </cell>
        </row>
        <row r="2734">
          <cell r="AA2734" t="str">
            <v>2T2R</v>
          </cell>
        </row>
        <row r="2735">
          <cell r="E2735" t="str">
            <v>GMMIR7</v>
          </cell>
        </row>
        <row r="2735">
          <cell r="G2735" t="str">
            <v>GMMIR7I</v>
          </cell>
        </row>
        <row r="2735">
          <cell r="I2735">
            <v>80.102851</v>
          </cell>
          <cell r="J2735">
            <v>7.237529</v>
          </cell>
        </row>
        <row r="2735">
          <cell r="AA2735" t="str">
            <v>4T4R</v>
          </cell>
        </row>
        <row r="2736">
          <cell r="E2736" t="str">
            <v>GMMIR7</v>
          </cell>
        </row>
        <row r="2736">
          <cell r="G2736" t="str">
            <v>GMMIR7H</v>
          </cell>
        </row>
        <row r="2736">
          <cell r="I2736">
            <v>80.102851</v>
          </cell>
          <cell r="J2736">
            <v>7.237529</v>
          </cell>
        </row>
        <row r="2736">
          <cell r="AA2736" t="str">
            <v>2T2R</v>
          </cell>
        </row>
        <row r="2737">
          <cell r="E2737" t="str">
            <v>GMMIR7</v>
          </cell>
        </row>
        <row r="2737">
          <cell r="G2737" t="str">
            <v>GMMIR7G</v>
          </cell>
        </row>
        <row r="2737">
          <cell r="I2737">
            <v>80.102851</v>
          </cell>
          <cell r="J2737">
            <v>7.237529</v>
          </cell>
        </row>
        <row r="2737">
          <cell r="AA2737" t="str">
            <v>2T2R</v>
          </cell>
        </row>
        <row r="2738">
          <cell r="E2738" t="str">
            <v>GMPAL2</v>
          </cell>
        </row>
        <row r="2738">
          <cell r="G2738" t="str">
            <v>GMPAL2-M-L21-C2</v>
          </cell>
        </row>
        <row r="2738">
          <cell r="I2738">
            <v>80.1045</v>
          </cell>
          <cell r="J2738">
            <v>7.21367</v>
          </cell>
        </row>
        <row r="2738">
          <cell r="AA2738" t="str">
            <v>2T2R</v>
          </cell>
        </row>
        <row r="2739">
          <cell r="E2739" t="str">
            <v>GMPAL2</v>
          </cell>
        </row>
        <row r="2739">
          <cell r="G2739" t="str">
            <v>GMPAL2-M-L21-B2</v>
          </cell>
        </row>
        <row r="2739">
          <cell r="I2739">
            <v>80.1045</v>
          </cell>
          <cell r="J2739">
            <v>7.21367</v>
          </cell>
        </row>
        <row r="2739">
          <cell r="AA2739" t="str">
            <v>2T2R</v>
          </cell>
        </row>
        <row r="2740">
          <cell r="E2740" t="str">
            <v>GMPAL2</v>
          </cell>
        </row>
        <row r="2740">
          <cell r="G2740" t="str">
            <v>GMPAL2-M-L21-A2</v>
          </cell>
        </row>
        <row r="2740">
          <cell r="I2740">
            <v>80.1045</v>
          </cell>
          <cell r="J2740">
            <v>7.21367</v>
          </cell>
        </row>
        <row r="2740">
          <cell r="AA2740" t="str">
            <v>2T2R</v>
          </cell>
        </row>
        <row r="2741">
          <cell r="E2741" t="str">
            <v>GMPAL2</v>
          </cell>
        </row>
        <row r="2741">
          <cell r="G2741" t="str">
            <v>GMPAL2-M-L18-I1</v>
          </cell>
        </row>
        <row r="2741">
          <cell r="I2741">
            <v>80.1045</v>
          </cell>
          <cell r="J2741">
            <v>7.21367</v>
          </cell>
        </row>
        <row r="2741">
          <cell r="AA2741" t="str">
            <v>2T2R</v>
          </cell>
        </row>
        <row r="2742">
          <cell r="E2742" t="str">
            <v>GMPAL2</v>
          </cell>
        </row>
        <row r="2742">
          <cell r="G2742" t="str">
            <v>GMPAL2I</v>
          </cell>
        </row>
        <row r="2742">
          <cell r="I2742">
            <v>80.1045</v>
          </cell>
          <cell r="J2742">
            <v>7.21367</v>
          </cell>
        </row>
        <row r="2742">
          <cell r="AA2742" t="str">
            <v>2T2R</v>
          </cell>
        </row>
        <row r="2743">
          <cell r="E2743" t="str">
            <v>GMPAL2</v>
          </cell>
        </row>
        <row r="2743">
          <cell r="G2743" t="str">
            <v>GMPAL2H</v>
          </cell>
        </row>
        <row r="2743">
          <cell r="I2743">
            <v>80.1045</v>
          </cell>
          <cell r="J2743">
            <v>7.21367</v>
          </cell>
        </row>
        <row r="2743">
          <cell r="AA2743" t="str">
            <v>2T2R</v>
          </cell>
        </row>
        <row r="2744">
          <cell r="E2744" t="str">
            <v>GMPAL2</v>
          </cell>
        </row>
        <row r="2744">
          <cell r="G2744" t="str">
            <v>GMPAL2G</v>
          </cell>
        </row>
        <row r="2744">
          <cell r="I2744">
            <v>80.1045</v>
          </cell>
          <cell r="J2744">
            <v>7.21367</v>
          </cell>
        </row>
        <row r="2744">
          <cell r="AA2744" t="str">
            <v>2T2R</v>
          </cell>
        </row>
        <row r="2745">
          <cell r="E2745" t="str">
            <v>GMRAN1</v>
          </cell>
        </row>
        <row r="2745">
          <cell r="G2745" t="str">
            <v>GMRAN1I</v>
          </cell>
        </row>
        <row r="2745">
          <cell r="I2745">
            <v>80.1059</v>
          </cell>
          <cell r="J2745">
            <v>7.13105</v>
          </cell>
        </row>
        <row r="2745">
          <cell r="AA2745" t="str">
            <v>4T4R</v>
          </cell>
        </row>
        <row r="2746">
          <cell r="E2746" t="str">
            <v>GMRAN1</v>
          </cell>
        </row>
        <row r="2746">
          <cell r="G2746" t="str">
            <v>GMRAN1H</v>
          </cell>
        </row>
        <row r="2746">
          <cell r="I2746">
            <v>80.1059</v>
          </cell>
          <cell r="J2746">
            <v>7.13105</v>
          </cell>
        </row>
        <row r="2746">
          <cell r="AA2746" t="str">
            <v>4T4R</v>
          </cell>
        </row>
        <row r="2747">
          <cell r="E2747" t="str">
            <v>GMRAN1</v>
          </cell>
        </row>
        <row r="2747">
          <cell r="G2747" t="str">
            <v>GMRAN1G</v>
          </cell>
        </row>
        <row r="2747">
          <cell r="I2747">
            <v>80.1059</v>
          </cell>
          <cell r="J2747">
            <v>7.13105</v>
          </cell>
        </row>
        <row r="2747">
          <cell r="AA2747" t="str">
            <v>4T4R</v>
          </cell>
        </row>
        <row r="2748">
          <cell r="E2748" t="str">
            <v>GMRAN1</v>
          </cell>
        </row>
        <row r="2748">
          <cell r="G2748" t="str">
            <v>GMRAN1-M-L85-C1</v>
          </cell>
        </row>
        <row r="2748">
          <cell r="I2748">
            <v>80.1059</v>
          </cell>
          <cell r="J2748">
            <v>7.13105</v>
          </cell>
        </row>
        <row r="2748">
          <cell r="AA2748" t="str">
            <v>2T2R</v>
          </cell>
        </row>
        <row r="2749">
          <cell r="E2749" t="str">
            <v>GMRAN1</v>
          </cell>
        </row>
        <row r="2749">
          <cell r="G2749" t="str">
            <v>GMRAN1-M-L85-B1</v>
          </cell>
        </row>
        <row r="2749">
          <cell r="I2749">
            <v>80.1059</v>
          </cell>
          <cell r="J2749">
            <v>7.13105</v>
          </cell>
        </row>
        <row r="2749">
          <cell r="AA2749" t="str">
            <v>2T2R</v>
          </cell>
        </row>
        <row r="2750">
          <cell r="E2750" t="str">
            <v>GMRAN1</v>
          </cell>
        </row>
        <row r="2750">
          <cell r="G2750" t="str">
            <v>GMRAN1-M-L85-A1</v>
          </cell>
        </row>
        <row r="2750">
          <cell r="I2750">
            <v>80.1059</v>
          </cell>
          <cell r="J2750">
            <v>7.13105</v>
          </cell>
        </row>
        <row r="2750">
          <cell r="AA2750" t="str">
            <v>2T2R</v>
          </cell>
        </row>
        <row r="2751">
          <cell r="E2751" t="str">
            <v>GMRAN1</v>
          </cell>
        </row>
        <row r="2751">
          <cell r="G2751" t="str">
            <v>GMRAN1-M-L21-C2</v>
          </cell>
        </row>
        <row r="2751">
          <cell r="I2751">
            <v>80.1059</v>
          </cell>
          <cell r="J2751">
            <v>7.13105</v>
          </cell>
        </row>
        <row r="2751">
          <cell r="AA2751" t="str">
            <v>2T2R</v>
          </cell>
        </row>
        <row r="2752">
          <cell r="E2752" t="str">
            <v>GMRAN1</v>
          </cell>
        </row>
        <row r="2752">
          <cell r="G2752" t="str">
            <v>GMRAN1-M-L21-B2</v>
          </cell>
        </row>
        <row r="2752">
          <cell r="I2752">
            <v>80.1059</v>
          </cell>
          <cell r="J2752">
            <v>7.13105</v>
          </cell>
        </row>
        <row r="2752">
          <cell r="AA2752" t="str">
            <v>2T2R</v>
          </cell>
        </row>
        <row r="2753">
          <cell r="E2753" t="str">
            <v>GMRAN1</v>
          </cell>
        </row>
        <row r="2753">
          <cell r="G2753" t="str">
            <v>GMRAN1-M-L21-A2</v>
          </cell>
        </row>
        <row r="2753">
          <cell r="I2753">
            <v>80.1059</v>
          </cell>
          <cell r="J2753">
            <v>7.13105</v>
          </cell>
        </row>
        <row r="2753">
          <cell r="AA2753" t="str">
            <v>2T2R</v>
          </cell>
        </row>
        <row r="2754">
          <cell r="E2754" t="str">
            <v>GMWTP1</v>
          </cell>
        </row>
        <row r="2754">
          <cell r="G2754" t="str">
            <v>GMWTP1I</v>
          </cell>
        </row>
        <row r="2754">
          <cell r="I2754">
            <v>80.1062</v>
          </cell>
          <cell r="J2754">
            <v>7.12284</v>
          </cell>
        </row>
        <row r="2754">
          <cell r="AA2754" t="str">
            <v>2T2R</v>
          </cell>
        </row>
        <row r="2755">
          <cell r="E2755" t="str">
            <v>GMWTP1</v>
          </cell>
        </row>
        <row r="2755">
          <cell r="G2755" t="str">
            <v>GMWTP1H</v>
          </cell>
        </row>
        <row r="2755">
          <cell r="I2755">
            <v>80.1062</v>
          </cell>
          <cell r="J2755">
            <v>7.12284</v>
          </cell>
        </row>
        <row r="2755">
          <cell r="AA2755" t="str">
            <v>4T4R</v>
          </cell>
        </row>
        <row r="2756">
          <cell r="E2756" t="str">
            <v>GMWTP1</v>
          </cell>
        </row>
        <row r="2756">
          <cell r="G2756" t="str">
            <v>GMWTP1G</v>
          </cell>
        </row>
        <row r="2756">
          <cell r="I2756">
            <v>80.1062</v>
          </cell>
          <cell r="J2756">
            <v>7.12284</v>
          </cell>
        </row>
        <row r="2756">
          <cell r="AA2756" t="str">
            <v>4T4R</v>
          </cell>
        </row>
        <row r="2757">
          <cell r="E2757" t="str">
            <v>GMWTP1</v>
          </cell>
        </row>
        <row r="2757">
          <cell r="G2757" t="str">
            <v>GMWTP1-M-L85-C1</v>
          </cell>
        </row>
        <row r="2757">
          <cell r="I2757">
            <v>80.1062</v>
          </cell>
          <cell r="J2757">
            <v>7.12284</v>
          </cell>
        </row>
        <row r="2757">
          <cell r="AA2757" t="str">
            <v>2T2R</v>
          </cell>
        </row>
        <row r="2758">
          <cell r="E2758" t="str">
            <v>GMWTP1</v>
          </cell>
        </row>
        <row r="2758">
          <cell r="G2758" t="str">
            <v>GMWTP1-M-L85-B1</v>
          </cell>
        </row>
        <row r="2758">
          <cell r="I2758">
            <v>80.1062</v>
          </cell>
          <cell r="J2758">
            <v>7.12284</v>
          </cell>
        </row>
        <row r="2758">
          <cell r="AA2758" t="str">
            <v>2T2R</v>
          </cell>
        </row>
        <row r="2759">
          <cell r="E2759" t="str">
            <v>GMWTP1</v>
          </cell>
        </row>
        <row r="2759">
          <cell r="G2759" t="str">
            <v>GMWTP1-M-L85-A1</v>
          </cell>
        </row>
        <row r="2759">
          <cell r="I2759">
            <v>80.1062</v>
          </cell>
          <cell r="J2759">
            <v>7.12284</v>
          </cell>
        </row>
        <row r="2759">
          <cell r="AA2759" t="str">
            <v>2T2R</v>
          </cell>
        </row>
        <row r="2760">
          <cell r="E2760" t="str">
            <v>GMWTP1</v>
          </cell>
        </row>
        <row r="2760">
          <cell r="G2760" t="str">
            <v>GMWTP1-M-L21-C2</v>
          </cell>
        </row>
        <row r="2760">
          <cell r="I2760">
            <v>80.1062</v>
          </cell>
          <cell r="J2760">
            <v>7.12284</v>
          </cell>
        </row>
        <row r="2760">
          <cell r="AA2760" t="str">
            <v>2T2R</v>
          </cell>
        </row>
        <row r="2761">
          <cell r="E2761" t="str">
            <v>GMWTP1</v>
          </cell>
        </row>
        <row r="2761">
          <cell r="G2761" t="str">
            <v>GMWTP1-M-L21-B2</v>
          </cell>
        </row>
        <row r="2761">
          <cell r="I2761">
            <v>80.1062</v>
          </cell>
          <cell r="J2761">
            <v>7.12284</v>
          </cell>
        </row>
        <row r="2761">
          <cell r="AA2761" t="str">
            <v>2T2R</v>
          </cell>
        </row>
        <row r="2762">
          <cell r="E2762" t="str">
            <v>GMWTP1</v>
          </cell>
        </row>
        <row r="2762">
          <cell r="G2762" t="str">
            <v>GMWTP1-M-L21-A2</v>
          </cell>
        </row>
        <row r="2762">
          <cell r="I2762">
            <v>80.1062</v>
          </cell>
          <cell r="J2762">
            <v>7.12284</v>
          </cell>
        </row>
        <row r="2762">
          <cell r="AA2762" t="str">
            <v>2T2R</v>
          </cell>
        </row>
        <row r="2763">
          <cell r="E2763" t="str">
            <v>GMKLE1</v>
          </cell>
        </row>
        <row r="2763">
          <cell r="G2763" t="str">
            <v>GMKLE1-M-L21-C2</v>
          </cell>
        </row>
        <row r="2763">
          <cell r="I2763">
            <v>80.1075</v>
          </cell>
          <cell r="J2763">
            <v>7.19668</v>
          </cell>
        </row>
        <row r="2763">
          <cell r="AA2763" t="str">
            <v>2T2R</v>
          </cell>
        </row>
        <row r="2764">
          <cell r="E2764" t="str">
            <v>GMKLE1</v>
          </cell>
        </row>
        <row r="2764">
          <cell r="G2764" t="str">
            <v>GMKLE1-M-L21-B2</v>
          </cell>
        </row>
        <row r="2764">
          <cell r="I2764">
            <v>80.1075</v>
          </cell>
          <cell r="J2764">
            <v>7.19668</v>
          </cell>
        </row>
        <row r="2764">
          <cell r="AA2764" t="str">
            <v>2T2R</v>
          </cell>
        </row>
        <row r="2765">
          <cell r="E2765" t="str">
            <v>GMKLE1</v>
          </cell>
        </row>
        <row r="2765">
          <cell r="G2765" t="str">
            <v>GMKLE1-M-L21-A2</v>
          </cell>
        </row>
        <row r="2765">
          <cell r="I2765">
            <v>80.1075</v>
          </cell>
          <cell r="J2765">
            <v>7.19668</v>
          </cell>
        </row>
        <row r="2765">
          <cell r="AA2765" t="str">
            <v>2T2R</v>
          </cell>
        </row>
        <row r="2766">
          <cell r="E2766" t="str">
            <v>GMKLE1</v>
          </cell>
        </row>
        <row r="2766">
          <cell r="G2766" t="str">
            <v>GMKLE1I</v>
          </cell>
        </row>
        <row r="2766">
          <cell r="I2766">
            <v>80.1075</v>
          </cell>
          <cell r="J2766">
            <v>7.19668</v>
          </cell>
        </row>
        <row r="2766">
          <cell r="AA2766" t="str">
            <v>4T4R</v>
          </cell>
        </row>
        <row r="2767">
          <cell r="E2767" t="str">
            <v>GMKLE1</v>
          </cell>
        </row>
        <row r="2767">
          <cell r="G2767" t="str">
            <v>GMKLE1H</v>
          </cell>
        </row>
        <row r="2767">
          <cell r="I2767">
            <v>80.1075</v>
          </cell>
          <cell r="J2767">
            <v>7.19668</v>
          </cell>
        </row>
        <row r="2767">
          <cell r="AA2767" t="str">
            <v>4T4R</v>
          </cell>
        </row>
        <row r="2768">
          <cell r="E2768" t="str">
            <v>GMKLE1</v>
          </cell>
        </row>
        <row r="2768">
          <cell r="G2768" t="str">
            <v>GMKLE1G</v>
          </cell>
        </row>
        <row r="2768">
          <cell r="I2768">
            <v>80.1075</v>
          </cell>
          <cell r="J2768">
            <v>7.19668</v>
          </cell>
        </row>
        <row r="2768">
          <cell r="AA2768" t="str">
            <v>4T4R</v>
          </cell>
        </row>
        <row r="2769">
          <cell r="E2769" t="str">
            <v>GMKLE1</v>
          </cell>
        </row>
        <row r="2769">
          <cell r="G2769" t="str">
            <v>GMKLE1-M-L85-C1</v>
          </cell>
        </row>
        <row r="2769">
          <cell r="I2769">
            <v>80.1075</v>
          </cell>
          <cell r="J2769">
            <v>7.19668</v>
          </cell>
        </row>
        <row r="2769">
          <cell r="AA2769" t="str">
            <v>2T2R</v>
          </cell>
        </row>
        <row r="2770">
          <cell r="E2770" t="str">
            <v>GMKLE1</v>
          </cell>
        </row>
        <row r="2770">
          <cell r="G2770" t="str">
            <v>GMKLE1-M-L85-B1</v>
          </cell>
        </row>
        <row r="2770">
          <cell r="I2770">
            <v>80.1075</v>
          </cell>
          <cell r="J2770">
            <v>7.19668</v>
          </cell>
        </row>
        <row r="2770">
          <cell r="AA2770" t="str">
            <v>2T2R</v>
          </cell>
        </row>
        <row r="2771">
          <cell r="E2771" t="str">
            <v>GMKLE1</v>
          </cell>
        </row>
        <row r="2771">
          <cell r="G2771" t="str">
            <v>GMKLE1-M-L85-A1</v>
          </cell>
        </row>
        <row r="2771">
          <cell r="I2771">
            <v>80.1075</v>
          </cell>
          <cell r="J2771">
            <v>7.19668</v>
          </cell>
        </row>
        <row r="2771">
          <cell r="AA2771" t="str">
            <v>2T2R</v>
          </cell>
        </row>
        <row r="2772">
          <cell r="E2772" t="str">
            <v>GMKAH1</v>
          </cell>
        </row>
        <row r="2772">
          <cell r="G2772" t="str">
            <v>GMKAH1I</v>
          </cell>
        </row>
        <row r="2772">
          <cell r="I2772">
            <v>80.1077</v>
          </cell>
          <cell r="J2772">
            <v>7.10376</v>
          </cell>
        </row>
        <row r="2772">
          <cell r="AA2772" t="str">
            <v>2T2R</v>
          </cell>
        </row>
        <row r="2773">
          <cell r="E2773" t="str">
            <v>GMKAH1</v>
          </cell>
        </row>
        <row r="2773">
          <cell r="G2773" t="str">
            <v>GMKAH1H</v>
          </cell>
        </row>
        <row r="2773">
          <cell r="I2773">
            <v>80.1077</v>
          </cell>
          <cell r="J2773">
            <v>7.10376</v>
          </cell>
        </row>
        <row r="2773">
          <cell r="AA2773" t="str">
            <v>2T2R</v>
          </cell>
        </row>
        <row r="2774">
          <cell r="E2774" t="str">
            <v>GMKAH1</v>
          </cell>
        </row>
        <row r="2774">
          <cell r="G2774" t="str">
            <v>GMKAH1G</v>
          </cell>
        </row>
        <row r="2774">
          <cell r="I2774">
            <v>80.1077</v>
          </cell>
          <cell r="J2774">
            <v>7.10376</v>
          </cell>
        </row>
        <row r="2774">
          <cell r="AA2774" t="str">
            <v>2T2R</v>
          </cell>
        </row>
        <row r="2775">
          <cell r="E2775" t="str">
            <v>GMKAH1</v>
          </cell>
        </row>
        <row r="2775">
          <cell r="G2775" t="str">
            <v>GMKAH1-M-L85-C1</v>
          </cell>
        </row>
        <row r="2775">
          <cell r="I2775">
            <v>80.1077</v>
          </cell>
          <cell r="J2775">
            <v>7.10376</v>
          </cell>
        </row>
        <row r="2775">
          <cell r="AA2775" t="str">
            <v>2T2R</v>
          </cell>
        </row>
        <row r="2776">
          <cell r="E2776" t="str">
            <v>GMKAH1</v>
          </cell>
        </row>
        <row r="2776">
          <cell r="G2776" t="str">
            <v>GMKAH1-M-L85-B1</v>
          </cell>
        </row>
        <row r="2776">
          <cell r="I2776">
            <v>80.1077</v>
          </cell>
          <cell r="J2776">
            <v>7.10376</v>
          </cell>
        </row>
        <row r="2776">
          <cell r="AA2776" t="str">
            <v>2T2R</v>
          </cell>
        </row>
        <row r="2777">
          <cell r="E2777" t="str">
            <v>GMKAH1</v>
          </cell>
        </row>
        <row r="2777">
          <cell r="G2777" t="str">
            <v>GMKAH1-M-L85-A1</v>
          </cell>
        </row>
        <row r="2777">
          <cell r="I2777">
            <v>80.1077</v>
          </cell>
          <cell r="J2777">
            <v>7.10376</v>
          </cell>
        </row>
        <row r="2777">
          <cell r="AA2777" t="str">
            <v>2T2R</v>
          </cell>
        </row>
        <row r="2778">
          <cell r="E2778" t="str">
            <v>GMKAH1</v>
          </cell>
        </row>
        <row r="2778">
          <cell r="G2778" t="str">
            <v>GMKAH1-M-L21-C2</v>
          </cell>
        </row>
        <row r="2778">
          <cell r="I2778">
            <v>80.1077</v>
          </cell>
          <cell r="J2778">
            <v>7.10376</v>
          </cell>
        </row>
        <row r="2778">
          <cell r="AA2778" t="str">
            <v>2T2R</v>
          </cell>
        </row>
        <row r="2779">
          <cell r="E2779" t="str">
            <v>GMKAH1</v>
          </cell>
        </row>
        <row r="2779">
          <cell r="G2779" t="str">
            <v>GMKAH1-M-L21-B2</v>
          </cell>
        </row>
        <row r="2779">
          <cell r="I2779">
            <v>80.1077</v>
          </cell>
          <cell r="J2779">
            <v>7.10376</v>
          </cell>
        </row>
        <row r="2779">
          <cell r="AA2779" t="str">
            <v>2T2R</v>
          </cell>
        </row>
        <row r="2780">
          <cell r="E2780" t="str">
            <v>GMKAH1</v>
          </cell>
        </row>
        <row r="2780">
          <cell r="G2780" t="str">
            <v>GMKAH1-M-L21-A2</v>
          </cell>
        </row>
        <row r="2780">
          <cell r="I2780">
            <v>80.1077</v>
          </cell>
          <cell r="J2780">
            <v>7.10376</v>
          </cell>
        </row>
        <row r="2780">
          <cell r="AA2780" t="str">
            <v>2T2R</v>
          </cell>
        </row>
        <row r="2781">
          <cell r="E2781" t="str">
            <v>LGZ018</v>
          </cell>
        </row>
        <row r="2781">
          <cell r="G2781" t="str">
            <v>LGZ018-M-L21-C2</v>
          </cell>
        </row>
        <row r="2781">
          <cell r="I2781">
            <v>80.1091</v>
          </cell>
          <cell r="J2781">
            <v>7.0355</v>
          </cell>
        </row>
        <row r="2781">
          <cell r="AA2781" t="str">
            <v>2T2R</v>
          </cell>
        </row>
        <row r="2782">
          <cell r="E2782" t="str">
            <v>LGZ018</v>
          </cell>
        </row>
        <row r="2782">
          <cell r="G2782" t="str">
            <v>LGZ018-M-L21-B2</v>
          </cell>
        </row>
        <row r="2782">
          <cell r="I2782">
            <v>80.1091</v>
          </cell>
          <cell r="J2782">
            <v>7.0355</v>
          </cell>
        </row>
        <row r="2782">
          <cell r="AA2782" t="str">
            <v>2T2R</v>
          </cell>
        </row>
        <row r="2783">
          <cell r="E2783" t="str">
            <v>LGZ018</v>
          </cell>
        </row>
        <row r="2783">
          <cell r="G2783" t="str">
            <v>LGZ018-M-L21-A2</v>
          </cell>
        </row>
        <row r="2783">
          <cell r="I2783">
            <v>80.1091</v>
          </cell>
          <cell r="J2783">
            <v>7.0355</v>
          </cell>
        </row>
        <row r="2783">
          <cell r="AA2783" t="str">
            <v>2T2R</v>
          </cell>
        </row>
        <row r="2784">
          <cell r="E2784" t="str">
            <v>GMDEL1</v>
          </cell>
        </row>
        <row r="2784">
          <cell r="G2784" t="str">
            <v>GMDEL1I</v>
          </cell>
        </row>
        <row r="2784">
          <cell r="I2784">
            <v>80.1124</v>
          </cell>
          <cell r="J2784">
            <v>7.28636</v>
          </cell>
        </row>
        <row r="2784">
          <cell r="AA2784" t="str">
            <v>2T2R</v>
          </cell>
        </row>
        <row r="2785">
          <cell r="E2785" t="str">
            <v>GMDEL1</v>
          </cell>
        </row>
        <row r="2785">
          <cell r="G2785" t="str">
            <v>GMDEL1H</v>
          </cell>
        </row>
        <row r="2785">
          <cell r="I2785">
            <v>80.1124</v>
          </cell>
          <cell r="J2785">
            <v>7.28636</v>
          </cell>
        </row>
        <row r="2785">
          <cell r="AA2785" t="str">
            <v>2T2R</v>
          </cell>
        </row>
        <row r="2786">
          <cell r="E2786" t="str">
            <v>GMDEL1</v>
          </cell>
        </row>
        <row r="2786">
          <cell r="G2786" t="str">
            <v>GMDEL1G</v>
          </cell>
        </row>
        <row r="2786">
          <cell r="I2786">
            <v>80.1124</v>
          </cell>
          <cell r="J2786">
            <v>7.28636</v>
          </cell>
        </row>
        <row r="2786">
          <cell r="AA2786" t="str">
            <v>2T2R</v>
          </cell>
        </row>
        <row r="2787">
          <cell r="E2787" t="str">
            <v>GMDEL1</v>
          </cell>
        </row>
        <row r="2787">
          <cell r="G2787" t="str">
            <v>GMDEL1-M-L85-C1</v>
          </cell>
        </row>
        <row r="2787">
          <cell r="I2787">
            <v>80.1124</v>
          </cell>
          <cell r="J2787">
            <v>7.28636</v>
          </cell>
        </row>
        <row r="2787">
          <cell r="AA2787" t="str">
            <v>2T2R</v>
          </cell>
        </row>
        <row r="2788">
          <cell r="E2788" t="str">
            <v>GMDEL1</v>
          </cell>
        </row>
        <row r="2788">
          <cell r="G2788" t="str">
            <v>GMDEL1-M-L85-B1</v>
          </cell>
        </row>
        <row r="2788">
          <cell r="I2788">
            <v>80.1124</v>
          </cell>
          <cell r="J2788">
            <v>7.28636</v>
          </cell>
        </row>
        <row r="2788">
          <cell r="AA2788" t="str">
            <v>2T2R</v>
          </cell>
        </row>
        <row r="2789">
          <cell r="E2789" t="str">
            <v>GMDEL1</v>
          </cell>
        </row>
        <row r="2789">
          <cell r="G2789" t="str">
            <v>GMDEL1-M-L85-A1</v>
          </cell>
        </row>
        <row r="2789">
          <cell r="I2789">
            <v>80.1124</v>
          </cell>
          <cell r="J2789">
            <v>7.28636</v>
          </cell>
        </row>
        <row r="2789">
          <cell r="AA2789" t="str">
            <v>2T2R</v>
          </cell>
        </row>
        <row r="2790">
          <cell r="E2790" t="str">
            <v>GMWTP2</v>
          </cell>
        </row>
        <row r="2790">
          <cell r="G2790" t="str">
            <v>GMWTP2I</v>
          </cell>
        </row>
        <row r="2790">
          <cell r="I2790">
            <v>80.113056</v>
          </cell>
          <cell r="J2790">
            <v>7.126944</v>
          </cell>
        </row>
        <row r="2790">
          <cell r="AA2790" t="str">
            <v>2T2R</v>
          </cell>
        </row>
        <row r="2791">
          <cell r="E2791" t="str">
            <v>GMWTP2</v>
          </cell>
        </row>
        <row r="2791">
          <cell r="G2791" t="str">
            <v>GMWTP2H</v>
          </cell>
        </row>
        <row r="2791">
          <cell r="I2791">
            <v>80.113056</v>
          </cell>
          <cell r="J2791">
            <v>7.126944</v>
          </cell>
        </row>
        <row r="2791">
          <cell r="AA2791" t="str">
            <v>2T2R</v>
          </cell>
        </row>
        <row r="2792">
          <cell r="E2792" t="str">
            <v>GMWTP2</v>
          </cell>
        </row>
        <row r="2792">
          <cell r="G2792" t="str">
            <v>GMWTP2G</v>
          </cell>
        </row>
        <row r="2792">
          <cell r="I2792">
            <v>80.113056</v>
          </cell>
          <cell r="J2792">
            <v>7.126944</v>
          </cell>
        </row>
        <row r="2792">
          <cell r="AA2792" t="str">
            <v>2T2R</v>
          </cell>
        </row>
        <row r="2793">
          <cell r="E2793" t="str">
            <v>GMKLP2</v>
          </cell>
        </row>
        <row r="2793">
          <cell r="G2793" t="str">
            <v>GMKLP2I</v>
          </cell>
        </row>
        <row r="2793">
          <cell r="I2793">
            <v>80.1139</v>
          </cell>
          <cell r="J2793">
            <v>7.15309</v>
          </cell>
        </row>
        <row r="2793">
          <cell r="AA2793" t="str">
            <v>2T2R</v>
          </cell>
        </row>
        <row r="2794">
          <cell r="E2794" t="str">
            <v>GMKLP2</v>
          </cell>
        </row>
        <row r="2794">
          <cell r="G2794" t="str">
            <v>GMKLP2H</v>
          </cell>
        </row>
        <row r="2794">
          <cell r="I2794">
            <v>80.1139</v>
          </cell>
          <cell r="J2794">
            <v>7.15309</v>
          </cell>
        </row>
        <row r="2794">
          <cell r="AA2794" t="str">
            <v>4T4R</v>
          </cell>
        </row>
        <row r="2795">
          <cell r="E2795" t="str">
            <v>GMKLP2</v>
          </cell>
        </row>
        <row r="2795">
          <cell r="G2795" t="str">
            <v>GMKLP2G</v>
          </cell>
        </row>
        <row r="2795">
          <cell r="I2795">
            <v>80.1139</v>
          </cell>
          <cell r="J2795">
            <v>7.15309</v>
          </cell>
        </row>
        <row r="2795">
          <cell r="AA2795" t="str">
            <v>2T2R</v>
          </cell>
        </row>
        <row r="2796">
          <cell r="E2796" t="str">
            <v>QGMCM1</v>
          </cell>
        </row>
        <row r="2796">
          <cell r="G2796" t="str">
            <v>QGMCM1G</v>
          </cell>
        </row>
        <row r="2796">
          <cell r="I2796">
            <v>80.115661</v>
          </cell>
          <cell r="J2796">
            <v>7.182728</v>
          </cell>
        </row>
        <row r="2796">
          <cell r="AA2796" t="str"/>
        </row>
        <row r="2797">
          <cell r="E2797" t="str">
            <v>GMNAL1</v>
          </cell>
        </row>
        <row r="2797">
          <cell r="G2797" t="str">
            <v>GMNAL1I</v>
          </cell>
        </row>
        <row r="2797">
          <cell r="I2797">
            <v>80.11624</v>
          </cell>
          <cell r="J2797">
            <v>7.319911</v>
          </cell>
        </row>
        <row r="2797">
          <cell r="AA2797" t="str">
            <v>4T4R</v>
          </cell>
        </row>
        <row r="2798">
          <cell r="E2798" t="str">
            <v>GMNAL1</v>
          </cell>
        </row>
        <row r="2798">
          <cell r="G2798" t="str">
            <v>GMNAL1H</v>
          </cell>
        </row>
        <row r="2798">
          <cell r="I2798">
            <v>80.11624</v>
          </cell>
          <cell r="J2798">
            <v>7.319911</v>
          </cell>
        </row>
        <row r="2798">
          <cell r="AA2798" t="str">
            <v>4T4R</v>
          </cell>
        </row>
        <row r="2799">
          <cell r="E2799" t="str">
            <v>GMNAL1</v>
          </cell>
        </row>
        <row r="2799">
          <cell r="G2799" t="str">
            <v>GMNAL1G</v>
          </cell>
        </row>
        <row r="2799">
          <cell r="I2799">
            <v>80.11624</v>
          </cell>
          <cell r="J2799">
            <v>7.319911</v>
          </cell>
        </row>
        <row r="2799">
          <cell r="AA2799" t="str">
            <v>2T2R</v>
          </cell>
        </row>
        <row r="2800">
          <cell r="E2800" t="str">
            <v>GMNAL1</v>
          </cell>
        </row>
        <row r="2800">
          <cell r="G2800" t="str">
            <v>GMNAL1-M-L85-A1</v>
          </cell>
        </row>
        <row r="2800">
          <cell r="I2800">
            <v>80.11624</v>
          </cell>
          <cell r="J2800">
            <v>7.319911</v>
          </cell>
        </row>
        <row r="2800">
          <cell r="AA2800" t="str">
            <v>2T2R</v>
          </cell>
        </row>
        <row r="2801">
          <cell r="E2801" t="str">
            <v>GMNAL1</v>
          </cell>
        </row>
        <row r="2801">
          <cell r="G2801" t="str">
            <v>GMNAL1-M-L85-B1</v>
          </cell>
        </row>
        <row r="2801">
          <cell r="I2801">
            <v>80.11624</v>
          </cell>
          <cell r="J2801">
            <v>7.319911</v>
          </cell>
        </row>
        <row r="2801">
          <cell r="AA2801" t="str">
            <v>2T2R</v>
          </cell>
        </row>
        <row r="2802">
          <cell r="E2802" t="str">
            <v>GMNAL1</v>
          </cell>
        </row>
        <row r="2802">
          <cell r="G2802" t="str">
            <v>GMNAL1-M-L85-C1</v>
          </cell>
        </row>
        <row r="2802">
          <cell r="I2802">
            <v>80.11624</v>
          </cell>
          <cell r="J2802">
            <v>7.319911</v>
          </cell>
        </row>
        <row r="2802">
          <cell r="AA2802" t="str">
            <v>2T2R</v>
          </cell>
        </row>
        <row r="2803">
          <cell r="E2803" t="str">
            <v>GMNAL1</v>
          </cell>
        </row>
        <row r="2803">
          <cell r="G2803" t="str">
            <v>GMNAL1-M-L21-B2</v>
          </cell>
        </row>
        <row r="2803">
          <cell r="I2803">
            <v>80.11624</v>
          </cell>
          <cell r="J2803">
            <v>7.319911</v>
          </cell>
        </row>
        <row r="2803">
          <cell r="AA2803" t="str">
            <v>2T2R</v>
          </cell>
        </row>
        <row r="2804">
          <cell r="E2804" t="str">
            <v>ZDOM22</v>
          </cell>
        </row>
        <row r="2804">
          <cell r="G2804" t="str">
            <v>ZDOM22I</v>
          </cell>
        </row>
        <row r="2804">
          <cell r="I2804">
            <v>80.1172</v>
          </cell>
          <cell r="J2804">
            <v>7.0177</v>
          </cell>
        </row>
        <row r="2804">
          <cell r="AA2804" t="str">
            <v>2T2R</v>
          </cell>
        </row>
        <row r="2805">
          <cell r="E2805" t="str">
            <v>ZDOM22</v>
          </cell>
        </row>
        <row r="2805">
          <cell r="G2805" t="str">
            <v>ZDOM22H</v>
          </cell>
        </row>
        <row r="2805">
          <cell r="I2805">
            <v>80.1172</v>
          </cell>
          <cell r="J2805">
            <v>7.0177</v>
          </cell>
        </row>
        <row r="2805">
          <cell r="AA2805" t="str">
            <v>2T2R</v>
          </cell>
        </row>
        <row r="2806">
          <cell r="E2806" t="str">
            <v>ZDOM22</v>
          </cell>
        </row>
        <row r="2806">
          <cell r="G2806" t="str">
            <v>ZDOM22G</v>
          </cell>
        </row>
        <row r="2806">
          <cell r="I2806">
            <v>80.1172</v>
          </cell>
          <cell r="J2806">
            <v>7.0177</v>
          </cell>
        </row>
        <row r="2806">
          <cell r="AA2806" t="str">
            <v>2T2R</v>
          </cell>
        </row>
        <row r="2807">
          <cell r="E2807" t="str">
            <v>ZDOM20</v>
          </cell>
        </row>
        <row r="2807">
          <cell r="G2807" t="str">
            <v>ZDOM20I</v>
          </cell>
        </row>
        <row r="2807">
          <cell r="I2807">
            <v>80.11781</v>
          </cell>
          <cell r="J2807">
            <v>7.047719</v>
          </cell>
        </row>
        <row r="2807">
          <cell r="AA2807" t="str">
            <v>2T2R</v>
          </cell>
        </row>
        <row r="2808">
          <cell r="E2808" t="str">
            <v>ZDOM20</v>
          </cell>
        </row>
        <row r="2808">
          <cell r="G2808" t="str">
            <v>ZDOM20H</v>
          </cell>
        </row>
        <row r="2808">
          <cell r="I2808">
            <v>80.11781</v>
          </cell>
          <cell r="J2808">
            <v>7.047719</v>
          </cell>
        </row>
        <row r="2808">
          <cell r="AA2808" t="str">
            <v>2T2R</v>
          </cell>
        </row>
        <row r="2809">
          <cell r="E2809" t="str">
            <v>ZDOM20</v>
          </cell>
        </row>
        <row r="2809">
          <cell r="G2809" t="str">
            <v>ZDOM20G</v>
          </cell>
        </row>
        <row r="2809">
          <cell r="I2809">
            <v>80.11781</v>
          </cell>
          <cell r="J2809">
            <v>7.047719</v>
          </cell>
        </row>
        <row r="2809">
          <cell r="AA2809" t="str">
            <v>2T2R</v>
          </cell>
        </row>
        <row r="2810">
          <cell r="E2810" t="str">
            <v>GMMIR1</v>
          </cell>
        </row>
        <row r="2810">
          <cell r="G2810" t="str">
            <v>GMMIR1-M-L21-C2</v>
          </cell>
        </row>
        <row r="2810">
          <cell r="I2810">
            <v>80.1191</v>
          </cell>
          <cell r="J2810">
            <v>7.23937</v>
          </cell>
        </row>
        <row r="2810">
          <cell r="AA2810" t="str">
            <v>2T2R</v>
          </cell>
        </row>
        <row r="2811">
          <cell r="E2811" t="str">
            <v>GMMIR1</v>
          </cell>
        </row>
        <row r="2811">
          <cell r="G2811" t="str">
            <v>GMMIR1-M-L21-B2</v>
          </cell>
        </row>
        <row r="2811">
          <cell r="I2811">
            <v>80.1191</v>
          </cell>
          <cell r="J2811">
            <v>7.23937</v>
          </cell>
        </row>
        <row r="2811">
          <cell r="AA2811" t="str">
            <v>4T4R</v>
          </cell>
        </row>
        <row r="2812">
          <cell r="E2812" t="str">
            <v>GMMIR1</v>
          </cell>
        </row>
        <row r="2812">
          <cell r="G2812" t="str">
            <v>GMMIR1-M-L21-A2</v>
          </cell>
        </row>
        <row r="2812">
          <cell r="I2812">
            <v>80.1191</v>
          </cell>
          <cell r="J2812">
            <v>7.23937</v>
          </cell>
        </row>
        <row r="2812">
          <cell r="AA2812" t="str">
            <v>2T2R</v>
          </cell>
        </row>
        <row r="2813">
          <cell r="E2813" t="str">
            <v>GMMIR1</v>
          </cell>
        </row>
        <row r="2813">
          <cell r="G2813" t="str">
            <v>GMMIR1-M-L18-G1</v>
          </cell>
        </row>
        <row r="2813">
          <cell r="I2813">
            <v>80.1191</v>
          </cell>
          <cell r="J2813">
            <v>7.23937</v>
          </cell>
        </row>
        <row r="2813">
          <cell r="AA2813" t="str">
            <v>4T4R</v>
          </cell>
        </row>
        <row r="2814">
          <cell r="E2814" t="str">
            <v>GMMIR1</v>
          </cell>
        </row>
        <row r="2814">
          <cell r="G2814" t="str">
            <v>GMMIR1-M-L18-H1</v>
          </cell>
        </row>
        <row r="2814">
          <cell r="I2814">
            <v>80.1191</v>
          </cell>
          <cell r="J2814">
            <v>7.23937</v>
          </cell>
        </row>
        <row r="2814">
          <cell r="AA2814" t="str">
            <v>4T4R</v>
          </cell>
        </row>
        <row r="2815">
          <cell r="E2815" t="str">
            <v>GMMIR1</v>
          </cell>
        </row>
        <row r="2815">
          <cell r="G2815" t="str">
            <v>GMMIR1-M-L21-B1</v>
          </cell>
        </row>
        <row r="2815">
          <cell r="I2815">
            <v>80.1191</v>
          </cell>
          <cell r="J2815">
            <v>7.23937</v>
          </cell>
        </row>
        <row r="2815">
          <cell r="AA2815" t="str">
            <v>4T4R</v>
          </cell>
        </row>
        <row r="2816">
          <cell r="E2816" t="str">
            <v>GMMIR1</v>
          </cell>
        </row>
        <row r="2816">
          <cell r="G2816" t="str">
            <v>GMMIR1I</v>
          </cell>
        </row>
        <row r="2816">
          <cell r="I2816">
            <v>80.1191</v>
          </cell>
          <cell r="J2816">
            <v>7.23937</v>
          </cell>
        </row>
        <row r="2816">
          <cell r="AA2816" t="str">
            <v>2T2R</v>
          </cell>
        </row>
        <row r="2817">
          <cell r="E2817" t="str">
            <v>GMMIR1</v>
          </cell>
        </row>
        <row r="2817">
          <cell r="G2817" t="str">
            <v>GMMIR1H</v>
          </cell>
        </row>
        <row r="2817">
          <cell r="I2817">
            <v>80.1191</v>
          </cell>
          <cell r="J2817">
            <v>7.23937</v>
          </cell>
        </row>
        <row r="2817">
          <cell r="AA2817" t="str">
            <v>4T4R</v>
          </cell>
        </row>
        <row r="2818">
          <cell r="E2818" t="str">
            <v>GMMIR1</v>
          </cell>
        </row>
        <row r="2818">
          <cell r="G2818" t="str">
            <v>GMMIR1G</v>
          </cell>
        </row>
        <row r="2818">
          <cell r="I2818">
            <v>80.1191</v>
          </cell>
          <cell r="J2818">
            <v>7.23937</v>
          </cell>
        </row>
        <row r="2818">
          <cell r="AA2818" t="str">
            <v>4T4R</v>
          </cell>
        </row>
        <row r="2819">
          <cell r="E2819" t="str">
            <v>GMMIR1</v>
          </cell>
        </row>
        <row r="2819">
          <cell r="G2819" t="str">
            <v>GMMIR1-M-L85-C1</v>
          </cell>
        </row>
        <row r="2819">
          <cell r="I2819">
            <v>80.1191</v>
          </cell>
          <cell r="J2819">
            <v>7.23937</v>
          </cell>
        </row>
        <row r="2819">
          <cell r="AA2819" t="str">
            <v>2T2R</v>
          </cell>
        </row>
        <row r="2820">
          <cell r="E2820" t="str">
            <v>GMMIR1</v>
          </cell>
        </row>
        <row r="2820">
          <cell r="G2820" t="str">
            <v>GMMIR1-M-L85-B1</v>
          </cell>
        </row>
        <row r="2820">
          <cell r="I2820">
            <v>80.1191</v>
          </cell>
          <cell r="J2820">
            <v>7.23937</v>
          </cell>
        </row>
        <row r="2820">
          <cell r="AA2820" t="str">
            <v>2T2R</v>
          </cell>
        </row>
        <row r="2821">
          <cell r="E2821" t="str">
            <v>GMMIR1</v>
          </cell>
        </row>
        <row r="2821">
          <cell r="G2821" t="str">
            <v>GMMIR1-M-L85-A1</v>
          </cell>
        </row>
        <row r="2821">
          <cell r="I2821">
            <v>80.1191</v>
          </cell>
          <cell r="J2821">
            <v>7.23937</v>
          </cell>
        </row>
        <row r="2821">
          <cell r="AA2821" t="str">
            <v>2T2R</v>
          </cell>
        </row>
        <row r="2822">
          <cell r="E2822" t="str">
            <v>ZDOM02</v>
          </cell>
        </row>
        <row r="2822">
          <cell r="G2822" t="str">
            <v>ZDOM02-M-L18-B1</v>
          </cell>
        </row>
        <row r="2822">
          <cell r="I2822">
            <v>80.1206</v>
          </cell>
          <cell r="J2822">
            <v>6.97689</v>
          </cell>
        </row>
        <row r="2822">
          <cell r="AA2822" t="str">
            <v>2T2R</v>
          </cell>
        </row>
        <row r="2823">
          <cell r="E2823" t="str">
            <v>ZDOM02</v>
          </cell>
        </row>
        <row r="2823">
          <cell r="G2823" t="str">
            <v>ZDOM02-M-L18-C1</v>
          </cell>
        </row>
        <row r="2823">
          <cell r="I2823">
            <v>80.1206</v>
          </cell>
          <cell r="J2823">
            <v>6.97689</v>
          </cell>
        </row>
        <row r="2823">
          <cell r="AA2823" t="str">
            <v>2T2R</v>
          </cell>
        </row>
        <row r="2824">
          <cell r="E2824" t="str">
            <v>ZDOM02</v>
          </cell>
        </row>
        <row r="2824">
          <cell r="G2824" t="str">
            <v>ZDOM02-M-L21-C2</v>
          </cell>
        </row>
        <row r="2824">
          <cell r="I2824">
            <v>80.1206</v>
          </cell>
          <cell r="J2824">
            <v>6.97689</v>
          </cell>
        </row>
        <row r="2824">
          <cell r="AA2824" t="str">
            <v>2T2R</v>
          </cell>
        </row>
        <row r="2825">
          <cell r="E2825" t="str">
            <v>ZDOM02</v>
          </cell>
        </row>
        <row r="2825">
          <cell r="G2825" t="str">
            <v>ZDOM02-M-L21-B2</v>
          </cell>
        </row>
        <row r="2825">
          <cell r="I2825">
            <v>80.1206</v>
          </cell>
          <cell r="J2825">
            <v>6.97689</v>
          </cell>
        </row>
        <row r="2825">
          <cell r="AA2825" t="str">
            <v>2T2R</v>
          </cell>
        </row>
        <row r="2826">
          <cell r="E2826" t="str">
            <v>ZDOM02</v>
          </cell>
        </row>
        <row r="2826">
          <cell r="G2826" t="str">
            <v>ZDOM02-M-L21-A2</v>
          </cell>
        </row>
        <row r="2826">
          <cell r="I2826">
            <v>80.1206</v>
          </cell>
          <cell r="J2826">
            <v>6.97689</v>
          </cell>
        </row>
        <row r="2826">
          <cell r="AA2826" t="str">
            <v>8T8R</v>
          </cell>
        </row>
        <row r="2827">
          <cell r="E2827" t="str">
            <v>ZDOM02</v>
          </cell>
        </row>
        <row r="2827">
          <cell r="G2827" t="str">
            <v>ZDOM02F</v>
          </cell>
        </row>
        <row r="2827">
          <cell r="I2827">
            <v>80.1206</v>
          </cell>
          <cell r="J2827">
            <v>6.97689</v>
          </cell>
        </row>
        <row r="2827">
          <cell r="AA2827" t="str">
            <v>2T2R</v>
          </cell>
        </row>
        <row r="2828">
          <cell r="E2828" t="str">
            <v>ZDOM02</v>
          </cell>
        </row>
        <row r="2828">
          <cell r="G2828" t="str">
            <v>ZDOM02I</v>
          </cell>
        </row>
        <row r="2828">
          <cell r="I2828">
            <v>80.1206</v>
          </cell>
          <cell r="J2828">
            <v>6.97689</v>
          </cell>
        </row>
        <row r="2828">
          <cell r="AA2828" t="str">
            <v>2T2R</v>
          </cell>
        </row>
        <row r="2829">
          <cell r="E2829" t="str">
            <v>ZDOM02</v>
          </cell>
        </row>
        <row r="2829">
          <cell r="G2829" t="str">
            <v>ZDOM02H</v>
          </cell>
        </row>
        <row r="2829">
          <cell r="I2829">
            <v>80.1206</v>
          </cell>
          <cell r="J2829">
            <v>6.97689</v>
          </cell>
        </row>
        <row r="2829">
          <cell r="AA2829" t="str">
            <v>4T4R</v>
          </cell>
        </row>
        <row r="2830">
          <cell r="E2830" t="str">
            <v>ZDOM02</v>
          </cell>
        </row>
        <row r="2830">
          <cell r="G2830" t="str">
            <v>ZDOM02G</v>
          </cell>
        </row>
        <row r="2830">
          <cell r="I2830">
            <v>80.1206</v>
          </cell>
          <cell r="J2830">
            <v>6.97689</v>
          </cell>
        </row>
        <row r="2830">
          <cell r="AA2830" t="str">
            <v>8T8R</v>
          </cell>
        </row>
        <row r="2831">
          <cell r="E2831" t="str">
            <v>ZDOM02</v>
          </cell>
        </row>
        <row r="2831">
          <cell r="G2831" t="str">
            <v>ZDOM02-M-L85-C1</v>
          </cell>
        </row>
        <row r="2831">
          <cell r="I2831">
            <v>80.1206</v>
          </cell>
          <cell r="J2831">
            <v>6.97689</v>
          </cell>
        </row>
        <row r="2831">
          <cell r="AA2831" t="str">
            <v>2T2R</v>
          </cell>
        </row>
        <row r="2832">
          <cell r="E2832" t="str">
            <v>ZDOM02</v>
          </cell>
        </row>
        <row r="2832">
          <cell r="G2832" t="str">
            <v>ZDOM02-M-L85-B1</v>
          </cell>
        </row>
        <row r="2832">
          <cell r="I2832">
            <v>80.1206</v>
          </cell>
          <cell r="J2832">
            <v>6.97689</v>
          </cell>
        </row>
        <row r="2832">
          <cell r="AA2832" t="str">
            <v>2T2R</v>
          </cell>
        </row>
        <row r="2833">
          <cell r="E2833" t="str">
            <v>ZDOM02</v>
          </cell>
        </row>
        <row r="2833">
          <cell r="G2833" t="str">
            <v>ZDOM02-M-L85-A1</v>
          </cell>
        </row>
        <row r="2833">
          <cell r="I2833">
            <v>80.1206</v>
          </cell>
          <cell r="J2833">
            <v>6.97689</v>
          </cell>
        </row>
        <row r="2833">
          <cell r="AA2833" t="str">
            <v>2T2R</v>
          </cell>
        </row>
        <row r="2834">
          <cell r="E2834" t="str">
            <v>ZDOM02</v>
          </cell>
        </row>
        <row r="2834">
          <cell r="G2834" t="str">
            <v>ZDOM02-M-L85-D1</v>
          </cell>
        </row>
        <row r="2834">
          <cell r="I2834">
            <v>80.1206</v>
          </cell>
          <cell r="J2834">
            <v>6.97689</v>
          </cell>
        </row>
        <row r="2834">
          <cell r="AA2834" t="str">
            <v>2T2R</v>
          </cell>
        </row>
        <row r="2835">
          <cell r="E2835" t="str">
            <v>GMKLP1</v>
          </cell>
        </row>
        <row r="2835">
          <cell r="G2835" t="str">
            <v>GMKLP1I</v>
          </cell>
        </row>
        <row r="2835">
          <cell r="I2835">
            <v>80.1207</v>
          </cell>
          <cell r="J2835">
            <v>7.14992</v>
          </cell>
        </row>
        <row r="2835">
          <cell r="AA2835" t="str">
            <v>2T2R</v>
          </cell>
        </row>
        <row r="2836">
          <cell r="E2836" t="str">
            <v>GMKLP1</v>
          </cell>
        </row>
        <row r="2836">
          <cell r="G2836" t="str">
            <v>GMKLP1H</v>
          </cell>
        </row>
        <row r="2836">
          <cell r="I2836">
            <v>80.1207</v>
          </cell>
          <cell r="J2836">
            <v>7.14992</v>
          </cell>
        </row>
        <row r="2836">
          <cell r="AA2836" t="str">
            <v>2T2R</v>
          </cell>
        </row>
        <row r="2837">
          <cell r="E2837" t="str">
            <v>GMKLP1</v>
          </cell>
        </row>
        <row r="2837">
          <cell r="G2837" t="str">
            <v>GMKLP1G</v>
          </cell>
        </row>
        <row r="2837">
          <cell r="I2837">
            <v>80.1207</v>
          </cell>
          <cell r="J2837">
            <v>7.14992</v>
          </cell>
        </row>
        <row r="2837">
          <cell r="AA2837" t="str">
            <v>2T2R</v>
          </cell>
        </row>
        <row r="2838">
          <cell r="E2838" t="str">
            <v>GMKLP1</v>
          </cell>
        </row>
        <row r="2838">
          <cell r="G2838" t="str">
            <v>GMKLP1-M-L85-C1</v>
          </cell>
        </row>
        <row r="2838">
          <cell r="I2838">
            <v>80.1207</v>
          </cell>
          <cell r="J2838">
            <v>7.14992</v>
          </cell>
        </row>
        <row r="2838">
          <cell r="AA2838" t="str">
            <v>2T2R</v>
          </cell>
        </row>
        <row r="2839">
          <cell r="E2839" t="str">
            <v>GMKLP1</v>
          </cell>
        </row>
        <row r="2839">
          <cell r="G2839" t="str">
            <v>GMKLP1-M-L85-B1</v>
          </cell>
        </row>
        <row r="2839">
          <cell r="I2839">
            <v>80.1207</v>
          </cell>
          <cell r="J2839">
            <v>7.14992</v>
          </cell>
        </row>
        <row r="2839">
          <cell r="AA2839" t="str">
            <v>2T2R</v>
          </cell>
        </row>
        <row r="2840">
          <cell r="E2840" t="str">
            <v>GMKLP1</v>
          </cell>
        </row>
        <row r="2840">
          <cell r="G2840" t="str">
            <v>GMKLP1-M-L85-A1</v>
          </cell>
        </row>
        <row r="2840">
          <cell r="I2840">
            <v>80.1207</v>
          </cell>
          <cell r="J2840">
            <v>7.14992</v>
          </cell>
        </row>
        <row r="2840">
          <cell r="AA2840" t="str">
            <v>2T2R</v>
          </cell>
        </row>
        <row r="2841">
          <cell r="E2841" t="str">
            <v>GMKLP1</v>
          </cell>
        </row>
        <row r="2841">
          <cell r="G2841" t="str">
            <v>GMKLP1-M-L21-C2</v>
          </cell>
        </row>
        <row r="2841">
          <cell r="I2841">
            <v>80.1207</v>
          </cell>
          <cell r="J2841">
            <v>7.14992</v>
          </cell>
        </row>
        <row r="2841">
          <cell r="AA2841" t="str">
            <v>2T2R</v>
          </cell>
        </row>
        <row r="2842">
          <cell r="E2842" t="str">
            <v>GMKLP1</v>
          </cell>
        </row>
        <row r="2842">
          <cell r="G2842" t="str">
            <v>GMKLP1-M-L21-B2</v>
          </cell>
        </row>
        <row r="2842">
          <cell r="I2842">
            <v>80.1207</v>
          </cell>
          <cell r="J2842">
            <v>7.14992</v>
          </cell>
        </row>
        <row r="2842">
          <cell r="AA2842" t="str">
            <v>2T2R</v>
          </cell>
        </row>
        <row r="2843">
          <cell r="E2843" t="str">
            <v>GMKLP1</v>
          </cell>
        </row>
        <row r="2843">
          <cell r="G2843" t="str">
            <v>GMKLP1-M-L21-A2</v>
          </cell>
        </row>
        <row r="2843">
          <cell r="I2843">
            <v>80.1207</v>
          </cell>
          <cell r="J2843">
            <v>7.14992</v>
          </cell>
        </row>
        <row r="2843">
          <cell r="AA2843" t="str">
            <v>2T2R</v>
          </cell>
        </row>
        <row r="2844">
          <cell r="E2844" t="str">
            <v>GMPAS1</v>
          </cell>
        </row>
        <row r="2844">
          <cell r="G2844" t="str">
            <v>GMPAS1-M-L21-C2</v>
          </cell>
        </row>
        <row r="2844">
          <cell r="I2844">
            <v>80.1209</v>
          </cell>
          <cell r="J2844">
            <v>7.16786</v>
          </cell>
        </row>
        <row r="2844">
          <cell r="AA2844" t="str">
            <v>2T2R</v>
          </cell>
        </row>
        <row r="2845">
          <cell r="E2845" t="str">
            <v>GMPAS1</v>
          </cell>
        </row>
        <row r="2845">
          <cell r="G2845" t="str">
            <v>GMPAS1-M-L21-B2</v>
          </cell>
        </row>
        <row r="2845">
          <cell r="I2845">
            <v>80.1209</v>
          </cell>
          <cell r="J2845">
            <v>7.16786</v>
          </cell>
        </row>
        <row r="2845">
          <cell r="AA2845" t="str">
            <v>2T2R</v>
          </cell>
        </row>
        <row r="2846">
          <cell r="E2846" t="str">
            <v>GMPAS1</v>
          </cell>
        </row>
        <row r="2846">
          <cell r="G2846" t="str">
            <v>GMPAS1-M-L21-A2</v>
          </cell>
        </row>
        <row r="2846">
          <cell r="I2846">
            <v>80.1209</v>
          </cell>
          <cell r="J2846">
            <v>7.16786</v>
          </cell>
        </row>
        <row r="2846">
          <cell r="AA2846" t="str">
            <v>2T2R</v>
          </cell>
        </row>
        <row r="2847">
          <cell r="E2847" t="str">
            <v>GMPAS1</v>
          </cell>
        </row>
        <row r="2847">
          <cell r="G2847" t="str">
            <v>GMPAS1-M-L85-C1</v>
          </cell>
        </row>
        <row r="2847">
          <cell r="I2847">
            <v>80.1209</v>
          </cell>
          <cell r="J2847">
            <v>7.16786</v>
          </cell>
        </row>
        <row r="2847">
          <cell r="AA2847" t="str">
            <v>2T2R</v>
          </cell>
        </row>
        <row r="2848">
          <cell r="E2848" t="str">
            <v>GMPAS1</v>
          </cell>
        </row>
        <row r="2848">
          <cell r="G2848" t="str">
            <v>GMPAS1-M-L85-B1</v>
          </cell>
        </row>
        <row r="2848">
          <cell r="I2848">
            <v>80.1209</v>
          </cell>
          <cell r="J2848">
            <v>7.16786</v>
          </cell>
        </row>
        <row r="2848">
          <cell r="AA2848" t="str">
            <v>2T2R</v>
          </cell>
        </row>
        <row r="2849">
          <cell r="E2849" t="str">
            <v>GMPAS1</v>
          </cell>
        </row>
        <row r="2849">
          <cell r="G2849" t="str">
            <v>GMPAS1-M-L85-A1</v>
          </cell>
        </row>
        <row r="2849">
          <cell r="I2849">
            <v>80.1209</v>
          </cell>
          <cell r="J2849">
            <v>7.16786</v>
          </cell>
        </row>
        <row r="2849">
          <cell r="AA2849" t="str">
            <v>2T2R</v>
          </cell>
        </row>
        <row r="2850">
          <cell r="E2850" t="str">
            <v>GMPAS1</v>
          </cell>
        </row>
        <row r="2850">
          <cell r="G2850" t="str">
            <v>GMPAS1I</v>
          </cell>
        </row>
        <row r="2850">
          <cell r="I2850">
            <v>80.1209</v>
          </cell>
          <cell r="J2850">
            <v>7.16786</v>
          </cell>
        </row>
        <row r="2850">
          <cell r="AA2850" t="str">
            <v>4T4R</v>
          </cell>
        </row>
        <row r="2851">
          <cell r="E2851" t="str">
            <v>GMPAS1</v>
          </cell>
        </row>
        <row r="2851">
          <cell r="G2851" t="str">
            <v>GMPAS1H</v>
          </cell>
        </row>
        <row r="2851">
          <cell r="I2851">
            <v>80.1209</v>
          </cell>
          <cell r="J2851">
            <v>7.16786</v>
          </cell>
        </row>
        <row r="2851">
          <cell r="AA2851" t="str">
            <v>2T2R</v>
          </cell>
        </row>
        <row r="2852">
          <cell r="E2852" t="str">
            <v>GMPAS1</v>
          </cell>
        </row>
        <row r="2852">
          <cell r="G2852" t="str">
            <v>GMPAS1G</v>
          </cell>
        </row>
        <row r="2852">
          <cell r="I2852">
            <v>80.1209</v>
          </cell>
          <cell r="J2852">
            <v>7.16786</v>
          </cell>
        </row>
        <row r="2852">
          <cell r="AA2852" t="str">
            <v>2T2R</v>
          </cell>
        </row>
        <row r="2853">
          <cell r="E2853" t="str">
            <v>GMWGM1</v>
          </cell>
        </row>
        <row r="2853">
          <cell r="G2853" t="str">
            <v>GMWGM1I</v>
          </cell>
        </row>
        <row r="2853">
          <cell r="I2853">
            <v>80.1217</v>
          </cell>
          <cell r="J2853">
            <v>7.07659</v>
          </cell>
        </row>
        <row r="2853">
          <cell r="AA2853" t="str">
            <v>4T4R</v>
          </cell>
        </row>
        <row r="2854">
          <cell r="E2854" t="str">
            <v>GMWGM1</v>
          </cell>
        </row>
        <row r="2854">
          <cell r="G2854" t="str">
            <v>GMWGM1H</v>
          </cell>
        </row>
        <row r="2854">
          <cell r="I2854">
            <v>80.1217</v>
          </cell>
          <cell r="J2854">
            <v>7.07659</v>
          </cell>
        </row>
        <row r="2854">
          <cell r="AA2854" t="str">
            <v>4T4R</v>
          </cell>
        </row>
        <row r="2855">
          <cell r="E2855" t="str">
            <v>GMWGM1</v>
          </cell>
        </row>
        <row r="2855">
          <cell r="G2855" t="str">
            <v>GMWGM1G</v>
          </cell>
        </row>
        <row r="2855">
          <cell r="I2855">
            <v>80.1217</v>
          </cell>
          <cell r="J2855">
            <v>7.07659</v>
          </cell>
        </row>
        <row r="2855">
          <cell r="AA2855" t="str">
            <v>4T4R</v>
          </cell>
        </row>
        <row r="2856">
          <cell r="E2856" t="str">
            <v>GMWGM1</v>
          </cell>
        </row>
        <row r="2856">
          <cell r="G2856" t="str">
            <v>GMWGM1-M-L21-C2</v>
          </cell>
        </row>
        <row r="2856">
          <cell r="I2856">
            <v>80.1217</v>
          </cell>
          <cell r="J2856">
            <v>7.07659</v>
          </cell>
        </row>
        <row r="2856">
          <cell r="AA2856" t="str">
            <v>2T2R</v>
          </cell>
        </row>
        <row r="2857">
          <cell r="E2857" t="str">
            <v>GMWGM1</v>
          </cell>
        </row>
        <row r="2857">
          <cell r="G2857" t="str">
            <v>GMWGM1-M-L21-B2</v>
          </cell>
        </row>
        <row r="2857">
          <cell r="I2857">
            <v>80.1217</v>
          </cell>
          <cell r="J2857">
            <v>7.07659</v>
          </cell>
        </row>
        <row r="2857">
          <cell r="AA2857" t="str">
            <v>2T2R</v>
          </cell>
        </row>
        <row r="2858">
          <cell r="E2858" t="str">
            <v>GMWGM1</v>
          </cell>
        </row>
        <row r="2858">
          <cell r="G2858" t="str">
            <v>GMWGM1-M-L21-A2</v>
          </cell>
        </row>
        <row r="2858">
          <cell r="I2858">
            <v>80.1217</v>
          </cell>
          <cell r="J2858">
            <v>7.07659</v>
          </cell>
        </row>
        <row r="2858">
          <cell r="AA2858" t="str">
            <v>2T2R</v>
          </cell>
        </row>
        <row r="2859">
          <cell r="E2859" t="str">
            <v>GMWGM1</v>
          </cell>
        </row>
        <row r="2859">
          <cell r="G2859" t="str">
            <v>GMWGM1-M-L85-C1</v>
          </cell>
        </row>
        <row r="2859">
          <cell r="I2859">
            <v>80.1217</v>
          </cell>
          <cell r="J2859">
            <v>7.07659</v>
          </cell>
        </row>
        <row r="2859">
          <cell r="AA2859" t="str">
            <v>2T2R</v>
          </cell>
        </row>
        <row r="2860">
          <cell r="E2860" t="str">
            <v>GMWGM1</v>
          </cell>
        </row>
        <row r="2860">
          <cell r="G2860" t="str">
            <v>GMWGM1-M-L85-B1</v>
          </cell>
        </row>
        <row r="2860">
          <cell r="I2860">
            <v>80.1217</v>
          </cell>
          <cell r="J2860">
            <v>7.07659</v>
          </cell>
        </row>
        <row r="2860">
          <cell r="AA2860" t="str">
            <v>2T2R</v>
          </cell>
        </row>
        <row r="2861">
          <cell r="E2861" t="str">
            <v>GMWGM1</v>
          </cell>
        </row>
        <row r="2861">
          <cell r="G2861" t="str">
            <v>GMWGM1-M-L85-A1</v>
          </cell>
        </row>
        <row r="2861">
          <cell r="I2861">
            <v>80.1217</v>
          </cell>
          <cell r="J2861">
            <v>7.07659</v>
          </cell>
        </row>
        <row r="2861">
          <cell r="AA2861" t="str">
            <v>2T2R</v>
          </cell>
        </row>
        <row r="2862">
          <cell r="E2862" t="str">
            <v>GMATT1</v>
          </cell>
        </row>
        <row r="2862">
          <cell r="G2862" t="str">
            <v>GMATT1I</v>
          </cell>
        </row>
        <row r="2862">
          <cell r="I2862">
            <v>80.1259</v>
          </cell>
          <cell r="J2862">
            <v>7.12902</v>
          </cell>
        </row>
        <row r="2862">
          <cell r="AA2862" t="str">
            <v>4T4R</v>
          </cell>
        </row>
        <row r="2863">
          <cell r="E2863" t="str">
            <v>GMATT1</v>
          </cell>
        </row>
        <row r="2863">
          <cell r="G2863" t="str">
            <v>GMATT1H</v>
          </cell>
        </row>
        <row r="2863">
          <cell r="I2863">
            <v>80.1259</v>
          </cell>
          <cell r="J2863">
            <v>7.12902</v>
          </cell>
        </row>
        <row r="2863">
          <cell r="AA2863" t="str">
            <v>2T2R</v>
          </cell>
        </row>
        <row r="2864">
          <cell r="E2864" t="str">
            <v>GMATT1</v>
          </cell>
        </row>
        <row r="2864">
          <cell r="G2864" t="str">
            <v>GMATT1G</v>
          </cell>
        </row>
        <row r="2864">
          <cell r="I2864">
            <v>80.1259</v>
          </cell>
          <cell r="J2864">
            <v>7.12902</v>
          </cell>
        </row>
        <row r="2864">
          <cell r="AA2864" t="str">
            <v>2T2R</v>
          </cell>
        </row>
        <row r="2865">
          <cell r="E2865" t="str">
            <v>GMATT1</v>
          </cell>
        </row>
        <row r="2865">
          <cell r="G2865" t="str">
            <v>GMATT1-M-L21-C2</v>
          </cell>
        </row>
        <row r="2865">
          <cell r="I2865">
            <v>80.1259</v>
          </cell>
          <cell r="J2865">
            <v>7.12902</v>
          </cell>
        </row>
        <row r="2865">
          <cell r="AA2865" t="str">
            <v>2T2R</v>
          </cell>
        </row>
        <row r="2866">
          <cell r="E2866" t="str">
            <v>GMATT1</v>
          </cell>
        </row>
        <row r="2866">
          <cell r="G2866" t="str">
            <v>GMATT1-M-L21-B2</v>
          </cell>
        </row>
        <row r="2866">
          <cell r="I2866">
            <v>80.1259</v>
          </cell>
          <cell r="J2866">
            <v>7.12902</v>
          </cell>
        </row>
        <row r="2866">
          <cell r="AA2866" t="str">
            <v>2T2R</v>
          </cell>
        </row>
        <row r="2867">
          <cell r="E2867" t="str">
            <v>GMATT1</v>
          </cell>
        </row>
        <row r="2867">
          <cell r="G2867" t="str">
            <v>GMATT1-M-L21-A2</v>
          </cell>
        </row>
        <row r="2867">
          <cell r="I2867">
            <v>80.1259</v>
          </cell>
          <cell r="J2867">
            <v>7.12902</v>
          </cell>
        </row>
        <row r="2867">
          <cell r="AA2867" t="str">
            <v>2T2R</v>
          </cell>
        </row>
        <row r="2868">
          <cell r="E2868" t="str">
            <v>GMATT1</v>
          </cell>
        </row>
        <row r="2868">
          <cell r="G2868" t="str">
            <v>GMATT1-M-L85-D1</v>
          </cell>
        </row>
        <row r="2868">
          <cell r="I2868">
            <v>80.1259</v>
          </cell>
          <cell r="J2868">
            <v>7.12902</v>
          </cell>
        </row>
        <row r="2868">
          <cell r="AA2868" t="str">
            <v>2T2R</v>
          </cell>
        </row>
        <row r="2869">
          <cell r="E2869" t="str">
            <v>GMATT1</v>
          </cell>
        </row>
        <row r="2869">
          <cell r="G2869" t="str">
            <v>GMATT1-M-L85-C1</v>
          </cell>
        </row>
        <row r="2869">
          <cell r="I2869">
            <v>80.1259</v>
          </cell>
          <cell r="J2869">
            <v>7.12902</v>
          </cell>
        </row>
        <row r="2869">
          <cell r="AA2869" t="str">
            <v>2T2R</v>
          </cell>
        </row>
        <row r="2870">
          <cell r="E2870" t="str">
            <v>GMATT1</v>
          </cell>
        </row>
        <row r="2870">
          <cell r="G2870" t="str">
            <v>GMATT1-M-L85-B1</v>
          </cell>
        </row>
        <row r="2870">
          <cell r="I2870">
            <v>80.1259</v>
          </cell>
          <cell r="J2870">
            <v>7.12902</v>
          </cell>
        </row>
        <row r="2870">
          <cell r="AA2870" t="str">
            <v>2T2R</v>
          </cell>
        </row>
        <row r="2871">
          <cell r="E2871" t="str">
            <v>GMATT1</v>
          </cell>
        </row>
        <row r="2871">
          <cell r="G2871" t="str">
            <v>GMATT1-M-L85-A1</v>
          </cell>
        </row>
        <row r="2871">
          <cell r="I2871">
            <v>80.1259</v>
          </cell>
          <cell r="J2871">
            <v>7.12902</v>
          </cell>
        </row>
        <row r="2871">
          <cell r="AA2871" t="str">
            <v>2T2R</v>
          </cell>
        </row>
        <row r="2872">
          <cell r="E2872" t="str">
            <v>GMATT1</v>
          </cell>
        </row>
        <row r="2872">
          <cell r="G2872" t="str">
            <v>GMATT1F</v>
          </cell>
        </row>
        <row r="2872">
          <cell r="I2872">
            <v>80.1259</v>
          </cell>
          <cell r="J2872">
            <v>7.12902</v>
          </cell>
        </row>
        <row r="2872">
          <cell r="AA2872" t="str">
            <v>2T2R</v>
          </cell>
        </row>
        <row r="2873">
          <cell r="E2873" t="str">
            <v>GMMIR3</v>
          </cell>
        </row>
        <row r="2873">
          <cell r="G2873" t="str">
            <v>GMMIR3-M-L21-C2</v>
          </cell>
        </row>
        <row r="2873">
          <cell r="I2873">
            <v>80.1281</v>
          </cell>
          <cell r="J2873">
            <v>7.2412</v>
          </cell>
        </row>
        <row r="2873">
          <cell r="AA2873" t="str">
            <v>2T2R</v>
          </cell>
        </row>
        <row r="2874">
          <cell r="E2874" t="str">
            <v>GMMIR3</v>
          </cell>
        </row>
        <row r="2874">
          <cell r="G2874" t="str">
            <v>GMMIR3-M-L21-B2</v>
          </cell>
        </row>
        <row r="2874">
          <cell r="I2874">
            <v>80.1281</v>
          </cell>
          <cell r="J2874">
            <v>7.2412</v>
          </cell>
        </row>
        <row r="2874">
          <cell r="AA2874" t="str">
            <v>2T2R</v>
          </cell>
        </row>
        <row r="2875">
          <cell r="E2875" t="str">
            <v>GMMIR3</v>
          </cell>
        </row>
        <row r="2875">
          <cell r="G2875" t="str">
            <v>GMMIR3-M-L21-A2</v>
          </cell>
        </row>
        <row r="2875">
          <cell r="I2875">
            <v>80.1281</v>
          </cell>
          <cell r="J2875">
            <v>7.2412</v>
          </cell>
        </row>
        <row r="2875">
          <cell r="AA2875" t="str">
            <v>4T4R</v>
          </cell>
        </row>
        <row r="2876">
          <cell r="E2876" t="str">
            <v>GMMIR3</v>
          </cell>
        </row>
        <row r="2876">
          <cell r="G2876" t="str">
            <v>GMMIR3I</v>
          </cell>
        </row>
        <row r="2876">
          <cell r="I2876">
            <v>80.1281</v>
          </cell>
          <cell r="J2876">
            <v>7.2412</v>
          </cell>
        </row>
        <row r="2876">
          <cell r="AA2876" t="str">
            <v>2T2R</v>
          </cell>
        </row>
        <row r="2877">
          <cell r="E2877" t="str">
            <v>GMMIR3</v>
          </cell>
        </row>
        <row r="2877">
          <cell r="G2877" t="str">
            <v>GMMIR3H</v>
          </cell>
        </row>
        <row r="2877">
          <cell r="I2877">
            <v>80.1281</v>
          </cell>
          <cell r="J2877">
            <v>7.2412</v>
          </cell>
        </row>
        <row r="2877">
          <cell r="AA2877" t="str">
            <v>2T2R</v>
          </cell>
        </row>
        <row r="2878">
          <cell r="E2878" t="str">
            <v>GMMIR3</v>
          </cell>
        </row>
        <row r="2878">
          <cell r="G2878" t="str">
            <v>GMMIR3G</v>
          </cell>
        </row>
        <row r="2878">
          <cell r="I2878">
            <v>80.1281</v>
          </cell>
          <cell r="J2878">
            <v>7.2412</v>
          </cell>
        </row>
        <row r="2878">
          <cell r="AA2878" t="str">
            <v>4T4R</v>
          </cell>
        </row>
        <row r="2879">
          <cell r="E2879" t="str">
            <v>ZDOM08</v>
          </cell>
        </row>
        <row r="2879">
          <cell r="G2879" t="str">
            <v>ZDOM08I</v>
          </cell>
        </row>
        <row r="2879">
          <cell r="I2879">
            <v>80.1306</v>
          </cell>
          <cell r="J2879">
            <v>7.01044</v>
          </cell>
        </row>
        <row r="2879">
          <cell r="AA2879" t="str">
            <v>2T2R</v>
          </cell>
        </row>
        <row r="2880">
          <cell r="E2880" t="str">
            <v>ZDOM08</v>
          </cell>
        </row>
        <row r="2880">
          <cell r="G2880" t="str">
            <v>ZDOM08H</v>
          </cell>
        </row>
        <row r="2880">
          <cell r="I2880">
            <v>80.1306</v>
          </cell>
          <cell r="J2880">
            <v>7.01044</v>
          </cell>
        </row>
        <row r="2880">
          <cell r="AA2880" t="str">
            <v>4T4R</v>
          </cell>
        </row>
        <row r="2881">
          <cell r="E2881" t="str">
            <v>ZDOM08</v>
          </cell>
        </row>
        <row r="2881">
          <cell r="G2881" t="str">
            <v>ZDOM08G</v>
          </cell>
        </row>
        <row r="2881">
          <cell r="I2881">
            <v>80.1306</v>
          </cell>
          <cell r="J2881">
            <v>7.01044</v>
          </cell>
        </row>
        <row r="2881">
          <cell r="AA2881" t="str">
            <v>2T2R</v>
          </cell>
        </row>
        <row r="2882">
          <cell r="E2882" t="str">
            <v>ZDOM08</v>
          </cell>
        </row>
        <row r="2882">
          <cell r="G2882" t="str">
            <v>ZDOM08-M-L85-C1</v>
          </cell>
        </row>
        <row r="2882">
          <cell r="I2882">
            <v>80.1306</v>
          </cell>
          <cell r="J2882">
            <v>7.01044</v>
          </cell>
        </row>
        <row r="2882">
          <cell r="AA2882" t="str">
            <v>2T2R</v>
          </cell>
        </row>
        <row r="2883">
          <cell r="E2883" t="str">
            <v>ZDOM08</v>
          </cell>
        </row>
        <row r="2883">
          <cell r="G2883" t="str">
            <v>ZDOM08-M-L85-B1</v>
          </cell>
        </row>
        <row r="2883">
          <cell r="I2883">
            <v>80.1306</v>
          </cell>
          <cell r="J2883">
            <v>7.01044</v>
          </cell>
        </row>
        <row r="2883">
          <cell r="AA2883" t="str">
            <v>2T2R</v>
          </cell>
        </row>
        <row r="2884">
          <cell r="E2884" t="str">
            <v>ZDOM08</v>
          </cell>
        </row>
        <row r="2884">
          <cell r="G2884" t="str">
            <v>ZDOM08-M-L85-A1</v>
          </cell>
        </row>
        <row r="2884">
          <cell r="I2884">
            <v>80.1306</v>
          </cell>
          <cell r="J2884">
            <v>7.01044</v>
          </cell>
        </row>
        <row r="2884">
          <cell r="AA2884" t="str">
            <v>2T2R</v>
          </cell>
        </row>
        <row r="2885">
          <cell r="E2885" t="str">
            <v>ZDOM08</v>
          </cell>
        </row>
        <row r="2885">
          <cell r="G2885" t="str">
            <v>ZDOM08-M-L21-C2</v>
          </cell>
        </row>
        <row r="2885">
          <cell r="I2885">
            <v>80.1306</v>
          </cell>
          <cell r="J2885">
            <v>7.01044</v>
          </cell>
        </row>
        <row r="2885">
          <cell r="AA2885" t="str">
            <v>2T2R</v>
          </cell>
        </row>
        <row r="2886">
          <cell r="E2886" t="str">
            <v>ZDOM08</v>
          </cell>
        </row>
        <row r="2886">
          <cell r="G2886" t="str">
            <v>ZDOM08-M-L21-B2</v>
          </cell>
        </row>
        <row r="2886">
          <cell r="I2886">
            <v>80.1306</v>
          </cell>
          <cell r="J2886">
            <v>7.01044</v>
          </cell>
        </row>
        <row r="2886">
          <cell r="AA2886" t="str">
            <v>4T4R</v>
          </cell>
        </row>
        <row r="2887">
          <cell r="E2887" t="str">
            <v>ZDOM08</v>
          </cell>
        </row>
        <row r="2887">
          <cell r="G2887" t="str">
            <v>ZDOM08-M-L21-A2</v>
          </cell>
        </row>
        <row r="2887">
          <cell r="I2887">
            <v>80.1306</v>
          </cell>
          <cell r="J2887">
            <v>7.01044</v>
          </cell>
        </row>
        <row r="2887">
          <cell r="AA2887" t="str">
            <v>2T2R</v>
          </cell>
        </row>
        <row r="2888">
          <cell r="E2888" t="str">
            <v>GMLOL2</v>
          </cell>
        </row>
        <row r="2888">
          <cell r="G2888" t="str">
            <v>GMLOL2I</v>
          </cell>
        </row>
        <row r="2888">
          <cell r="I2888">
            <v>80.1311</v>
          </cell>
          <cell r="J2888">
            <v>7.29972</v>
          </cell>
        </row>
        <row r="2888">
          <cell r="AA2888" t="str">
            <v>2T2R</v>
          </cell>
        </row>
        <row r="2889">
          <cell r="E2889" t="str">
            <v>GMLOL2</v>
          </cell>
        </row>
        <row r="2889">
          <cell r="G2889" t="str">
            <v>GMLOL2H</v>
          </cell>
        </row>
        <row r="2889">
          <cell r="I2889">
            <v>80.1311</v>
          </cell>
          <cell r="J2889">
            <v>7.29972</v>
          </cell>
        </row>
        <row r="2889">
          <cell r="AA2889" t="str">
            <v>2T2R</v>
          </cell>
        </row>
        <row r="2890">
          <cell r="E2890" t="str">
            <v>GMLOL2</v>
          </cell>
        </row>
        <row r="2890">
          <cell r="G2890" t="str">
            <v>GMLOL2G</v>
          </cell>
        </row>
        <row r="2890">
          <cell r="I2890">
            <v>80.1311</v>
          </cell>
          <cell r="J2890">
            <v>7.29972</v>
          </cell>
        </row>
        <row r="2890">
          <cell r="AA2890" t="str">
            <v>2T2R</v>
          </cell>
        </row>
        <row r="2891">
          <cell r="E2891" t="str">
            <v>GMATT2</v>
          </cell>
        </row>
        <row r="2891">
          <cell r="G2891" t="str">
            <v>GMATT2I</v>
          </cell>
        </row>
        <row r="2891">
          <cell r="I2891">
            <v>80.13196</v>
          </cell>
          <cell r="J2891">
            <v>7.114659</v>
          </cell>
        </row>
        <row r="2891">
          <cell r="AA2891" t="str">
            <v>2T2R</v>
          </cell>
        </row>
        <row r="2892">
          <cell r="E2892" t="str">
            <v>GMATT2</v>
          </cell>
        </row>
        <row r="2892">
          <cell r="G2892" t="str">
            <v>GMATT2H</v>
          </cell>
        </row>
        <row r="2892">
          <cell r="I2892">
            <v>80.13196</v>
          </cell>
          <cell r="J2892">
            <v>7.114659</v>
          </cell>
        </row>
        <row r="2892">
          <cell r="AA2892" t="str">
            <v>2T2R</v>
          </cell>
        </row>
        <row r="2893">
          <cell r="E2893" t="str">
            <v>GMATT2</v>
          </cell>
        </row>
        <row r="2893">
          <cell r="G2893" t="str">
            <v>GMATT2G</v>
          </cell>
        </row>
        <row r="2893">
          <cell r="I2893">
            <v>80.13196</v>
          </cell>
          <cell r="J2893">
            <v>7.114659</v>
          </cell>
        </row>
        <row r="2893">
          <cell r="AA2893" t="str">
            <v>2T2R</v>
          </cell>
        </row>
        <row r="2894">
          <cell r="E2894" t="str">
            <v>GMATT2</v>
          </cell>
        </row>
        <row r="2894">
          <cell r="G2894" t="str">
            <v>GMATT2-M-L85-C1</v>
          </cell>
        </row>
        <row r="2894">
          <cell r="I2894">
            <v>80.13196</v>
          </cell>
          <cell r="J2894">
            <v>7.114659</v>
          </cell>
        </row>
        <row r="2894">
          <cell r="AA2894" t="str">
            <v>2T2R</v>
          </cell>
        </row>
        <row r="2895">
          <cell r="E2895" t="str">
            <v>GMATT2</v>
          </cell>
        </row>
        <row r="2895">
          <cell r="G2895" t="str">
            <v>GMATT2-M-L85-B1</v>
          </cell>
        </row>
        <row r="2895">
          <cell r="I2895">
            <v>80.13196</v>
          </cell>
          <cell r="J2895">
            <v>7.114659</v>
          </cell>
        </row>
        <row r="2895">
          <cell r="AA2895" t="str">
            <v>2T2R</v>
          </cell>
        </row>
        <row r="2896">
          <cell r="E2896" t="str">
            <v>GMATT2</v>
          </cell>
        </row>
        <row r="2896">
          <cell r="G2896" t="str">
            <v>GMATT2-M-L85-A1</v>
          </cell>
        </row>
        <row r="2896">
          <cell r="I2896">
            <v>80.13196</v>
          </cell>
          <cell r="J2896">
            <v>7.114659</v>
          </cell>
        </row>
        <row r="2896">
          <cell r="AA2896" t="str">
            <v>2T2R</v>
          </cell>
        </row>
        <row r="2897">
          <cell r="E2897" t="str">
            <v>ZDOM04</v>
          </cell>
        </row>
        <row r="2897">
          <cell r="G2897" t="str">
            <v>ZDOM04I</v>
          </cell>
        </row>
        <row r="2897">
          <cell r="I2897">
            <v>80.132</v>
          </cell>
          <cell r="J2897">
            <v>7.04511</v>
          </cell>
        </row>
        <row r="2897">
          <cell r="AA2897" t="str">
            <v>4T4R</v>
          </cell>
        </row>
        <row r="2898">
          <cell r="E2898" t="str">
            <v>ZDOM04</v>
          </cell>
        </row>
        <row r="2898">
          <cell r="G2898" t="str">
            <v>ZDOM04H</v>
          </cell>
        </row>
        <row r="2898">
          <cell r="I2898">
            <v>80.132</v>
          </cell>
          <cell r="J2898">
            <v>7.04511</v>
          </cell>
        </row>
        <row r="2898">
          <cell r="AA2898" t="str">
            <v>4T4R</v>
          </cell>
        </row>
        <row r="2899">
          <cell r="E2899" t="str">
            <v>ZDOM04</v>
          </cell>
        </row>
        <row r="2899">
          <cell r="G2899" t="str">
            <v>ZDOM04G</v>
          </cell>
        </row>
        <row r="2899">
          <cell r="I2899">
            <v>80.132</v>
          </cell>
          <cell r="J2899">
            <v>7.04511</v>
          </cell>
        </row>
        <row r="2899">
          <cell r="AA2899" t="str">
            <v>4T4R</v>
          </cell>
        </row>
        <row r="2900">
          <cell r="E2900" t="str">
            <v>ZDOM04</v>
          </cell>
        </row>
        <row r="2900">
          <cell r="G2900" t="str">
            <v>ZDOM04-M-L85-C1</v>
          </cell>
        </row>
        <row r="2900">
          <cell r="I2900">
            <v>80.132</v>
          </cell>
          <cell r="J2900">
            <v>7.04511</v>
          </cell>
        </row>
        <row r="2900">
          <cell r="AA2900" t="str">
            <v>2T2R</v>
          </cell>
        </row>
        <row r="2901">
          <cell r="E2901" t="str">
            <v>ZDOM04</v>
          </cell>
        </row>
        <row r="2901">
          <cell r="G2901" t="str">
            <v>ZDOM04-M-L85-B1</v>
          </cell>
        </row>
        <row r="2901">
          <cell r="I2901">
            <v>80.132</v>
          </cell>
          <cell r="J2901">
            <v>7.04511</v>
          </cell>
        </row>
        <row r="2901">
          <cell r="AA2901" t="str">
            <v>2T2R</v>
          </cell>
        </row>
        <row r="2902">
          <cell r="E2902" t="str">
            <v>ZDOM04</v>
          </cell>
        </row>
        <row r="2902">
          <cell r="G2902" t="str">
            <v>ZDOM04-M-L85-A1</v>
          </cell>
        </row>
        <row r="2902">
          <cell r="I2902">
            <v>80.132</v>
          </cell>
          <cell r="J2902">
            <v>7.04511</v>
          </cell>
        </row>
        <row r="2902">
          <cell r="AA2902" t="str">
            <v>2T2R</v>
          </cell>
        </row>
        <row r="2903">
          <cell r="E2903" t="str">
            <v>ZDOM04</v>
          </cell>
        </row>
        <row r="2903">
          <cell r="G2903" t="str">
            <v>ZDOM04F</v>
          </cell>
        </row>
        <row r="2903">
          <cell r="I2903">
            <v>80.132</v>
          </cell>
          <cell r="J2903">
            <v>7.04511</v>
          </cell>
        </row>
        <row r="2903">
          <cell r="AA2903" t="str">
            <v>4T4R</v>
          </cell>
        </row>
        <row r="2904">
          <cell r="E2904" t="str">
            <v>ZDOM04</v>
          </cell>
        </row>
        <row r="2904">
          <cell r="G2904" t="str">
            <v>ZDOM04-M-L21-C2</v>
          </cell>
        </row>
        <row r="2904">
          <cell r="I2904">
            <v>80.132</v>
          </cell>
          <cell r="J2904">
            <v>7.04511</v>
          </cell>
        </row>
        <row r="2904">
          <cell r="AA2904" t="str">
            <v>4T4R</v>
          </cell>
        </row>
        <row r="2905">
          <cell r="E2905" t="str">
            <v>ZDOM04</v>
          </cell>
        </row>
        <row r="2905">
          <cell r="G2905" t="str">
            <v>ZDOM04-M-L21-B2</v>
          </cell>
        </row>
        <row r="2905">
          <cell r="I2905">
            <v>80.132</v>
          </cell>
          <cell r="J2905">
            <v>7.04511</v>
          </cell>
        </row>
        <row r="2905">
          <cell r="AA2905" t="str">
            <v>2T2R</v>
          </cell>
        </row>
        <row r="2906">
          <cell r="E2906" t="str">
            <v>ZDOM04</v>
          </cell>
        </row>
        <row r="2906">
          <cell r="G2906" t="str">
            <v>ZDOM04-M-L21-A2</v>
          </cell>
        </row>
        <row r="2906">
          <cell r="I2906">
            <v>80.132</v>
          </cell>
          <cell r="J2906">
            <v>7.04511</v>
          </cell>
        </row>
        <row r="2906">
          <cell r="AA2906" t="str">
            <v>2T2R</v>
          </cell>
        </row>
        <row r="2907">
          <cell r="E2907" t="str">
            <v>GMLOL1</v>
          </cell>
        </row>
        <row r="2907">
          <cell r="G2907" t="str">
            <v>GMLOL1I</v>
          </cell>
        </row>
        <row r="2907">
          <cell r="I2907">
            <v>80.1332</v>
          </cell>
          <cell r="J2907">
            <v>7.28167</v>
          </cell>
        </row>
        <row r="2907">
          <cell r="AA2907" t="str">
            <v>4T4R</v>
          </cell>
        </row>
        <row r="2908">
          <cell r="E2908" t="str">
            <v>GMLOL1</v>
          </cell>
        </row>
        <row r="2908">
          <cell r="G2908" t="str">
            <v>GMLOL1H</v>
          </cell>
        </row>
        <row r="2908">
          <cell r="I2908">
            <v>80.1332</v>
          </cell>
          <cell r="J2908">
            <v>7.28167</v>
          </cell>
        </row>
        <row r="2908">
          <cell r="AA2908" t="str">
            <v>4T4R</v>
          </cell>
        </row>
        <row r="2909">
          <cell r="E2909" t="str">
            <v>GMLOL1</v>
          </cell>
        </row>
        <row r="2909">
          <cell r="G2909" t="str">
            <v>GMLOL1G</v>
          </cell>
        </row>
        <row r="2909">
          <cell r="I2909">
            <v>80.1332</v>
          </cell>
          <cell r="J2909">
            <v>7.28167</v>
          </cell>
        </row>
        <row r="2909">
          <cell r="AA2909" t="str">
            <v>4T4R</v>
          </cell>
        </row>
        <row r="2910">
          <cell r="E2910" t="str">
            <v>GMLOL1</v>
          </cell>
        </row>
        <row r="2910">
          <cell r="G2910" t="str">
            <v>GMLOL1-M-L21-C2</v>
          </cell>
        </row>
        <row r="2910">
          <cell r="I2910">
            <v>80.1332</v>
          </cell>
          <cell r="J2910">
            <v>7.28167</v>
          </cell>
        </row>
        <row r="2910">
          <cell r="AA2910" t="str">
            <v>2T2R</v>
          </cell>
        </row>
        <row r="2911">
          <cell r="E2911" t="str">
            <v>GMLOL1</v>
          </cell>
        </row>
        <row r="2911">
          <cell r="G2911" t="str">
            <v>GMLOL1-M-L21-B2</v>
          </cell>
        </row>
        <row r="2911">
          <cell r="I2911">
            <v>80.1332</v>
          </cell>
          <cell r="J2911">
            <v>7.28167</v>
          </cell>
        </row>
        <row r="2911">
          <cell r="AA2911" t="str">
            <v>2T2R</v>
          </cell>
        </row>
        <row r="2912">
          <cell r="E2912" t="str">
            <v>GMLOL1</v>
          </cell>
        </row>
        <row r="2912">
          <cell r="G2912" t="str">
            <v>GMLOL1-M-L21-A2</v>
          </cell>
        </row>
        <row r="2912">
          <cell r="I2912">
            <v>80.1332</v>
          </cell>
          <cell r="J2912">
            <v>7.28167</v>
          </cell>
        </row>
        <row r="2912">
          <cell r="AA2912" t="str">
            <v>2T2R</v>
          </cell>
        </row>
        <row r="2913">
          <cell r="E2913" t="str">
            <v>GMLOL1</v>
          </cell>
        </row>
        <row r="2913">
          <cell r="G2913" t="str">
            <v>GMLOL1-M-L85-C1</v>
          </cell>
        </row>
        <row r="2913">
          <cell r="I2913">
            <v>80.1332</v>
          </cell>
          <cell r="J2913">
            <v>7.28167</v>
          </cell>
        </row>
        <row r="2913">
          <cell r="AA2913" t="str">
            <v>2T2R</v>
          </cell>
        </row>
        <row r="2914">
          <cell r="E2914" t="str">
            <v>GMLOL1</v>
          </cell>
        </row>
        <row r="2914">
          <cell r="G2914" t="str">
            <v>GMLOL1-M-L85-B1</v>
          </cell>
        </row>
        <row r="2914">
          <cell r="I2914">
            <v>80.1332</v>
          </cell>
          <cell r="J2914">
            <v>7.28167</v>
          </cell>
        </row>
        <row r="2914">
          <cell r="AA2914" t="str">
            <v>2T2R</v>
          </cell>
        </row>
        <row r="2915">
          <cell r="E2915" t="str">
            <v>GMLOL1</v>
          </cell>
        </row>
        <row r="2915">
          <cell r="G2915" t="str">
            <v>GMLOL1-M-L85-A1</v>
          </cell>
        </row>
        <row r="2915">
          <cell r="I2915">
            <v>80.1332</v>
          </cell>
          <cell r="J2915">
            <v>7.28167</v>
          </cell>
        </row>
        <row r="2915">
          <cell r="AA2915" t="str">
            <v>2T2R</v>
          </cell>
        </row>
        <row r="2916">
          <cell r="E2916" t="str">
            <v>GMWEW1</v>
          </cell>
        </row>
        <row r="2916">
          <cell r="G2916" t="str">
            <v>GMWEW1-M-L21-C2</v>
          </cell>
        </row>
        <row r="2916">
          <cell r="I2916">
            <v>80.1351</v>
          </cell>
          <cell r="J2916">
            <v>7.18178</v>
          </cell>
        </row>
        <row r="2916">
          <cell r="AA2916" t="str">
            <v>8T8R</v>
          </cell>
        </row>
        <row r="2917">
          <cell r="E2917" t="str">
            <v>GMWEW1</v>
          </cell>
        </row>
        <row r="2917">
          <cell r="G2917" t="str">
            <v>GMWEW1-M-L21-B2</v>
          </cell>
        </row>
        <row r="2917">
          <cell r="I2917">
            <v>80.1351</v>
          </cell>
          <cell r="J2917">
            <v>7.18178</v>
          </cell>
        </row>
        <row r="2917">
          <cell r="AA2917" t="str">
            <v>2T2R</v>
          </cell>
        </row>
        <row r="2918">
          <cell r="E2918" t="str">
            <v>GMWEW1</v>
          </cell>
        </row>
        <row r="2918">
          <cell r="G2918" t="str">
            <v>GMWEW1-M-L21-A2</v>
          </cell>
        </row>
        <row r="2918">
          <cell r="I2918">
            <v>80.1351</v>
          </cell>
          <cell r="J2918">
            <v>7.18178</v>
          </cell>
        </row>
        <row r="2918">
          <cell r="AA2918" t="str">
            <v>2T2R</v>
          </cell>
        </row>
        <row r="2919">
          <cell r="E2919" t="str">
            <v>GMWEW1</v>
          </cell>
        </row>
        <row r="2919">
          <cell r="G2919" t="str">
            <v>GMWEW1-M-L18-I1</v>
          </cell>
        </row>
        <row r="2919">
          <cell r="I2919">
            <v>80.1351</v>
          </cell>
          <cell r="J2919">
            <v>7.18178</v>
          </cell>
        </row>
        <row r="2919">
          <cell r="AA2919" t="str">
            <v>8T8R</v>
          </cell>
        </row>
        <row r="2920">
          <cell r="E2920" t="str">
            <v>GMWEW1</v>
          </cell>
        </row>
        <row r="2920">
          <cell r="G2920" t="str">
            <v>GMWEW1I</v>
          </cell>
        </row>
        <row r="2920">
          <cell r="I2920">
            <v>80.1351</v>
          </cell>
          <cell r="J2920">
            <v>7.18178</v>
          </cell>
        </row>
        <row r="2920">
          <cell r="AA2920" t="str">
            <v>8T8R</v>
          </cell>
        </row>
        <row r="2921">
          <cell r="E2921" t="str">
            <v>GMWEW1</v>
          </cell>
        </row>
        <row r="2921">
          <cell r="G2921" t="str">
            <v>GMWEW1H</v>
          </cell>
        </row>
        <row r="2921">
          <cell r="I2921">
            <v>80.1351</v>
          </cell>
          <cell r="J2921">
            <v>7.18178</v>
          </cell>
        </row>
        <row r="2921">
          <cell r="AA2921" t="str">
            <v>4T4R</v>
          </cell>
        </row>
        <row r="2922">
          <cell r="E2922" t="str">
            <v>GMWEW1</v>
          </cell>
        </row>
        <row r="2922">
          <cell r="G2922" t="str">
            <v>GMWEW1G</v>
          </cell>
        </row>
        <row r="2922">
          <cell r="I2922">
            <v>80.1351</v>
          </cell>
          <cell r="J2922">
            <v>7.18178</v>
          </cell>
        </row>
        <row r="2922">
          <cell r="AA2922" t="str">
            <v>4T4R</v>
          </cell>
        </row>
        <row r="2923">
          <cell r="E2923" t="str">
            <v>GMWEW1</v>
          </cell>
        </row>
        <row r="2923">
          <cell r="G2923" t="str">
            <v>GMWEW1-M-L85-C1</v>
          </cell>
        </row>
        <row r="2923">
          <cell r="I2923">
            <v>80.1351</v>
          </cell>
          <cell r="J2923">
            <v>7.18178</v>
          </cell>
        </row>
        <row r="2923">
          <cell r="AA2923" t="str">
            <v>2T2R</v>
          </cell>
        </row>
        <row r="2924">
          <cell r="E2924" t="str">
            <v>GMWEW1</v>
          </cell>
        </row>
        <row r="2924">
          <cell r="G2924" t="str">
            <v>GMWEW1-M-L85-B1</v>
          </cell>
        </row>
        <row r="2924">
          <cell r="I2924">
            <v>80.1351</v>
          </cell>
          <cell r="J2924">
            <v>7.18178</v>
          </cell>
        </row>
        <row r="2924">
          <cell r="AA2924" t="str">
            <v>2T2R</v>
          </cell>
        </row>
        <row r="2925">
          <cell r="E2925" t="str">
            <v>GMWEW1</v>
          </cell>
        </row>
        <row r="2925">
          <cell r="G2925" t="str">
            <v>GMWEW1-M-L85-A1</v>
          </cell>
        </row>
        <row r="2925">
          <cell r="I2925">
            <v>80.1351</v>
          </cell>
          <cell r="J2925">
            <v>7.18178</v>
          </cell>
        </row>
        <row r="2925">
          <cell r="AA2925" t="str">
            <v>2T2R</v>
          </cell>
        </row>
        <row r="2926">
          <cell r="E2926" t="str">
            <v>GMELK1</v>
          </cell>
        </row>
        <row r="2926">
          <cell r="G2926" t="str">
            <v>GMELK1I</v>
          </cell>
        </row>
        <row r="2926">
          <cell r="I2926">
            <v>80.1359</v>
          </cell>
          <cell r="J2926">
            <v>7.13815</v>
          </cell>
        </row>
        <row r="2926">
          <cell r="AA2926" t="str">
            <v>2T2R</v>
          </cell>
        </row>
        <row r="2927">
          <cell r="E2927" t="str">
            <v>GMELK1</v>
          </cell>
        </row>
        <row r="2927">
          <cell r="G2927" t="str">
            <v>GMELK1H</v>
          </cell>
        </row>
        <row r="2927">
          <cell r="I2927">
            <v>80.1359</v>
          </cell>
          <cell r="J2927">
            <v>7.13815</v>
          </cell>
        </row>
        <row r="2927">
          <cell r="AA2927" t="str">
            <v>2T2R</v>
          </cell>
        </row>
        <row r="2928">
          <cell r="E2928" t="str">
            <v>GMELK1</v>
          </cell>
        </row>
        <row r="2928">
          <cell r="G2928" t="str">
            <v>GMELK1G</v>
          </cell>
        </row>
        <row r="2928">
          <cell r="I2928">
            <v>80.1359</v>
          </cell>
          <cell r="J2928">
            <v>7.13815</v>
          </cell>
        </row>
        <row r="2928">
          <cell r="AA2928" t="str">
            <v>2T2R</v>
          </cell>
        </row>
        <row r="2929">
          <cell r="E2929" t="str">
            <v>GMELK1</v>
          </cell>
        </row>
        <row r="2929">
          <cell r="G2929" t="str">
            <v>GMELK1-M-L85-C1</v>
          </cell>
        </row>
        <row r="2929">
          <cell r="I2929">
            <v>80.1359</v>
          </cell>
          <cell r="J2929">
            <v>7.13815</v>
          </cell>
        </row>
        <row r="2929">
          <cell r="AA2929" t="str">
            <v>2T2R</v>
          </cell>
        </row>
        <row r="2930">
          <cell r="E2930" t="str">
            <v>GMELK1</v>
          </cell>
        </row>
        <row r="2930">
          <cell r="G2930" t="str">
            <v>GMELK1-M-L85-B1</v>
          </cell>
        </row>
        <row r="2930">
          <cell r="I2930">
            <v>80.1359</v>
          </cell>
          <cell r="J2930">
            <v>7.13815</v>
          </cell>
        </row>
        <row r="2930">
          <cell r="AA2930" t="str">
            <v>2T2R</v>
          </cell>
        </row>
        <row r="2931">
          <cell r="E2931" t="str">
            <v>GMELK1</v>
          </cell>
        </row>
        <row r="2931">
          <cell r="G2931" t="str">
            <v>GMELK1-M-L85-A1</v>
          </cell>
        </row>
        <row r="2931">
          <cell r="I2931">
            <v>80.1359</v>
          </cell>
          <cell r="J2931">
            <v>7.13815</v>
          </cell>
        </row>
        <row r="2931">
          <cell r="AA2931" t="str">
            <v>2T2R</v>
          </cell>
        </row>
        <row r="2932">
          <cell r="E2932" t="str">
            <v>GMMIR5</v>
          </cell>
        </row>
        <row r="2932">
          <cell r="G2932" t="str">
            <v>GMMIR5-M-L85-C1</v>
          </cell>
        </row>
        <row r="2932">
          <cell r="I2932">
            <v>80.136666</v>
          </cell>
          <cell r="J2932">
            <v>7.221666</v>
          </cell>
        </row>
        <row r="2932">
          <cell r="AA2932" t="str">
            <v>2T2R</v>
          </cell>
        </row>
        <row r="2933">
          <cell r="E2933" t="str">
            <v>GMMIR5</v>
          </cell>
        </row>
        <row r="2933">
          <cell r="G2933" t="str">
            <v>GMMIR5-M-L85-B1</v>
          </cell>
        </row>
        <row r="2933">
          <cell r="I2933">
            <v>80.136666</v>
          </cell>
          <cell r="J2933">
            <v>7.221666</v>
          </cell>
        </row>
        <row r="2933">
          <cell r="AA2933" t="str">
            <v>2T2R</v>
          </cell>
        </row>
        <row r="2934">
          <cell r="E2934" t="str">
            <v>GMMIR5</v>
          </cell>
        </row>
        <row r="2934">
          <cell r="G2934" t="str">
            <v>GMMIR5-M-L85-A1</v>
          </cell>
        </row>
        <row r="2934">
          <cell r="I2934">
            <v>80.136666</v>
          </cell>
          <cell r="J2934">
            <v>7.221666</v>
          </cell>
        </row>
        <row r="2934">
          <cell r="AA2934" t="str">
            <v>2T2R</v>
          </cell>
        </row>
        <row r="2935">
          <cell r="E2935" t="str">
            <v>GMMIR5</v>
          </cell>
        </row>
        <row r="2935">
          <cell r="G2935" t="str">
            <v>GMMIR5I</v>
          </cell>
        </row>
        <row r="2935">
          <cell r="I2935">
            <v>80.136666</v>
          </cell>
          <cell r="J2935">
            <v>7.221666</v>
          </cell>
        </row>
        <row r="2935">
          <cell r="AA2935" t="str">
            <v>2T2R</v>
          </cell>
        </row>
        <row r="2936">
          <cell r="E2936" t="str">
            <v>GMMIR5</v>
          </cell>
        </row>
        <row r="2936">
          <cell r="G2936" t="str">
            <v>GMMIR5H</v>
          </cell>
        </row>
        <row r="2936">
          <cell r="I2936">
            <v>80.136666</v>
          </cell>
          <cell r="J2936">
            <v>7.221666</v>
          </cell>
        </row>
        <row r="2936">
          <cell r="AA2936" t="str">
            <v>2T2R</v>
          </cell>
        </row>
        <row r="2937">
          <cell r="E2937" t="str">
            <v>GMMIR5</v>
          </cell>
        </row>
        <row r="2937">
          <cell r="G2937" t="str">
            <v>GMMIR5G</v>
          </cell>
        </row>
        <row r="2937">
          <cell r="I2937">
            <v>80.136666</v>
          </cell>
          <cell r="J2937">
            <v>7.221666</v>
          </cell>
        </row>
        <row r="2937">
          <cell r="AA2937" t="str">
            <v>2T2R</v>
          </cell>
        </row>
        <row r="2938">
          <cell r="E2938" t="str">
            <v>QGMLC1</v>
          </cell>
        </row>
        <row r="2938">
          <cell r="G2938" t="str">
            <v>QGMLC1G</v>
          </cell>
        </row>
        <row r="2938">
          <cell r="I2938">
            <v>80.140415</v>
          </cell>
          <cell r="J2938">
            <v>7.102949</v>
          </cell>
        </row>
        <row r="2938">
          <cell r="AA2938" t="str">
            <v>1T1R</v>
          </cell>
        </row>
        <row r="2939">
          <cell r="E2939" t="str">
            <v>GMMIR2</v>
          </cell>
        </row>
        <row r="2939">
          <cell r="G2939" t="str">
            <v>GMMIR2-M-L21-C2</v>
          </cell>
        </row>
        <row r="2939">
          <cell r="I2939">
            <v>80.1419</v>
          </cell>
          <cell r="J2939">
            <v>7.2691</v>
          </cell>
        </row>
        <row r="2939">
          <cell r="AA2939" t="str">
            <v>2T2R</v>
          </cell>
        </row>
        <row r="2940">
          <cell r="E2940" t="str">
            <v>GMMIR2</v>
          </cell>
        </row>
        <row r="2940">
          <cell r="G2940" t="str">
            <v>GMMIR2-M-L21-B2</v>
          </cell>
        </row>
        <row r="2940">
          <cell r="I2940">
            <v>80.1419</v>
          </cell>
          <cell r="J2940">
            <v>7.2691</v>
          </cell>
        </row>
        <row r="2940">
          <cell r="AA2940" t="str">
            <v>4T4R</v>
          </cell>
        </row>
        <row r="2941">
          <cell r="E2941" t="str">
            <v>GMMIR2</v>
          </cell>
        </row>
        <row r="2941">
          <cell r="G2941" t="str">
            <v>GMMIR2-M-L21-A2</v>
          </cell>
        </row>
        <row r="2941">
          <cell r="I2941">
            <v>80.1419</v>
          </cell>
          <cell r="J2941">
            <v>7.2691</v>
          </cell>
        </row>
        <row r="2941">
          <cell r="AA2941" t="str">
            <v>2T2R</v>
          </cell>
        </row>
        <row r="2942">
          <cell r="E2942" t="str">
            <v>GMMIR2</v>
          </cell>
        </row>
        <row r="2942">
          <cell r="G2942" t="str">
            <v>GMMIR2-M-L18-I1</v>
          </cell>
        </row>
        <row r="2942">
          <cell r="I2942">
            <v>80.1419</v>
          </cell>
          <cell r="J2942">
            <v>7.2691</v>
          </cell>
        </row>
        <row r="2942">
          <cell r="AA2942" t="str">
            <v>4T4R</v>
          </cell>
        </row>
        <row r="2943">
          <cell r="E2943" t="str">
            <v>GMMIR2</v>
          </cell>
        </row>
        <row r="2943">
          <cell r="G2943" t="str">
            <v>GMMIR2-M-L21-B1</v>
          </cell>
        </row>
        <row r="2943">
          <cell r="I2943">
            <v>80.1419</v>
          </cell>
          <cell r="J2943">
            <v>7.2691</v>
          </cell>
        </row>
        <row r="2943">
          <cell r="AA2943" t="str">
            <v>4T4R</v>
          </cell>
        </row>
        <row r="2944">
          <cell r="E2944" t="str">
            <v>GMMIR2</v>
          </cell>
        </row>
        <row r="2944">
          <cell r="G2944" t="str">
            <v>GMMIR2-M-L18-H1</v>
          </cell>
        </row>
        <row r="2944">
          <cell r="I2944">
            <v>80.1419</v>
          </cell>
          <cell r="J2944">
            <v>7.2691</v>
          </cell>
        </row>
        <row r="2944">
          <cell r="AA2944" t="str">
            <v>4T4R</v>
          </cell>
        </row>
        <row r="2945">
          <cell r="E2945" t="str">
            <v>GMMIR2</v>
          </cell>
        </row>
        <row r="2945">
          <cell r="G2945" t="str">
            <v>GMMIR2I</v>
          </cell>
        </row>
        <row r="2945">
          <cell r="I2945">
            <v>80.1419</v>
          </cell>
          <cell r="J2945">
            <v>7.2691</v>
          </cell>
        </row>
        <row r="2945">
          <cell r="AA2945" t="str">
            <v>4T4R</v>
          </cell>
        </row>
        <row r="2946">
          <cell r="E2946" t="str">
            <v>GMMIR2</v>
          </cell>
        </row>
        <row r="2946">
          <cell r="G2946" t="str">
            <v>GMMIR2H</v>
          </cell>
        </row>
        <row r="2946">
          <cell r="I2946">
            <v>80.1419</v>
          </cell>
          <cell r="J2946">
            <v>7.2691</v>
          </cell>
        </row>
        <row r="2946">
          <cell r="AA2946" t="str">
            <v>4T4R</v>
          </cell>
        </row>
        <row r="2947">
          <cell r="E2947" t="str">
            <v>GMMIR2</v>
          </cell>
        </row>
        <row r="2947">
          <cell r="G2947" t="str">
            <v>GMMIR2G</v>
          </cell>
        </row>
        <row r="2947">
          <cell r="I2947">
            <v>80.1419</v>
          </cell>
          <cell r="J2947">
            <v>7.2691</v>
          </cell>
        </row>
        <row r="2947">
          <cell r="AA2947" t="str">
            <v>2T2R</v>
          </cell>
        </row>
        <row r="2948">
          <cell r="E2948" t="str">
            <v>GMMIR2</v>
          </cell>
        </row>
        <row r="2948">
          <cell r="G2948" t="str">
            <v>GMMIR2-M-L85-D1</v>
          </cell>
        </row>
        <row r="2948">
          <cell r="I2948">
            <v>80.1419</v>
          </cell>
          <cell r="J2948">
            <v>7.2691</v>
          </cell>
        </row>
        <row r="2948">
          <cell r="AA2948" t="str">
            <v>2T2R</v>
          </cell>
        </row>
        <row r="2949">
          <cell r="E2949" t="str">
            <v>GMMIR2</v>
          </cell>
        </row>
        <row r="2949">
          <cell r="G2949" t="str">
            <v>GMMIR2-M-L85-C1</v>
          </cell>
        </row>
        <row r="2949">
          <cell r="I2949">
            <v>80.1419</v>
          </cell>
          <cell r="J2949">
            <v>7.2691</v>
          </cell>
        </row>
        <row r="2949">
          <cell r="AA2949" t="str">
            <v>2T2R</v>
          </cell>
        </row>
        <row r="2950">
          <cell r="E2950" t="str">
            <v>GMMIR2</v>
          </cell>
        </row>
        <row r="2950">
          <cell r="G2950" t="str">
            <v>GMMIR2-M-L85-B1</v>
          </cell>
        </row>
        <row r="2950">
          <cell r="I2950">
            <v>80.1419</v>
          </cell>
          <cell r="J2950">
            <v>7.2691</v>
          </cell>
        </row>
        <row r="2950">
          <cell r="AA2950" t="str">
            <v>2T2R</v>
          </cell>
        </row>
        <row r="2951">
          <cell r="E2951" t="str">
            <v>GMMIR2</v>
          </cell>
        </row>
        <row r="2951">
          <cell r="G2951" t="str">
            <v>GMMIR2-M-L85-A1</v>
          </cell>
        </row>
        <row r="2951">
          <cell r="I2951">
            <v>80.1419</v>
          </cell>
          <cell r="J2951">
            <v>7.2691</v>
          </cell>
        </row>
        <row r="2951">
          <cell r="AA2951" t="str">
            <v>2T2R</v>
          </cell>
        </row>
        <row r="2952">
          <cell r="E2952" t="str">
            <v>GMRTB4</v>
          </cell>
        </row>
        <row r="2952">
          <cell r="G2952" t="str">
            <v>GMRTB4I</v>
          </cell>
        </row>
        <row r="2952">
          <cell r="I2952">
            <v>80.142666</v>
          </cell>
          <cell r="J2952">
            <v>7.0691353</v>
          </cell>
        </row>
        <row r="2952">
          <cell r="AA2952" t="str">
            <v>2T2R</v>
          </cell>
        </row>
        <row r="2953">
          <cell r="E2953" t="str">
            <v>GMRTB4</v>
          </cell>
        </row>
        <row r="2953">
          <cell r="G2953" t="str">
            <v>GMRTB4H</v>
          </cell>
        </row>
        <row r="2953">
          <cell r="I2953">
            <v>80.142666</v>
          </cell>
          <cell r="J2953">
            <v>7.0691353</v>
          </cell>
        </row>
        <row r="2953">
          <cell r="AA2953" t="str">
            <v>2T2R</v>
          </cell>
        </row>
        <row r="2954">
          <cell r="E2954" t="str">
            <v>GMRTB4</v>
          </cell>
        </row>
        <row r="2954">
          <cell r="G2954" t="str">
            <v>GMRTB4G</v>
          </cell>
        </row>
        <row r="2954">
          <cell r="I2954">
            <v>80.142666</v>
          </cell>
          <cell r="J2954">
            <v>7.0691353</v>
          </cell>
        </row>
        <row r="2954">
          <cell r="AA2954" t="str">
            <v>2T2R</v>
          </cell>
        </row>
        <row r="2955">
          <cell r="E2955" t="str">
            <v>GMRTB3</v>
          </cell>
        </row>
        <row r="2955">
          <cell r="G2955" t="str">
            <v>GMRTB3I</v>
          </cell>
        </row>
        <row r="2955">
          <cell r="I2955">
            <v>80.145385</v>
          </cell>
          <cell r="J2955">
            <v>7.047157</v>
          </cell>
        </row>
        <row r="2955">
          <cell r="AA2955" t="str">
            <v>4T4R</v>
          </cell>
        </row>
        <row r="2956">
          <cell r="E2956" t="str">
            <v>GMRTB3</v>
          </cell>
        </row>
        <row r="2956">
          <cell r="G2956" t="str">
            <v>GMRTB3H</v>
          </cell>
        </row>
        <row r="2956">
          <cell r="I2956">
            <v>80.145385</v>
          </cell>
          <cell r="J2956">
            <v>7.047157</v>
          </cell>
        </row>
        <row r="2956">
          <cell r="AA2956" t="str">
            <v>4T4R</v>
          </cell>
        </row>
        <row r="2957">
          <cell r="E2957" t="str">
            <v>GMRTB3</v>
          </cell>
        </row>
        <row r="2957">
          <cell r="G2957" t="str">
            <v>GMRTB3G</v>
          </cell>
        </row>
        <row r="2957">
          <cell r="I2957">
            <v>80.145385</v>
          </cell>
          <cell r="J2957">
            <v>7.047157</v>
          </cell>
        </row>
        <row r="2957">
          <cell r="AA2957" t="str">
            <v>2T2R</v>
          </cell>
        </row>
        <row r="2958">
          <cell r="E2958" t="str">
            <v>GMRTB3</v>
          </cell>
        </row>
        <row r="2958">
          <cell r="G2958" t="str">
            <v>GMRTB3-M-L21-C2</v>
          </cell>
        </row>
        <row r="2958">
          <cell r="I2958">
            <v>80.145385</v>
          </cell>
          <cell r="J2958">
            <v>7.047157</v>
          </cell>
        </row>
        <row r="2958">
          <cell r="AA2958" t="str">
            <v>4T4R</v>
          </cell>
        </row>
        <row r="2959">
          <cell r="E2959" t="str">
            <v>GMBGK1</v>
          </cell>
        </row>
        <row r="2959">
          <cell r="G2959" t="str">
            <v>GMBGK1I</v>
          </cell>
        </row>
        <row r="2959">
          <cell r="I2959">
            <v>80.1481</v>
          </cell>
          <cell r="J2959">
            <v>7.027648</v>
          </cell>
        </row>
        <row r="2959">
          <cell r="AA2959" t="str">
            <v>4T4R</v>
          </cell>
        </row>
        <row r="2960">
          <cell r="E2960" t="str">
            <v>GMBGK1</v>
          </cell>
        </row>
        <row r="2960">
          <cell r="G2960" t="str">
            <v>GMBGK1H</v>
          </cell>
        </row>
        <row r="2960">
          <cell r="I2960">
            <v>80.1481</v>
          </cell>
          <cell r="J2960">
            <v>7.027648</v>
          </cell>
        </row>
        <row r="2960">
          <cell r="AA2960" t="str">
            <v>2T2R</v>
          </cell>
        </row>
        <row r="2961">
          <cell r="E2961" t="str">
            <v>GMBGK1</v>
          </cell>
        </row>
        <row r="2961">
          <cell r="G2961" t="str">
            <v>GMBGK1G</v>
          </cell>
        </row>
        <row r="2961">
          <cell r="I2961">
            <v>80.1481</v>
          </cell>
          <cell r="J2961">
            <v>7.027648</v>
          </cell>
        </row>
        <row r="2961">
          <cell r="AA2961" t="str">
            <v>4T4R</v>
          </cell>
        </row>
        <row r="2962">
          <cell r="E2962" t="str">
            <v>GMBGK1</v>
          </cell>
        </row>
        <row r="2962">
          <cell r="G2962" t="str">
            <v>GMBGK1-M-L21-C2</v>
          </cell>
        </row>
        <row r="2962">
          <cell r="I2962">
            <v>80.1481</v>
          </cell>
          <cell r="J2962">
            <v>7.027648</v>
          </cell>
        </row>
        <row r="2962">
          <cell r="AA2962" t="str">
            <v>2T2R</v>
          </cell>
        </row>
        <row r="2963">
          <cell r="E2963" t="str">
            <v>GMBGK1</v>
          </cell>
        </row>
        <row r="2963">
          <cell r="G2963" t="str">
            <v>GMBGK1-M-L21-A2</v>
          </cell>
        </row>
        <row r="2963">
          <cell r="I2963">
            <v>80.1481</v>
          </cell>
          <cell r="J2963">
            <v>7.027648</v>
          </cell>
        </row>
        <row r="2963">
          <cell r="AA2963" t="str">
            <v>2T2R</v>
          </cell>
        </row>
        <row r="2964">
          <cell r="E2964" t="str">
            <v>GMBGK1</v>
          </cell>
        </row>
        <row r="2964">
          <cell r="G2964" t="str">
            <v>GMBGK1-M-L21-B2</v>
          </cell>
        </row>
        <row r="2964">
          <cell r="I2964">
            <v>80.1481</v>
          </cell>
          <cell r="J2964">
            <v>7.027648</v>
          </cell>
        </row>
        <row r="2964">
          <cell r="AA2964" t="str">
            <v>2T2R</v>
          </cell>
        </row>
        <row r="2965">
          <cell r="E2965" t="str">
            <v>GMBGK1</v>
          </cell>
        </row>
        <row r="2965">
          <cell r="G2965" t="str">
            <v>GMBGK1-M-L85-C1</v>
          </cell>
        </row>
        <row r="2965">
          <cell r="I2965">
            <v>80.1481</v>
          </cell>
          <cell r="J2965">
            <v>7.027648</v>
          </cell>
        </row>
        <row r="2965">
          <cell r="AA2965" t="str">
            <v>2T2R</v>
          </cell>
        </row>
        <row r="2966">
          <cell r="E2966" t="str">
            <v>GMBGK1</v>
          </cell>
        </row>
        <row r="2966">
          <cell r="G2966" t="str">
            <v>GMBGK1-M-L85-B1</v>
          </cell>
        </row>
        <row r="2966">
          <cell r="I2966">
            <v>80.1481</v>
          </cell>
          <cell r="J2966">
            <v>7.027648</v>
          </cell>
        </row>
        <row r="2966">
          <cell r="AA2966" t="str">
            <v>2T2R</v>
          </cell>
        </row>
        <row r="2967">
          <cell r="E2967" t="str">
            <v>GMBGK1</v>
          </cell>
        </row>
        <row r="2967">
          <cell r="G2967" t="str">
            <v>GMBGK1-M-L85-A1</v>
          </cell>
        </row>
        <row r="2967">
          <cell r="I2967">
            <v>80.1481</v>
          </cell>
          <cell r="J2967">
            <v>7.027648</v>
          </cell>
        </row>
        <row r="2967">
          <cell r="AA2967" t="str">
            <v>2T2R</v>
          </cell>
        </row>
        <row r="2968">
          <cell r="E2968" t="str">
            <v>GMURA1</v>
          </cell>
        </row>
        <row r="2968">
          <cell r="G2968" t="str">
            <v>GMURA1I</v>
          </cell>
        </row>
        <row r="2968">
          <cell r="I2968">
            <v>80.1486</v>
          </cell>
          <cell r="J2968">
            <v>7.09253</v>
          </cell>
        </row>
        <row r="2968">
          <cell r="AA2968" t="str">
            <v>4T4R</v>
          </cell>
        </row>
        <row r="2969">
          <cell r="E2969" t="str">
            <v>GMURA1</v>
          </cell>
        </row>
        <row r="2969">
          <cell r="G2969" t="str">
            <v>GMURA1H</v>
          </cell>
        </row>
        <row r="2969">
          <cell r="I2969">
            <v>80.1486</v>
          </cell>
          <cell r="J2969">
            <v>7.09253</v>
          </cell>
        </row>
        <row r="2969">
          <cell r="AA2969" t="str">
            <v>4T4R</v>
          </cell>
        </row>
        <row r="2970">
          <cell r="E2970" t="str">
            <v>GMURA1</v>
          </cell>
        </row>
        <row r="2970">
          <cell r="G2970" t="str">
            <v>GMURA1G</v>
          </cell>
        </row>
        <row r="2970">
          <cell r="I2970">
            <v>80.1486</v>
          </cell>
          <cell r="J2970">
            <v>7.09253</v>
          </cell>
        </row>
        <row r="2970">
          <cell r="AA2970" t="str">
            <v>4T4R</v>
          </cell>
        </row>
        <row r="2971">
          <cell r="E2971" t="str">
            <v>GMURA1</v>
          </cell>
        </row>
        <row r="2971">
          <cell r="G2971" t="str">
            <v>GMURA1-M-L85-C1</v>
          </cell>
        </row>
        <row r="2971">
          <cell r="I2971">
            <v>80.1486</v>
          </cell>
          <cell r="J2971">
            <v>7.09253</v>
          </cell>
        </row>
        <row r="2971">
          <cell r="AA2971" t="str">
            <v>2T2R</v>
          </cell>
        </row>
        <row r="2972">
          <cell r="E2972" t="str">
            <v>GMURA1</v>
          </cell>
        </row>
        <row r="2972">
          <cell r="G2972" t="str">
            <v>GMURA1-M-L85-B1</v>
          </cell>
        </row>
        <row r="2972">
          <cell r="I2972">
            <v>80.1486</v>
          </cell>
          <cell r="J2972">
            <v>7.09253</v>
          </cell>
        </row>
        <row r="2972">
          <cell r="AA2972" t="str">
            <v>2T2R</v>
          </cell>
        </row>
        <row r="2973">
          <cell r="E2973" t="str">
            <v>GMURA1</v>
          </cell>
        </row>
        <row r="2973">
          <cell r="G2973" t="str">
            <v>GMURA1-M-L85-A1</v>
          </cell>
        </row>
        <row r="2973">
          <cell r="I2973">
            <v>80.1486</v>
          </cell>
          <cell r="J2973">
            <v>7.09253</v>
          </cell>
        </row>
        <row r="2973">
          <cell r="AA2973" t="str">
            <v>2T2R</v>
          </cell>
        </row>
        <row r="2974">
          <cell r="E2974" t="str">
            <v>GMURA1</v>
          </cell>
        </row>
        <row r="2974">
          <cell r="G2974" t="str">
            <v>GMURA1-M-L21-C2</v>
          </cell>
        </row>
        <row r="2974">
          <cell r="I2974">
            <v>80.1486</v>
          </cell>
          <cell r="J2974">
            <v>7.09253</v>
          </cell>
        </row>
        <row r="2974">
          <cell r="AA2974" t="str">
            <v>2T2R</v>
          </cell>
        </row>
        <row r="2975">
          <cell r="E2975" t="str">
            <v>GMURA1</v>
          </cell>
        </row>
        <row r="2975">
          <cell r="G2975" t="str">
            <v>GMURA1-M-L21-B2</v>
          </cell>
        </row>
        <row r="2975">
          <cell r="I2975">
            <v>80.1486</v>
          </cell>
          <cell r="J2975">
            <v>7.09253</v>
          </cell>
        </row>
        <row r="2975">
          <cell r="AA2975" t="str">
            <v>2T2R</v>
          </cell>
        </row>
        <row r="2976">
          <cell r="E2976" t="str">
            <v>GMURA1</v>
          </cell>
        </row>
        <row r="2976">
          <cell r="G2976" t="str">
            <v>GMURA1-M-L21-A2</v>
          </cell>
        </row>
        <row r="2976">
          <cell r="I2976">
            <v>80.1486</v>
          </cell>
          <cell r="J2976">
            <v>7.09253</v>
          </cell>
        </row>
        <row r="2976">
          <cell r="AA2976" t="str">
            <v>2T2R</v>
          </cell>
        </row>
        <row r="2977">
          <cell r="E2977" t="str">
            <v>GMMDP1</v>
          </cell>
        </row>
        <row r="2977">
          <cell r="G2977" t="str">
            <v>GMMDP1I</v>
          </cell>
        </row>
        <row r="2977">
          <cell r="I2977">
            <v>80.151109</v>
          </cell>
          <cell r="J2977">
            <v>7.291585</v>
          </cell>
        </row>
        <row r="2977">
          <cell r="AA2977" t="str">
            <v>2T2R</v>
          </cell>
        </row>
        <row r="2978">
          <cell r="E2978" t="str">
            <v>GMMDP1</v>
          </cell>
        </row>
        <row r="2978">
          <cell r="G2978" t="str">
            <v>GMMDP1H</v>
          </cell>
        </row>
        <row r="2978">
          <cell r="I2978">
            <v>80.151109</v>
          </cell>
          <cell r="J2978">
            <v>7.291585</v>
          </cell>
        </row>
        <row r="2978">
          <cell r="AA2978" t="str">
            <v>2T2R</v>
          </cell>
        </row>
        <row r="2979">
          <cell r="E2979" t="str">
            <v>GMMDP1</v>
          </cell>
        </row>
        <row r="2979">
          <cell r="G2979" t="str">
            <v>GMMDP1G</v>
          </cell>
        </row>
        <row r="2979">
          <cell r="I2979">
            <v>80.151109</v>
          </cell>
          <cell r="J2979">
            <v>7.291585</v>
          </cell>
        </row>
        <row r="2979">
          <cell r="AA2979" t="str">
            <v>2T2R</v>
          </cell>
        </row>
        <row r="2980">
          <cell r="E2980" t="str">
            <v>GMMIT1</v>
          </cell>
        </row>
        <row r="2980">
          <cell r="G2980" t="str">
            <v>GMMIT1I</v>
          </cell>
        </row>
        <row r="2980">
          <cell r="I2980">
            <v>80.159263</v>
          </cell>
          <cell r="J2980">
            <v>6.988285</v>
          </cell>
        </row>
        <row r="2980">
          <cell r="AA2980" t="str">
            <v>4T4R</v>
          </cell>
        </row>
        <row r="2981">
          <cell r="E2981" t="str">
            <v>GMMIT1</v>
          </cell>
        </row>
        <row r="2981">
          <cell r="G2981" t="str">
            <v>GMMIT1H</v>
          </cell>
        </row>
        <row r="2981">
          <cell r="I2981">
            <v>80.159263</v>
          </cell>
          <cell r="J2981">
            <v>6.988285</v>
          </cell>
        </row>
        <row r="2981">
          <cell r="AA2981" t="str">
            <v>2T2R</v>
          </cell>
        </row>
        <row r="2982">
          <cell r="E2982" t="str">
            <v>GMMIT1</v>
          </cell>
        </row>
        <row r="2982">
          <cell r="G2982" t="str">
            <v>GMMIT1G</v>
          </cell>
        </row>
        <row r="2982">
          <cell r="I2982">
            <v>80.159263</v>
          </cell>
          <cell r="J2982">
            <v>6.988285</v>
          </cell>
        </row>
        <row r="2982">
          <cell r="AA2982" t="str">
            <v>2T2R</v>
          </cell>
        </row>
        <row r="2983">
          <cell r="E2983" t="str">
            <v>GMMIT1</v>
          </cell>
        </row>
        <row r="2983">
          <cell r="G2983" t="str">
            <v>GMMIT1F</v>
          </cell>
        </row>
        <row r="2983">
          <cell r="I2983">
            <v>80.159263</v>
          </cell>
          <cell r="J2983">
            <v>6.988285</v>
          </cell>
        </row>
        <row r="2983">
          <cell r="AA2983" t="str">
            <v>2T2R</v>
          </cell>
        </row>
        <row r="2984">
          <cell r="E2984" t="str">
            <v>GMMIT1</v>
          </cell>
        </row>
        <row r="2984">
          <cell r="G2984" t="str">
            <v>GMMIT1-M-L85-B1</v>
          </cell>
        </row>
        <row r="2984">
          <cell r="I2984">
            <v>80.159263</v>
          </cell>
          <cell r="J2984">
            <v>6.988285</v>
          </cell>
        </row>
        <row r="2984">
          <cell r="AA2984" t="str">
            <v>2T2R</v>
          </cell>
        </row>
        <row r="2985">
          <cell r="E2985" t="str">
            <v>GMMIT1</v>
          </cell>
        </row>
        <row r="2985">
          <cell r="G2985" t="str">
            <v>GMMIT1-M-L85-A1</v>
          </cell>
        </row>
        <row r="2985">
          <cell r="I2985">
            <v>80.159263</v>
          </cell>
          <cell r="J2985">
            <v>6.988285</v>
          </cell>
        </row>
        <row r="2985">
          <cell r="AA2985" t="str">
            <v>2T2R</v>
          </cell>
        </row>
        <row r="2986">
          <cell r="E2986" t="str">
            <v>GMBOT1</v>
          </cell>
        </row>
        <row r="2986">
          <cell r="G2986" t="str">
            <v>GMBOT1I</v>
          </cell>
        </row>
        <row r="2986">
          <cell r="I2986">
            <v>80.159546</v>
          </cell>
          <cell r="J2986">
            <v>7.235915</v>
          </cell>
        </row>
        <row r="2986">
          <cell r="AA2986" t="str">
            <v>2T2R</v>
          </cell>
        </row>
        <row r="2987">
          <cell r="E2987" t="str">
            <v>GMBOT1</v>
          </cell>
        </row>
        <row r="2987">
          <cell r="G2987" t="str">
            <v>GMBOT1H</v>
          </cell>
        </row>
        <row r="2987">
          <cell r="I2987">
            <v>80.159546</v>
          </cell>
          <cell r="J2987">
            <v>7.235915</v>
          </cell>
        </row>
        <row r="2987">
          <cell r="AA2987" t="str">
            <v>2T2R</v>
          </cell>
        </row>
        <row r="2988">
          <cell r="E2988" t="str">
            <v>GMBOT1</v>
          </cell>
        </row>
        <row r="2988">
          <cell r="G2988" t="str">
            <v>GMBOT1G</v>
          </cell>
        </row>
        <row r="2988">
          <cell r="I2988">
            <v>80.159546</v>
          </cell>
          <cell r="J2988">
            <v>7.235915</v>
          </cell>
        </row>
        <row r="2988">
          <cell r="AA2988" t="str">
            <v>2T2R</v>
          </cell>
        </row>
        <row r="2989">
          <cell r="E2989" t="str">
            <v>GMDAN1</v>
          </cell>
        </row>
        <row r="2989">
          <cell r="G2989" t="str">
            <v>GMDAN1-M-L21-C2</v>
          </cell>
        </row>
        <row r="2989">
          <cell r="I2989">
            <v>80.1618</v>
          </cell>
          <cell r="J2989">
            <v>7.20542</v>
          </cell>
        </row>
        <row r="2989">
          <cell r="AA2989" t="str">
            <v>2T2R</v>
          </cell>
        </row>
        <row r="2990">
          <cell r="E2990" t="str">
            <v>GMDAN1</v>
          </cell>
        </row>
        <row r="2990">
          <cell r="G2990" t="str">
            <v>GMDAN1-M-L21-B2</v>
          </cell>
        </row>
        <row r="2990">
          <cell r="I2990">
            <v>80.1618</v>
          </cell>
          <cell r="J2990">
            <v>7.20542</v>
          </cell>
        </row>
        <row r="2990">
          <cell r="AA2990" t="str">
            <v>2T2R</v>
          </cell>
        </row>
        <row r="2991">
          <cell r="E2991" t="str">
            <v>GMDAN1</v>
          </cell>
        </row>
        <row r="2991">
          <cell r="G2991" t="str">
            <v>GMDAN1-M-L21-A2</v>
          </cell>
        </row>
        <row r="2991">
          <cell r="I2991">
            <v>80.1618</v>
          </cell>
          <cell r="J2991">
            <v>7.20542</v>
          </cell>
        </row>
        <row r="2991">
          <cell r="AA2991" t="str">
            <v>2T2R</v>
          </cell>
        </row>
        <row r="2992">
          <cell r="E2992" t="str">
            <v>GMDAN1</v>
          </cell>
        </row>
        <row r="2992">
          <cell r="G2992" t="str">
            <v>GMDAN1I</v>
          </cell>
        </row>
        <row r="2992">
          <cell r="I2992">
            <v>80.1618</v>
          </cell>
          <cell r="J2992">
            <v>7.20542</v>
          </cell>
        </row>
        <row r="2992">
          <cell r="AA2992" t="str">
            <v>4T4R</v>
          </cell>
        </row>
        <row r="2993">
          <cell r="E2993" t="str">
            <v>GMDAN1</v>
          </cell>
        </row>
        <row r="2993">
          <cell r="G2993" t="str">
            <v>GMDAN1H</v>
          </cell>
        </row>
        <row r="2993">
          <cell r="I2993">
            <v>80.1618</v>
          </cell>
          <cell r="J2993">
            <v>7.20542</v>
          </cell>
        </row>
        <row r="2993">
          <cell r="AA2993" t="str">
            <v>4T4R</v>
          </cell>
        </row>
        <row r="2994">
          <cell r="E2994" t="str">
            <v>GMDAN1</v>
          </cell>
        </row>
        <row r="2994">
          <cell r="G2994" t="str">
            <v>GMDAN1G</v>
          </cell>
        </row>
        <row r="2994">
          <cell r="I2994">
            <v>80.1618</v>
          </cell>
          <cell r="J2994">
            <v>7.20542</v>
          </cell>
        </row>
        <row r="2994">
          <cell r="AA2994" t="str">
            <v>4T4R</v>
          </cell>
        </row>
        <row r="2995">
          <cell r="E2995" t="str">
            <v>GMDAN1</v>
          </cell>
        </row>
        <row r="2995">
          <cell r="G2995" t="str">
            <v>GMDAN1-M-L85-C1</v>
          </cell>
        </row>
        <row r="2995">
          <cell r="I2995">
            <v>80.1618</v>
          </cell>
          <cell r="J2995">
            <v>7.20542</v>
          </cell>
        </row>
        <row r="2995">
          <cell r="AA2995" t="str">
            <v>2T2R</v>
          </cell>
        </row>
        <row r="2996">
          <cell r="E2996" t="str">
            <v>GMDAN1</v>
          </cell>
        </row>
        <row r="2996">
          <cell r="G2996" t="str">
            <v>GMDAN1-M-L85-B1</v>
          </cell>
        </row>
        <row r="2996">
          <cell r="I2996">
            <v>80.1618</v>
          </cell>
          <cell r="J2996">
            <v>7.20542</v>
          </cell>
        </row>
        <row r="2996">
          <cell r="AA2996" t="str">
            <v>2T2R</v>
          </cell>
        </row>
        <row r="2997">
          <cell r="E2997" t="str">
            <v>GMDAN1</v>
          </cell>
        </row>
        <row r="2997">
          <cell r="G2997" t="str">
            <v>GMDAN1-M-L85-A1</v>
          </cell>
        </row>
        <row r="2997">
          <cell r="I2997">
            <v>80.1618</v>
          </cell>
          <cell r="J2997">
            <v>7.20542</v>
          </cell>
        </row>
        <row r="2997">
          <cell r="AA2997" t="str">
            <v>2T2R</v>
          </cell>
        </row>
        <row r="2998">
          <cell r="E2998" t="str">
            <v>GMNAD1</v>
          </cell>
        </row>
        <row r="2998">
          <cell r="G2998" t="str">
            <v>GMNAD1I</v>
          </cell>
        </row>
        <row r="2998">
          <cell r="I2998">
            <v>80.16667</v>
          </cell>
          <cell r="J2998">
            <v>7.068333</v>
          </cell>
        </row>
        <row r="2998">
          <cell r="AA2998" t="str">
            <v>4T4R</v>
          </cell>
        </row>
        <row r="2999">
          <cell r="E2999" t="str">
            <v>GMNAD1</v>
          </cell>
        </row>
        <row r="2999">
          <cell r="G2999" t="str">
            <v>GMNAD1H</v>
          </cell>
        </row>
        <row r="2999">
          <cell r="I2999">
            <v>80.16667</v>
          </cell>
          <cell r="J2999">
            <v>7.068333</v>
          </cell>
        </row>
        <row r="2999">
          <cell r="AA2999" t="str">
            <v>2T2R</v>
          </cell>
        </row>
        <row r="3000">
          <cell r="E3000" t="str">
            <v>GMNAD1</v>
          </cell>
        </row>
        <row r="3000">
          <cell r="G3000" t="str">
            <v>GMNAD1G</v>
          </cell>
        </row>
        <row r="3000">
          <cell r="I3000">
            <v>80.16667</v>
          </cell>
          <cell r="J3000">
            <v>7.068333</v>
          </cell>
        </row>
        <row r="3000">
          <cell r="AA3000" t="str">
            <v>2T2R</v>
          </cell>
        </row>
        <row r="3001">
          <cell r="E3001" t="str">
            <v>GMNAD1</v>
          </cell>
        </row>
        <row r="3001">
          <cell r="G3001" t="str">
            <v>GMNAD1-M-L21-C2</v>
          </cell>
        </row>
        <row r="3001">
          <cell r="I3001">
            <v>80.16667</v>
          </cell>
          <cell r="J3001">
            <v>7.068333</v>
          </cell>
        </row>
        <row r="3001">
          <cell r="AA3001" t="str">
            <v>2T2R</v>
          </cell>
        </row>
        <row r="3002">
          <cell r="E3002" t="str">
            <v>GMAMB1</v>
          </cell>
        </row>
        <row r="3002">
          <cell r="G3002" t="str">
            <v>GMAMB1I</v>
          </cell>
        </row>
        <row r="3002">
          <cell r="I3002">
            <v>80.1692</v>
          </cell>
          <cell r="J3002">
            <v>7.25389</v>
          </cell>
        </row>
        <row r="3002">
          <cell r="AA3002" t="str">
            <v>2T2R</v>
          </cell>
        </row>
        <row r="3003">
          <cell r="E3003" t="str">
            <v>GMAMB1</v>
          </cell>
        </row>
        <row r="3003">
          <cell r="G3003" t="str">
            <v>GMAMB1H</v>
          </cell>
        </row>
        <row r="3003">
          <cell r="I3003">
            <v>80.1692</v>
          </cell>
          <cell r="J3003">
            <v>7.25389</v>
          </cell>
        </row>
        <row r="3003">
          <cell r="AA3003" t="str">
            <v>2T2R</v>
          </cell>
        </row>
        <row r="3004">
          <cell r="E3004" t="str">
            <v>GMAMB1</v>
          </cell>
        </row>
        <row r="3004">
          <cell r="G3004" t="str">
            <v>GMAMB1G</v>
          </cell>
        </row>
        <row r="3004">
          <cell r="I3004">
            <v>80.1692</v>
          </cell>
          <cell r="J3004">
            <v>7.25389</v>
          </cell>
        </row>
        <row r="3004">
          <cell r="AA3004" t="str">
            <v>2T2R</v>
          </cell>
        </row>
        <row r="3005">
          <cell r="E3005" t="str">
            <v>GMAMI1</v>
          </cell>
        </row>
        <row r="3005">
          <cell r="G3005" t="str">
            <v>GMAMI1-M-L21-C2</v>
          </cell>
        </row>
        <row r="3005">
          <cell r="I3005">
            <v>80.1697</v>
          </cell>
          <cell r="J3005">
            <v>7.03045</v>
          </cell>
        </row>
        <row r="3005">
          <cell r="AA3005" t="str">
            <v>2T2R</v>
          </cell>
        </row>
        <row r="3006">
          <cell r="E3006" t="str">
            <v>GMAMI1</v>
          </cell>
        </row>
        <row r="3006">
          <cell r="G3006" t="str">
            <v>GMAMI1-M-L21-B2</v>
          </cell>
        </row>
        <row r="3006">
          <cell r="I3006">
            <v>80.1697</v>
          </cell>
          <cell r="J3006">
            <v>7.03045</v>
          </cell>
        </row>
        <row r="3006">
          <cell r="AA3006" t="str">
            <v>4T4R</v>
          </cell>
        </row>
        <row r="3007">
          <cell r="E3007" t="str">
            <v>GMAMI1</v>
          </cell>
        </row>
        <row r="3007">
          <cell r="G3007" t="str">
            <v>GMAMI1-M-L21-B1</v>
          </cell>
        </row>
        <row r="3007">
          <cell r="I3007">
            <v>80.1697</v>
          </cell>
          <cell r="J3007">
            <v>7.03045</v>
          </cell>
        </row>
        <row r="3007">
          <cell r="AA3007" t="str">
            <v>4T4R</v>
          </cell>
        </row>
        <row r="3008">
          <cell r="E3008" t="str">
            <v>GMAMI1</v>
          </cell>
        </row>
        <row r="3008">
          <cell r="G3008" t="str">
            <v>GMAMI1-M-L18-H1</v>
          </cell>
        </row>
        <row r="3008">
          <cell r="I3008">
            <v>80.1697</v>
          </cell>
          <cell r="J3008">
            <v>7.03045</v>
          </cell>
        </row>
        <row r="3008">
          <cell r="AA3008" t="str">
            <v>4T4R</v>
          </cell>
        </row>
        <row r="3009">
          <cell r="E3009" t="str">
            <v>GMAMI1</v>
          </cell>
        </row>
        <row r="3009">
          <cell r="G3009" t="str">
            <v>GMAMI1I</v>
          </cell>
        </row>
        <row r="3009">
          <cell r="I3009">
            <v>80.1697</v>
          </cell>
          <cell r="J3009">
            <v>7.03045</v>
          </cell>
        </row>
        <row r="3009">
          <cell r="AA3009" t="str">
            <v>2T2R</v>
          </cell>
        </row>
        <row r="3010">
          <cell r="E3010" t="str">
            <v>GMAMI1</v>
          </cell>
        </row>
        <row r="3010">
          <cell r="G3010" t="str">
            <v>GMAMI1H</v>
          </cell>
        </row>
        <row r="3010">
          <cell r="I3010">
            <v>80.1697</v>
          </cell>
          <cell r="J3010">
            <v>7.03045</v>
          </cell>
        </row>
        <row r="3010">
          <cell r="AA3010" t="str">
            <v>4T4R</v>
          </cell>
        </row>
        <row r="3011">
          <cell r="E3011" t="str">
            <v>GMAMI1</v>
          </cell>
        </row>
        <row r="3011">
          <cell r="G3011" t="str">
            <v>GMAMI1G</v>
          </cell>
        </row>
        <row r="3011">
          <cell r="I3011">
            <v>80.1697</v>
          </cell>
          <cell r="J3011">
            <v>7.03045</v>
          </cell>
        </row>
        <row r="3011">
          <cell r="AA3011" t="str">
            <v>2T2R</v>
          </cell>
        </row>
        <row r="3012">
          <cell r="E3012" t="str">
            <v>GMAMI1</v>
          </cell>
        </row>
        <row r="3012">
          <cell r="G3012" t="str">
            <v>GMAMI1-M-L85-C1</v>
          </cell>
        </row>
        <row r="3012">
          <cell r="I3012">
            <v>80.1697</v>
          </cell>
          <cell r="J3012">
            <v>7.03045</v>
          </cell>
        </row>
        <row r="3012">
          <cell r="AA3012" t="str">
            <v>2T2R</v>
          </cell>
        </row>
        <row r="3013">
          <cell r="E3013" t="str">
            <v>GMAMI1</v>
          </cell>
        </row>
        <row r="3013">
          <cell r="G3013" t="str">
            <v>GMAMI1-M-L85-B1</v>
          </cell>
        </row>
        <row r="3013">
          <cell r="I3013">
            <v>80.1697</v>
          </cell>
          <cell r="J3013">
            <v>7.03045</v>
          </cell>
        </row>
        <row r="3013">
          <cell r="AA3013" t="str">
            <v>2T2R</v>
          </cell>
        </row>
        <row r="3014">
          <cell r="E3014" t="str">
            <v>GMAMI1</v>
          </cell>
        </row>
        <row r="3014">
          <cell r="G3014" t="str">
            <v>GMAMI1-M-L85-A1</v>
          </cell>
        </row>
        <row r="3014">
          <cell r="I3014">
            <v>80.1697</v>
          </cell>
          <cell r="J3014">
            <v>7.03045</v>
          </cell>
        </row>
        <row r="3014">
          <cell r="AA3014" t="str">
            <v>2T2R</v>
          </cell>
        </row>
        <row r="3015">
          <cell r="E3015" t="str">
            <v>GMALW1</v>
          </cell>
        </row>
        <row r="3015">
          <cell r="G3015" t="str">
            <v>GMALW1-M-L85-C1</v>
          </cell>
        </row>
        <row r="3015">
          <cell r="I3015">
            <v>80.1722</v>
          </cell>
          <cell r="J3015">
            <v>7.11643</v>
          </cell>
        </row>
        <row r="3015">
          <cell r="AA3015" t="str">
            <v>2T2R</v>
          </cell>
        </row>
        <row r="3016">
          <cell r="E3016" t="str">
            <v>GMALW1</v>
          </cell>
        </row>
        <row r="3016">
          <cell r="G3016" t="str">
            <v>GMALW1-M-L85-B1</v>
          </cell>
        </row>
        <row r="3016">
          <cell r="I3016">
            <v>80.1722</v>
          </cell>
          <cell r="J3016">
            <v>7.11643</v>
          </cell>
        </row>
        <row r="3016">
          <cell r="AA3016" t="str">
            <v>2T2R</v>
          </cell>
        </row>
        <row r="3017">
          <cell r="E3017" t="str">
            <v>GMALW1</v>
          </cell>
        </row>
        <row r="3017">
          <cell r="G3017" t="str">
            <v>GMALW1-M-L85-A1</v>
          </cell>
        </row>
        <row r="3017">
          <cell r="I3017">
            <v>80.1722</v>
          </cell>
          <cell r="J3017">
            <v>7.11643</v>
          </cell>
        </row>
        <row r="3017">
          <cell r="AA3017" t="str">
            <v>2T2R</v>
          </cell>
        </row>
        <row r="3018">
          <cell r="E3018" t="str">
            <v>GMALW1</v>
          </cell>
        </row>
        <row r="3018">
          <cell r="G3018" t="str">
            <v>GMALW1I</v>
          </cell>
        </row>
        <row r="3018">
          <cell r="I3018">
            <v>80.1722</v>
          </cell>
          <cell r="J3018">
            <v>7.11643</v>
          </cell>
        </row>
        <row r="3018">
          <cell r="AA3018" t="str">
            <v>2T2R</v>
          </cell>
        </row>
        <row r="3019">
          <cell r="E3019" t="str">
            <v>GMALW1</v>
          </cell>
        </row>
        <row r="3019">
          <cell r="G3019" t="str">
            <v>GMALW1H</v>
          </cell>
        </row>
        <row r="3019">
          <cell r="I3019">
            <v>80.1722</v>
          </cell>
          <cell r="J3019">
            <v>7.11643</v>
          </cell>
        </row>
        <row r="3019">
          <cell r="AA3019" t="str">
            <v>2T2R</v>
          </cell>
        </row>
        <row r="3020">
          <cell r="E3020" t="str">
            <v>GMALW1</v>
          </cell>
        </row>
        <row r="3020">
          <cell r="G3020" t="str">
            <v>GMALW1G</v>
          </cell>
        </row>
        <row r="3020">
          <cell r="I3020">
            <v>80.1722</v>
          </cell>
          <cell r="J3020">
            <v>7.11643</v>
          </cell>
        </row>
        <row r="3020">
          <cell r="AA3020" t="str">
            <v>2T2R</v>
          </cell>
        </row>
        <row r="3021">
          <cell r="E3021" t="str">
            <v>GMTHA2</v>
          </cell>
        </row>
        <row r="3021">
          <cell r="G3021" t="str">
            <v>GMTHA2I</v>
          </cell>
        </row>
        <row r="3021">
          <cell r="I3021">
            <v>80.1861</v>
          </cell>
          <cell r="J3021">
            <v>7.2563</v>
          </cell>
        </row>
        <row r="3021">
          <cell r="AA3021" t="str">
            <v>4T4R</v>
          </cell>
        </row>
        <row r="3022">
          <cell r="E3022" t="str">
            <v>GMTHA2</v>
          </cell>
        </row>
        <row r="3022">
          <cell r="G3022" t="str">
            <v>GMTHA2H</v>
          </cell>
        </row>
        <row r="3022">
          <cell r="I3022">
            <v>80.1861</v>
          </cell>
          <cell r="J3022">
            <v>7.2563</v>
          </cell>
        </row>
        <row r="3022">
          <cell r="AA3022" t="str">
            <v>4T4R</v>
          </cell>
        </row>
        <row r="3023">
          <cell r="E3023" t="str">
            <v>GMTHA2</v>
          </cell>
        </row>
        <row r="3023">
          <cell r="G3023" t="str">
            <v>GMTHA2G</v>
          </cell>
        </row>
        <row r="3023">
          <cell r="I3023">
            <v>80.1861</v>
          </cell>
          <cell r="J3023">
            <v>7.2563</v>
          </cell>
        </row>
        <row r="3023">
          <cell r="AA3023" t="str">
            <v>4T4R</v>
          </cell>
        </row>
        <row r="3024">
          <cell r="E3024" t="str">
            <v>GMTHA2</v>
          </cell>
        </row>
        <row r="3024">
          <cell r="G3024" t="str">
            <v>GMTHA2-M-L85-C1</v>
          </cell>
        </row>
        <row r="3024">
          <cell r="I3024">
            <v>80.1861</v>
          </cell>
          <cell r="J3024">
            <v>7.2563</v>
          </cell>
        </row>
        <row r="3024">
          <cell r="AA3024" t="str">
            <v>2T2R</v>
          </cell>
        </row>
        <row r="3025">
          <cell r="E3025" t="str">
            <v>GMTHA2</v>
          </cell>
        </row>
        <row r="3025">
          <cell r="G3025" t="str">
            <v>GMTHA2-M-L85-B1</v>
          </cell>
        </row>
        <row r="3025">
          <cell r="I3025">
            <v>80.1861</v>
          </cell>
          <cell r="J3025">
            <v>7.2563</v>
          </cell>
        </row>
        <row r="3025">
          <cell r="AA3025" t="str">
            <v>2T2R</v>
          </cell>
        </row>
        <row r="3026">
          <cell r="E3026" t="str">
            <v>GMTHA2</v>
          </cell>
        </row>
        <row r="3026">
          <cell r="G3026" t="str">
            <v>GMTHA2-M-L85-A1</v>
          </cell>
        </row>
        <row r="3026">
          <cell r="I3026">
            <v>80.1861</v>
          </cell>
          <cell r="J3026">
            <v>7.2563</v>
          </cell>
        </row>
        <row r="3026">
          <cell r="AA3026" t="str">
            <v>2T2R</v>
          </cell>
        </row>
        <row r="3027">
          <cell r="E3027" t="str">
            <v>GMTHA2</v>
          </cell>
        </row>
        <row r="3027">
          <cell r="G3027" t="str">
            <v>GMTHA2-M-L21-C2</v>
          </cell>
        </row>
        <row r="3027">
          <cell r="I3027">
            <v>80.1861</v>
          </cell>
          <cell r="J3027">
            <v>7.2563</v>
          </cell>
        </row>
        <row r="3027">
          <cell r="AA3027" t="str">
            <v>2T2R</v>
          </cell>
        </row>
        <row r="3028">
          <cell r="E3028" t="str">
            <v>GMTHA2</v>
          </cell>
        </row>
        <row r="3028">
          <cell r="G3028" t="str">
            <v>GMTHA2-M-L21-B2</v>
          </cell>
        </row>
        <row r="3028">
          <cell r="I3028">
            <v>80.1861</v>
          </cell>
          <cell r="J3028">
            <v>7.2563</v>
          </cell>
        </row>
        <row r="3028">
          <cell r="AA3028" t="str">
            <v>2T2R</v>
          </cell>
        </row>
        <row r="3029">
          <cell r="E3029" t="str">
            <v>GMTHA2</v>
          </cell>
        </row>
        <row r="3029">
          <cell r="G3029" t="str">
            <v>GMTHA2-M-L21-A2</v>
          </cell>
        </row>
        <row r="3029">
          <cell r="I3029">
            <v>80.1861</v>
          </cell>
          <cell r="J3029">
            <v>7.2563</v>
          </cell>
        </row>
        <row r="3029">
          <cell r="AA3029" t="str">
            <v>2T2R</v>
          </cell>
        </row>
        <row r="3030">
          <cell r="E3030" t="str">
            <v>GMTHA2</v>
          </cell>
        </row>
        <row r="3030">
          <cell r="G3030" t="str">
            <v>GMTHA2-M-L21-D2</v>
          </cell>
        </row>
        <row r="3030">
          <cell r="I3030">
            <v>80.1861</v>
          </cell>
          <cell r="J3030">
            <v>7.2563</v>
          </cell>
        </row>
        <row r="3030">
          <cell r="AA3030" t="str">
            <v>2T2R</v>
          </cell>
        </row>
        <row r="3031">
          <cell r="E3031" t="str">
            <v>GMAMI2</v>
          </cell>
        </row>
        <row r="3031">
          <cell r="G3031" t="str">
            <v>GMAMI2-M-L85-C1</v>
          </cell>
        </row>
        <row r="3031">
          <cell r="I3031">
            <v>80.193056</v>
          </cell>
          <cell r="J3031">
            <v>7.0325</v>
          </cell>
        </row>
        <row r="3031">
          <cell r="AA3031" t="str">
            <v>2T2R</v>
          </cell>
        </row>
        <row r="3032">
          <cell r="E3032" t="str">
            <v>GMAMI2</v>
          </cell>
        </row>
        <row r="3032">
          <cell r="G3032" t="str">
            <v>GMAMI2-M-L85-B1</v>
          </cell>
        </row>
        <row r="3032">
          <cell r="I3032">
            <v>80.193056</v>
          </cell>
          <cell r="J3032">
            <v>7.0325</v>
          </cell>
        </row>
        <row r="3032">
          <cell r="AA3032" t="str">
            <v>2T2R</v>
          </cell>
        </row>
        <row r="3033">
          <cell r="E3033" t="str">
            <v>GMAMI2</v>
          </cell>
        </row>
        <row r="3033">
          <cell r="G3033" t="str">
            <v>GMAMI2-M-L85-A1</v>
          </cell>
        </row>
        <row r="3033">
          <cell r="I3033">
            <v>80.193056</v>
          </cell>
          <cell r="J3033">
            <v>7.0325</v>
          </cell>
        </row>
        <row r="3033">
          <cell r="AA3033" t="str">
            <v>2T2R</v>
          </cell>
        </row>
        <row r="3034">
          <cell r="E3034" t="str">
            <v>GMAMI2</v>
          </cell>
        </row>
        <row r="3034">
          <cell r="G3034" t="str">
            <v>GMAMI2-M-L21-A2</v>
          </cell>
        </row>
        <row r="3034">
          <cell r="I3034">
            <v>80.193056</v>
          </cell>
          <cell r="J3034">
            <v>7.0325</v>
          </cell>
        </row>
        <row r="3034">
          <cell r="AA3034" t="str">
            <v>2T2R</v>
          </cell>
        </row>
        <row r="3035">
          <cell r="E3035" t="str">
            <v>GMLIY1</v>
          </cell>
        </row>
        <row r="3035">
          <cell r="G3035" t="str">
            <v>GMLIY1-M-L21-A2</v>
          </cell>
        </row>
        <row r="3035">
          <cell r="I3035">
            <v>79.8751</v>
          </cell>
          <cell r="J3035">
            <v>7.14236</v>
          </cell>
        </row>
        <row r="3035">
          <cell r="AA3035" t="str">
            <v>4T4R</v>
          </cell>
        </row>
        <row r="3036">
          <cell r="E3036" t="str">
            <v>GMNUG1</v>
          </cell>
        </row>
        <row r="3036">
          <cell r="G3036" t="str">
            <v>GMNUG1-M-L21-C2</v>
          </cell>
        </row>
        <row r="3036">
          <cell r="I3036">
            <v>79.863</v>
          </cell>
          <cell r="J3036">
            <v>7.22341</v>
          </cell>
        </row>
        <row r="3036">
          <cell r="AA3036" t="str">
            <v>2T2R</v>
          </cell>
        </row>
        <row r="3037">
          <cell r="E3037" t="str">
            <v>GMNUG1</v>
          </cell>
        </row>
        <row r="3037">
          <cell r="G3037" t="str">
            <v>GMNUG1-M-L21-B2</v>
          </cell>
        </row>
        <row r="3037">
          <cell r="I3037">
            <v>79.863</v>
          </cell>
          <cell r="J3037">
            <v>7.22341</v>
          </cell>
        </row>
        <row r="3037">
          <cell r="AA3037" t="str">
            <v>2T2R</v>
          </cell>
        </row>
        <row r="3038">
          <cell r="E3038" t="str">
            <v>LGZ019</v>
          </cell>
        </row>
        <row r="3038">
          <cell r="G3038" t="str">
            <v>LGZ019-M-L21-C2</v>
          </cell>
        </row>
        <row r="3038">
          <cell r="I3038" t="e">
            <v>#N/A</v>
          </cell>
          <cell r="J3038" t="e">
            <v>#N/A</v>
          </cell>
        </row>
        <row r="3038">
          <cell r="AA3038" t="str">
            <v>2T2R</v>
          </cell>
        </row>
        <row r="3039">
          <cell r="E3039" t="str">
            <v>LGZ019</v>
          </cell>
        </row>
        <row r="3039">
          <cell r="G3039" t="str">
            <v>LGZ019-M-L21-B2</v>
          </cell>
        </row>
        <row r="3039">
          <cell r="I3039" t="e">
            <v>#N/A</v>
          </cell>
          <cell r="J3039" t="e">
            <v>#N/A</v>
          </cell>
        </row>
        <row r="3039">
          <cell r="AA3039" t="str">
            <v>2T2R</v>
          </cell>
        </row>
        <row r="3040">
          <cell r="E3040" t="str">
            <v>LGZ019</v>
          </cell>
        </row>
        <row r="3040">
          <cell r="G3040" t="str">
            <v>LGZ019-M-L21-A2</v>
          </cell>
        </row>
        <row r="3040">
          <cell r="I3040" t="e">
            <v>#N/A</v>
          </cell>
          <cell r="J3040" t="e">
            <v>#N/A</v>
          </cell>
        </row>
        <row r="3040">
          <cell r="AA3040" t="str">
            <v>2T2R</v>
          </cell>
        </row>
        <row r="3041">
          <cell r="E3041" t="str">
            <v>ZDOM01</v>
          </cell>
        </row>
        <row r="3041">
          <cell r="G3041" t="str">
            <v>ZDOM01-M-L21-C2</v>
          </cell>
        </row>
        <row r="3041">
          <cell r="I3041">
            <v>80.052</v>
          </cell>
          <cell r="J3041">
            <v>6.95128</v>
          </cell>
        </row>
        <row r="3041">
          <cell r="AA3041" t="str">
            <v>2T2R</v>
          </cell>
        </row>
        <row r="3042">
          <cell r="E3042" t="str">
            <v>ZDOM01</v>
          </cell>
        </row>
        <row r="3042">
          <cell r="G3042" t="str">
            <v>ZDOM01-M-L21-B2</v>
          </cell>
        </row>
        <row r="3042">
          <cell r="I3042">
            <v>80.052</v>
          </cell>
          <cell r="J3042">
            <v>6.95128</v>
          </cell>
        </row>
        <row r="3042">
          <cell r="AA3042" t="str">
            <v>2T2R</v>
          </cell>
        </row>
        <row r="3043">
          <cell r="E3043" t="str">
            <v>ZDOM01</v>
          </cell>
        </row>
        <row r="3043">
          <cell r="G3043" t="str">
            <v>ZDOM01-M-L21-A2</v>
          </cell>
        </row>
        <row r="3043">
          <cell r="I3043">
            <v>80.052</v>
          </cell>
          <cell r="J3043">
            <v>6.95128</v>
          </cell>
        </row>
        <row r="3043">
          <cell r="AA3043" t="str">
            <v>2T2R</v>
          </cell>
        </row>
        <row r="3044">
          <cell r="E3044" t="str">
            <v>GMWEW1</v>
          </cell>
        </row>
        <row r="3044">
          <cell r="G3044" t="str">
            <v>GMWEW1-M-L21-D2</v>
          </cell>
        </row>
        <row r="3044">
          <cell r="I3044" t="e">
            <v>#N/A</v>
          </cell>
          <cell r="J3044" t="e">
            <v>#N/A</v>
          </cell>
        </row>
        <row r="3044">
          <cell r="AA3044" t="str">
            <v>8T8R</v>
          </cell>
        </row>
        <row r="3045">
          <cell r="E3045" t="str">
            <v>ZBIY03</v>
          </cell>
        </row>
        <row r="3045">
          <cell r="G3045" t="str">
            <v>ZBIY03-M-L21-A1</v>
          </cell>
        </row>
        <row r="3045">
          <cell r="I3045">
            <v>80.0157</v>
          </cell>
          <cell r="J3045">
            <v>6.95225</v>
          </cell>
        </row>
        <row r="3045">
          <cell r="AA3045" t="str">
            <v>8T8R</v>
          </cell>
        </row>
        <row r="3046">
          <cell r="E3046" t="str">
            <v>GMGAM3</v>
          </cell>
        </row>
        <row r="3046">
          <cell r="G3046" t="str">
            <v>GMGAM3-M-L21-H1</v>
          </cell>
        </row>
        <row r="3046">
          <cell r="I3046">
            <v>79.9898</v>
          </cell>
          <cell r="J3046">
            <v>7.1095</v>
          </cell>
        </row>
        <row r="3046">
          <cell r="AA3046" t="str">
            <v>8T8R</v>
          </cell>
        </row>
        <row r="3047">
          <cell r="E3047" t="str">
            <v>GMGAM3</v>
          </cell>
        </row>
        <row r="3047">
          <cell r="G3047" t="str">
            <v>GMGAM3-M-L21-D2</v>
          </cell>
        </row>
        <row r="3047">
          <cell r="I3047">
            <v>79.9898</v>
          </cell>
          <cell r="J3047">
            <v>7.1095</v>
          </cell>
        </row>
        <row r="3047">
          <cell r="AA3047" t="str">
            <v>2T2R</v>
          </cell>
        </row>
        <row r="3048">
          <cell r="E3048" t="str">
            <v>LGZ012</v>
          </cell>
        </row>
        <row r="3048">
          <cell r="G3048" t="str">
            <v>LGZ012I</v>
          </cell>
        </row>
        <row r="3048">
          <cell r="I3048">
            <v>79.9069</v>
          </cell>
          <cell r="J3048">
            <v>7.0025</v>
          </cell>
        </row>
        <row r="3048">
          <cell r="AA3048" t="str">
            <v>2T2R</v>
          </cell>
        </row>
        <row r="3049">
          <cell r="E3049" t="str">
            <v>LGZ012</v>
          </cell>
        </row>
        <row r="3049">
          <cell r="G3049" t="str">
            <v>LGZ012H</v>
          </cell>
        </row>
        <row r="3049">
          <cell r="I3049">
            <v>79.9069</v>
          </cell>
          <cell r="J3049">
            <v>7.0025</v>
          </cell>
        </row>
        <row r="3049">
          <cell r="AA3049" t="str">
            <v>2T2R</v>
          </cell>
        </row>
        <row r="3050">
          <cell r="E3050" t="str">
            <v>LGZ012</v>
          </cell>
        </row>
        <row r="3050">
          <cell r="G3050" t="str">
            <v>LGZ012G</v>
          </cell>
        </row>
        <row r="3050">
          <cell r="I3050">
            <v>79.9069</v>
          </cell>
          <cell r="J3050">
            <v>7.0025</v>
          </cell>
        </row>
        <row r="3050">
          <cell r="AA3050" t="str">
            <v>2T2R</v>
          </cell>
        </row>
        <row r="3051">
          <cell r="E3051" t="str">
            <v>ZKAD01</v>
          </cell>
        </row>
        <row r="3051">
          <cell r="G3051" t="str">
            <v>ZKAD01-M-L21-C1</v>
          </cell>
        </row>
        <row r="3051">
          <cell r="I3051">
            <v>79.9461</v>
          </cell>
          <cell r="J3051">
            <v>6.99575</v>
          </cell>
        </row>
        <row r="3051">
          <cell r="AA3051" t="str">
            <v>8T8R</v>
          </cell>
        </row>
        <row r="3052">
          <cell r="E3052" t="str">
            <v>ZJAL08</v>
          </cell>
        </row>
        <row r="3052">
          <cell r="G3052" t="str">
            <v>ZJAL08-M-L21-C1</v>
          </cell>
        </row>
        <row r="3052">
          <cell r="I3052">
            <v>79.8952</v>
          </cell>
          <cell r="J3052">
            <v>7.06956</v>
          </cell>
        </row>
        <row r="3052">
          <cell r="AA3052" t="str">
            <v>8T8R</v>
          </cell>
        </row>
        <row r="3053">
          <cell r="E3053" t="str">
            <v>GMAIR1</v>
          </cell>
        </row>
        <row r="3053">
          <cell r="G3053" t="str">
            <v>GMAIR1-M-L21-D2</v>
          </cell>
        </row>
        <row r="3053">
          <cell r="I3053">
            <v>79.8903</v>
          </cell>
          <cell r="J3053">
            <v>7.17706</v>
          </cell>
        </row>
        <row r="3053">
          <cell r="AA3053" t="str">
            <v>2T2R</v>
          </cell>
        </row>
        <row r="3054">
          <cell r="E3054" t="str">
            <v>ZDOM02</v>
          </cell>
        </row>
        <row r="3054">
          <cell r="G3054" t="str">
            <v>ZDOM02-M-L21-D2</v>
          </cell>
        </row>
        <row r="3054">
          <cell r="I3054">
            <v>80.1206</v>
          </cell>
          <cell r="J3054">
            <v>6.97689</v>
          </cell>
        </row>
        <row r="3054">
          <cell r="AA3054" t="str">
            <v>2T2R</v>
          </cell>
        </row>
        <row r="3055">
          <cell r="E3055" t="str">
            <v>ZDOM02</v>
          </cell>
        </row>
        <row r="3055">
          <cell r="G3055" t="str">
            <v>ZDOM02-M-L21-A1</v>
          </cell>
        </row>
        <row r="3055">
          <cell r="I3055">
            <v>80.1206</v>
          </cell>
          <cell r="J3055">
            <v>6.97689</v>
          </cell>
        </row>
        <row r="3055">
          <cell r="AA3055" t="str">
            <v>8T8R</v>
          </cell>
        </row>
        <row r="3056">
          <cell r="E3056" t="str">
            <v>GMAIR2</v>
          </cell>
        </row>
        <row r="3056">
          <cell r="G3056" t="str">
            <v>GMAIR2-M-L85-C1</v>
          </cell>
        </row>
        <row r="3056">
          <cell r="I3056">
            <v>79.8746</v>
          </cell>
          <cell r="J3056">
            <v>7.15608</v>
          </cell>
        </row>
        <row r="3056">
          <cell r="AA3056" t="str">
            <v>2T2R</v>
          </cell>
        </row>
        <row r="3057">
          <cell r="E3057" t="str">
            <v>GMAIR2</v>
          </cell>
        </row>
        <row r="3057">
          <cell r="G3057" t="str">
            <v>GMAIR2-M-L85-B1</v>
          </cell>
        </row>
        <row r="3057">
          <cell r="I3057">
            <v>79.8746</v>
          </cell>
          <cell r="J3057">
            <v>7.15608</v>
          </cell>
        </row>
        <row r="3057">
          <cell r="AA3057" t="str">
            <v>2T2R</v>
          </cell>
        </row>
        <row r="3058">
          <cell r="E3058" t="str">
            <v>GMAIR2</v>
          </cell>
        </row>
        <row r="3058">
          <cell r="G3058" t="str">
            <v>GMAIR2-M-L85-A1</v>
          </cell>
        </row>
        <row r="3058">
          <cell r="I3058">
            <v>79.8746</v>
          </cell>
          <cell r="J3058">
            <v>7.15608</v>
          </cell>
        </row>
        <row r="3058">
          <cell r="AA3058" t="str">
            <v>2T2R</v>
          </cell>
        </row>
        <row r="3059">
          <cell r="E3059" t="str">
            <v>LGM028</v>
          </cell>
        </row>
        <row r="3059">
          <cell r="G3059" t="str">
            <v>LGM028-M-L21-C2</v>
          </cell>
        </row>
        <row r="3059">
          <cell r="I3059" t="e">
            <v>#N/A</v>
          </cell>
          <cell r="J3059" t="e">
            <v>#N/A</v>
          </cell>
        </row>
        <row r="3059">
          <cell r="AA3059" t="str">
            <v>2T2R</v>
          </cell>
        </row>
        <row r="3060">
          <cell r="E3060" t="str">
            <v>LGM028</v>
          </cell>
        </row>
        <row r="3060">
          <cell r="G3060" t="str">
            <v>LGM028-M-L21-B2</v>
          </cell>
        </row>
        <row r="3060">
          <cell r="I3060" t="e">
            <v>#N/A</v>
          </cell>
          <cell r="J3060" t="e">
            <v>#N/A</v>
          </cell>
        </row>
        <row r="3060">
          <cell r="AA3060" t="str">
            <v>2T2R</v>
          </cell>
        </row>
        <row r="3061">
          <cell r="E3061" t="str">
            <v>LGM028</v>
          </cell>
        </row>
        <row r="3061">
          <cell r="G3061" t="str">
            <v>LGM028-M-L21-A2</v>
          </cell>
        </row>
        <row r="3061">
          <cell r="I3061" t="e">
            <v>#N/A</v>
          </cell>
          <cell r="J3061" t="e">
            <v>#N/A</v>
          </cell>
        </row>
        <row r="3061">
          <cell r="AA3061" t="str">
            <v>2T2R</v>
          </cell>
        </row>
        <row r="3062">
          <cell r="E3062" t="str">
            <v>GMWEL1</v>
          </cell>
        </row>
        <row r="3062">
          <cell r="G3062" t="str">
            <v>GMWEL1-M-L85-D1</v>
          </cell>
        </row>
        <row r="3062">
          <cell r="I3062">
            <v>80.0276</v>
          </cell>
          <cell r="J3062">
            <v>7.03258</v>
          </cell>
        </row>
        <row r="3062">
          <cell r="AA3062" t="str">
            <v>2T2R</v>
          </cell>
        </row>
        <row r="3063">
          <cell r="E3063" t="str">
            <v>GMWEL1</v>
          </cell>
        </row>
        <row r="3063">
          <cell r="G3063" t="str">
            <v>GMWEL1-M-L21-D2</v>
          </cell>
        </row>
        <row r="3063">
          <cell r="I3063">
            <v>80.0276</v>
          </cell>
          <cell r="J3063">
            <v>7.03258</v>
          </cell>
        </row>
        <row r="3063">
          <cell r="AA3063" t="str">
            <v>2T2R</v>
          </cell>
        </row>
        <row r="3064">
          <cell r="E3064" t="str">
            <v>GMWEL1</v>
          </cell>
        </row>
        <row r="3064">
          <cell r="G3064" t="str">
            <v>GMWEL1-M-L21-A2</v>
          </cell>
        </row>
        <row r="3064">
          <cell r="I3064">
            <v>80.0276</v>
          </cell>
          <cell r="J3064">
            <v>7.03258</v>
          </cell>
        </row>
        <row r="3064">
          <cell r="AA3064" t="str">
            <v>2T2R</v>
          </cell>
        </row>
        <row r="3065">
          <cell r="E3065" t="str">
            <v>ZKEL10</v>
          </cell>
        </row>
        <row r="3065">
          <cell r="G3065" t="str">
            <v>ZKEL10-M-L85-A1</v>
          </cell>
        </row>
        <row r="3065">
          <cell r="I3065">
            <v>79.9278</v>
          </cell>
          <cell r="J3065">
            <v>6.97783</v>
          </cell>
        </row>
        <row r="3065">
          <cell r="AA3065" t="str">
            <v>2T2R</v>
          </cell>
        </row>
        <row r="3066">
          <cell r="E3066" t="str">
            <v>ZKEL10</v>
          </cell>
        </row>
        <row r="3066">
          <cell r="G3066" t="str">
            <v>ZKEL10-M-L85-B1</v>
          </cell>
        </row>
        <row r="3066">
          <cell r="I3066">
            <v>79.9278</v>
          </cell>
          <cell r="J3066">
            <v>6.97783</v>
          </cell>
        </row>
        <row r="3066">
          <cell r="AA3066" t="str">
            <v>2T2R</v>
          </cell>
        </row>
        <row r="3067">
          <cell r="E3067" t="str">
            <v>ZKEL10</v>
          </cell>
        </row>
        <row r="3067">
          <cell r="G3067" t="str">
            <v>ZKEL10-M-L85-C1</v>
          </cell>
        </row>
        <row r="3067">
          <cell r="I3067">
            <v>79.9278</v>
          </cell>
          <cell r="J3067">
            <v>6.97783</v>
          </cell>
        </row>
        <row r="3067">
          <cell r="AA3067" t="str">
            <v>2T2R</v>
          </cell>
        </row>
        <row r="3068">
          <cell r="E3068" t="str">
            <v>GMSEE2</v>
          </cell>
        </row>
        <row r="3068">
          <cell r="G3068" t="str">
            <v>GMSEE2-M-L21-A1</v>
          </cell>
        </row>
        <row r="3068">
          <cell r="I3068">
            <v>79.8856</v>
          </cell>
          <cell r="J3068">
            <v>7.13265</v>
          </cell>
        </row>
        <row r="3068">
          <cell r="AA3068" t="str">
            <v>8T8R</v>
          </cell>
        </row>
        <row r="3069">
          <cell r="E3069" t="str">
            <v>GMSEE2</v>
          </cell>
        </row>
        <row r="3069">
          <cell r="G3069" t="str">
            <v>GMSEE2-M-L18-G1</v>
          </cell>
        </row>
        <row r="3069">
          <cell r="I3069">
            <v>79.8856</v>
          </cell>
          <cell r="J3069">
            <v>7.13265</v>
          </cell>
        </row>
        <row r="3069">
          <cell r="AA3069" t="str">
            <v>8T8R</v>
          </cell>
        </row>
        <row r="3070">
          <cell r="E3070" t="str">
            <v>GMYAK3</v>
          </cell>
        </row>
        <row r="3070">
          <cell r="G3070" t="str">
            <v>GMYAK3-M-L21-C1</v>
          </cell>
        </row>
        <row r="3070">
          <cell r="I3070">
            <v>80.0461</v>
          </cell>
          <cell r="J3070">
            <v>7.07725</v>
          </cell>
        </row>
        <row r="3070">
          <cell r="AA3070" t="str">
            <v>8T8R</v>
          </cell>
        </row>
        <row r="3071">
          <cell r="E3071" t="str">
            <v>GMYAK3</v>
          </cell>
        </row>
        <row r="3071">
          <cell r="G3071" t="str">
            <v>GMYAK3-M-L21-A2</v>
          </cell>
        </row>
        <row r="3071">
          <cell r="I3071">
            <v>80.0461</v>
          </cell>
          <cell r="J3071">
            <v>7.07725</v>
          </cell>
        </row>
        <row r="3071">
          <cell r="AA3071" t="str">
            <v>2T2R</v>
          </cell>
        </row>
        <row r="3072">
          <cell r="E3072" t="str">
            <v>GMDIV3</v>
          </cell>
        </row>
        <row r="3072">
          <cell r="G3072" t="str">
            <v>GMDIV3-M-L85-A1</v>
          </cell>
        </row>
        <row r="3072">
          <cell r="I3072">
            <v>80.000278</v>
          </cell>
          <cell r="J3072">
            <v>7.228889</v>
          </cell>
        </row>
        <row r="3072">
          <cell r="AA3072" t="str">
            <v>2T2R</v>
          </cell>
        </row>
        <row r="3073">
          <cell r="E3073" t="str">
            <v>GMDIV3</v>
          </cell>
        </row>
        <row r="3073">
          <cell r="G3073" t="str">
            <v>GMDIV3-M-L85-B1</v>
          </cell>
        </row>
        <row r="3073">
          <cell r="I3073">
            <v>80.000278</v>
          </cell>
          <cell r="J3073">
            <v>7.228889</v>
          </cell>
        </row>
        <row r="3073">
          <cell r="AA3073" t="str">
            <v>2T2R</v>
          </cell>
        </row>
        <row r="3074">
          <cell r="E3074" t="str">
            <v>GMDIV3</v>
          </cell>
        </row>
        <row r="3074">
          <cell r="G3074" t="str">
            <v>GMDIV3-M-L85-C1</v>
          </cell>
        </row>
        <row r="3074">
          <cell r="I3074">
            <v>80.000278</v>
          </cell>
          <cell r="J3074">
            <v>7.228889</v>
          </cell>
        </row>
        <row r="3074">
          <cell r="AA3074" t="str">
            <v>2T2R</v>
          </cell>
        </row>
        <row r="3075">
          <cell r="E3075" t="str">
            <v>GMTRN1</v>
          </cell>
        </row>
        <row r="3075">
          <cell r="G3075" t="str">
            <v>GMTRN1-M-L21-B2</v>
          </cell>
        </row>
        <row r="3075">
          <cell r="I3075">
            <v>80.0778953</v>
          </cell>
          <cell r="J3075">
            <v>7.0120131</v>
          </cell>
        </row>
        <row r="3075">
          <cell r="AA3075" t="str">
            <v>2T2R</v>
          </cell>
        </row>
        <row r="3076">
          <cell r="E3076" t="str">
            <v>LGM039</v>
          </cell>
        </row>
        <row r="3076">
          <cell r="G3076" t="str">
            <v>LGM039-M-L21-B2</v>
          </cell>
        </row>
        <row r="3076">
          <cell r="I3076" t="e">
            <v>#N/A</v>
          </cell>
          <cell r="J3076" t="e">
            <v>#N/A</v>
          </cell>
        </row>
        <row r="3076">
          <cell r="AA3076" t="str">
            <v>2T2R</v>
          </cell>
        </row>
        <row r="3077">
          <cell r="E3077" t="str">
            <v>LGM039</v>
          </cell>
        </row>
        <row r="3077">
          <cell r="G3077" t="str">
            <v>LGM039-M-L21-A2</v>
          </cell>
        </row>
        <row r="3077">
          <cell r="I3077" t="e">
            <v>#N/A</v>
          </cell>
          <cell r="J3077" t="e">
            <v>#N/A</v>
          </cell>
        </row>
        <row r="3077">
          <cell r="AA3077" t="str">
            <v>2T2R</v>
          </cell>
        </row>
        <row r="3078">
          <cell r="E3078" t="str">
            <v>ZDOM02</v>
          </cell>
        </row>
        <row r="3078">
          <cell r="G3078" t="str">
            <v>ZDOM02-M-L18-A1</v>
          </cell>
        </row>
        <row r="3078">
          <cell r="I3078">
            <v>80.1206</v>
          </cell>
          <cell r="J3078">
            <v>6.97689</v>
          </cell>
        </row>
        <row r="3078">
          <cell r="AA3078" t="str">
            <v>8T8R</v>
          </cell>
        </row>
        <row r="3079">
          <cell r="E3079" t="str">
            <v>ZKAD12</v>
          </cell>
        </row>
        <row r="3079">
          <cell r="G3079" t="str">
            <v>ZKAD12-M-L21-A1</v>
          </cell>
        </row>
        <row r="3079">
          <cell r="I3079">
            <v>79.9587</v>
          </cell>
          <cell r="J3079">
            <v>6.98696</v>
          </cell>
        </row>
        <row r="3079">
          <cell r="AA3079" t="str">
            <v>8T8R</v>
          </cell>
        </row>
        <row r="3080">
          <cell r="E3080" t="str">
            <v>ZKAD09</v>
          </cell>
        </row>
        <row r="3080">
          <cell r="G3080" t="str">
            <v>ZKAD09-M-L21-C1</v>
          </cell>
        </row>
        <row r="3080">
          <cell r="I3080">
            <v>79.936388</v>
          </cell>
          <cell r="J3080">
            <v>7.003888</v>
          </cell>
        </row>
        <row r="3080">
          <cell r="AA3080" t="str">
            <v>8T8R</v>
          </cell>
        </row>
        <row r="3081">
          <cell r="E3081" t="str">
            <v>GMTIB1</v>
          </cell>
        </row>
        <row r="3081">
          <cell r="G3081" t="str">
            <v>GMTIB1-M-L21-A3</v>
          </cell>
        </row>
        <row r="3081">
          <cell r="I3081">
            <v>79.9479</v>
          </cell>
          <cell r="J3081">
            <v>7.08163</v>
          </cell>
        </row>
        <row r="3081">
          <cell r="AA3081" t="str">
            <v>8T8R</v>
          </cell>
        </row>
        <row r="3082">
          <cell r="E3082" t="str">
            <v>GMTIB1</v>
          </cell>
        </row>
        <row r="3082">
          <cell r="G3082" t="str">
            <v>GMTIB1-M-L18-A1</v>
          </cell>
        </row>
        <row r="3082">
          <cell r="I3082">
            <v>79.9479</v>
          </cell>
          <cell r="J3082">
            <v>7.08163</v>
          </cell>
        </row>
        <row r="3082">
          <cell r="AA3082" t="str">
            <v>8T8R</v>
          </cell>
        </row>
        <row r="3083">
          <cell r="E3083" t="str">
            <v>GMTIB1</v>
          </cell>
        </row>
        <row r="3083">
          <cell r="G3083" t="str">
            <v>GMTIB1-M-L21-C2</v>
          </cell>
        </row>
        <row r="3083">
          <cell r="I3083">
            <v>79.9479</v>
          </cell>
          <cell r="J3083">
            <v>7.08163</v>
          </cell>
        </row>
        <row r="3083">
          <cell r="AA3083" t="str">
            <v>2T2R</v>
          </cell>
        </row>
        <row r="3084">
          <cell r="E3084" t="str">
            <v>GMTIB1</v>
          </cell>
        </row>
        <row r="3084">
          <cell r="G3084" t="str">
            <v>GMTIB1-M-L21-B2</v>
          </cell>
        </row>
        <row r="3084">
          <cell r="I3084">
            <v>79.9479</v>
          </cell>
          <cell r="J3084">
            <v>7.08163</v>
          </cell>
        </row>
        <row r="3084">
          <cell r="AA3084" t="str">
            <v>2T2R</v>
          </cell>
        </row>
        <row r="3085">
          <cell r="E3085" t="str">
            <v>GMTIB1</v>
          </cell>
        </row>
        <row r="3085">
          <cell r="G3085" t="str">
            <v>GMTIB1-M-L18-B1</v>
          </cell>
        </row>
        <row r="3085">
          <cell r="I3085">
            <v>79.9479</v>
          </cell>
          <cell r="J3085">
            <v>7.08163</v>
          </cell>
        </row>
        <row r="3085">
          <cell r="AA3085" t="str">
            <v>2T2R</v>
          </cell>
        </row>
        <row r="3086">
          <cell r="E3086" t="str">
            <v>GMTIB1</v>
          </cell>
        </row>
        <row r="3086">
          <cell r="G3086" t="str">
            <v>GMTIB1-M-L21-B1</v>
          </cell>
        </row>
        <row r="3086">
          <cell r="I3086">
            <v>79.9479</v>
          </cell>
          <cell r="J3086">
            <v>7.08163</v>
          </cell>
        </row>
        <row r="3086">
          <cell r="AA3086" t="str">
            <v>2T2R</v>
          </cell>
        </row>
        <row r="3087">
          <cell r="E3087" t="str">
            <v>GMMAT1</v>
          </cell>
        </row>
        <row r="3087">
          <cell r="G3087" t="str">
            <v>GMMAT1-M-L21-I1</v>
          </cell>
        </row>
        <row r="3087">
          <cell r="I3087">
            <v>79.9624</v>
          </cell>
          <cell r="J3087">
            <v>7.14997</v>
          </cell>
        </row>
        <row r="3087">
          <cell r="AA3087" t="str">
            <v>8T8R</v>
          </cell>
        </row>
        <row r="3088">
          <cell r="E3088" t="str">
            <v>ZKAD12</v>
          </cell>
        </row>
        <row r="3088">
          <cell r="G3088" t="str">
            <v>ZKAD12-M-L18-A1</v>
          </cell>
        </row>
        <row r="3088">
          <cell r="I3088">
            <v>79.9587</v>
          </cell>
          <cell r="J3088">
            <v>6.98696</v>
          </cell>
        </row>
        <row r="3088">
          <cell r="AA3088" t="str">
            <v>8T8R</v>
          </cell>
        </row>
        <row r="3089">
          <cell r="E3089" t="str">
            <v>ZKAD16</v>
          </cell>
        </row>
        <row r="3089">
          <cell r="G3089" t="str">
            <v>ZKAD16-M-L21-C1</v>
          </cell>
        </row>
        <row r="3089">
          <cell r="I3089">
            <v>79.9596</v>
          </cell>
          <cell r="J3089">
            <v>7.0287</v>
          </cell>
        </row>
        <row r="3089">
          <cell r="AA3089" t="str">
            <v>4T4R</v>
          </cell>
        </row>
        <row r="3090">
          <cell r="E3090" t="str">
            <v>ZWAT24</v>
          </cell>
        </row>
        <row r="3090">
          <cell r="G3090" t="str">
            <v>ZWAT24-M-L85-C1</v>
          </cell>
        </row>
        <row r="3090">
          <cell r="I3090">
            <v>79.8678</v>
          </cell>
          <cell r="J3090">
            <v>7.00926</v>
          </cell>
        </row>
        <row r="3090">
          <cell r="AA3090" t="str">
            <v>2T2R</v>
          </cell>
        </row>
        <row r="3091">
          <cell r="E3091" t="str">
            <v>ZWAT24</v>
          </cell>
        </row>
        <row r="3091">
          <cell r="G3091" t="str">
            <v>ZWAT24-M-L85-B1</v>
          </cell>
        </row>
        <row r="3091">
          <cell r="I3091">
            <v>79.8678</v>
          </cell>
          <cell r="J3091">
            <v>7.00926</v>
          </cell>
        </row>
        <row r="3091">
          <cell r="AA3091" t="str">
            <v>2T2R</v>
          </cell>
        </row>
        <row r="3092">
          <cell r="E3092" t="str">
            <v>ZWAT24</v>
          </cell>
        </row>
        <row r="3092">
          <cell r="G3092" t="str">
            <v>ZWAT24-M-L85-A1</v>
          </cell>
        </row>
        <row r="3092">
          <cell r="I3092">
            <v>79.8678</v>
          </cell>
          <cell r="J3092">
            <v>7.00926</v>
          </cell>
        </row>
        <row r="3092">
          <cell r="AA3092" t="str">
            <v>2T2R</v>
          </cell>
        </row>
        <row r="3093">
          <cell r="E3093" t="str">
            <v>ZWAT24</v>
          </cell>
        </row>
        <row r="3093">
          <cell r="G3093" t="str">
            <v>ZWAT24-M-L21-A1</v>
          </cell>
        </row>
        <row r="3093">
          <cell r="I3093">
            <v>79.8678</v>
          </cell>
          <cell r="J3093">
            <v>7.00926</v>
          </cell>
        </row>
        <row r="3093">
          <cell r="AA3093" t="str">
            <v>8T8R</v>
          </cell>
        </row>
        <row r="3094">
          <cell r="E3094" t="str">
            <v>GMNAD1</v>
          </cell>
        </row>
        <row r="3094">
          <cell r="G3094" t="str">
            <v>GMNAD1-M-L21-B2</v>
          </cell>
        </row>
        <row r="3094">
          <cell r="I3094">
            <v>80.16667</v>
          </cell>
          <cell r="J3094">
            <v>7.068333</v>
          </cell>
        </row>
        <row r="3094">
          <cell r="AA3094" t="str">
            <v>2T2R</v>
          </cell>
        </row>
        <row r="3095">
          <cell r="E3095" t="str">
            <v>GMNAD1</v>
          </cell>
        </row>
        <row r="3095">
          <cell r="G3095" t="str">
            <v>GMNAD1-M-L21-A2</v>
          </cell>
        </row>
        <row r="3095">
          <cell r="I3095">
            <v>80.16667</v>
          </cell>
          <cell r="J3095">
            <v>7.068333</v>
          </cell>
        </row>
        <row r="3095">
          <cell r="AA3095" t="str">
            <v>2T2R</v>
          </cell>
        </row>
        <row r="3096">
          <cell r="E3096" t="str">
            <v>QGMDM1</v>
          </cell>
        </row>
        <row r="3096">
          <cell r="G3096" t="str">
            <v>QGMDM1G</v>
          </cell>
        </row>
        <row r="3096">
          <cell r="I3096">
            <v>79.9055</v>
          </cell>
          <cell r="J3096">
            <v>6.8718</v>
          </cell>
        </row>
        <row r="3096">
          <cell r="AA3096" t="str">
            <v>1T1R</v>
          </cell>
        </row>
        <row r="3097">
          <cell r="E3097" t="str">
            <v>QGMCC1</v>
          </cell>
        </row>
        <row r="3097">
          <cell r="G3097" t="str">
            <v>QGMCC1G</v>
          </cell>
        </row>
        <row r="3097">
          <cell r="I3097">
            <v>79.9712</v>
          </cell>
          <cell r="J3097">
            <v>7.2128</v>
          </cell>
        </row>
        <row r="3097">
          <cell r="AA3097" t="str">
            <v>2T2R</v>
          </cell>
        </row>
        <row r="3098">
          <cell r="E3098" t="str">
            <v>QGMFL1</v>
          </cell>
        </row>
        <row r="3098">
          <cell r="G3098" t="str">
            <v>QGMFL1G</v>
          </cell>
        </row>
        <row r="3098">
          <cell r="I3098">
            <v>79.9775</v>
          </cell>
          <cell r="J3098">
            <v>7.0198</v>
          </cell>
        </row>
        <row r="3098">
          <cell r="AA3098" t="str">
            <v>2T2R</v>
          </cell>
        </row>
        <row r="3099">
          <cell r="E3099" t="str">
            <v>QGMMC1</v>
          </cell>
        </row>
        <row r="3099">
          <cell r="G3099" t="str">
            <v>QGMMC1G</v>
          </cell>
        </row>
        <row r="3099">
          <cell r="I3099">
            <v>80.094</v>
          </cell>
          <cell r="J3099">
            <v>7.2507</v>
          </cell>
        </row>
        <row r="3099">
          <cell r="AA3099" t="str">
            <v>2T2R</v>
          </cell>
        </row>
        <row r="3100">
          <cell r="E3100" t="str">
            <v>QGMLA1</v>
          </cell>
        </row>
        <row r="3100">
          <cell r="G3100" t="str">
            <v>QGMLA1G</v>
          </cell>
        </row>
        <row r="3100">
          <cell r="I3100">
            <v>80.119</v>
          </cell>
          <cell r="J3100">
            <v>7.1134</v>
          </cell>
        </row>
        <row r="3100">
          <cell r="AA3100" t="str">
            <v>1T1R</v>
          </cell>
        </row>
        <row r="3101">
          <cell r="E3101" t="str">
            <v>QGMLA1</v>
          </cell>
        </row>
        <row r="3101">
          <cell r="G3101" t="str">
            <v>QGMLA1H</v>
          </cell>
        </row>
        <row r="3101">
          <cell r="I3101">
            <v>80.119</v>
          </cell>
          <cell r="J3101">
            <v>7.1134</v>
          </cell>
        </row>
        <row r="3101">
          <cell r="AA3101" t="str">
            <v>1T1R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1st batch summary"/>
      <sheetName val="ERP 177+10+50 Sites RAN "/>
      <sheetName val="ERP 177+10+50 SITES PWR "/>
      <sheetName val="Redeployment RAN"/>
      <sheetName val="177+10+50 Sites (detail)"/>
      <sheetName val="250+10+50 Sites (detail)"/>
      <sheetName val="250"/>
      <sheetName val="Site List "/>
      <sheetName val="Site List  (250)"/>
      <sheetName val="Site List  (250 for Power)"/>
      <sheetName val="final SW 250"/>
    </sheetNames>
    <sheetDataSet>
      <sheetData sheetId="0"/>
      <sheetData sheetId="1"/>
      <sheetData sheetId="2"/>
      <sheetData sheetId="3"/>
      <sheetData sheetId="4">
        <row r="11">
          <cell r="B11" t="str">
            <v>Site ID</v>
          </cell>
        </row>
        <row r="11">
          <cell r="I11" t="str">
            <v>FDD / TDD</v>
          </cell>
        </row>
        <row r="12">
          <cell r="B12" t="str">
            <v>GMGAM1</v>
          </cell>
        </row>
        <row r="12">
          <cell r="I12" t="str">
            <v>FDD + TDD</v>
          </cell>
        </row>
        <row r="13">
          <cell r="B13" t="str">
            <v>ZKAD01</v>
          </cell>
        </row>
        <row r="13">
          <cell r="I13" t="str">
            <v>FDD + TDD</v>
          </cell>
        </row>
        <row r="14">
          <cell r="B14" t="str">
            <v>GMWER1</v>
          </cell>
        </row>
        <row r="14">
          <cell r="I14" t="str">
            <v>FDD + TDD</v>
          </cell>
        </row>
        <row r="15">
          <cell r="B15" t="str">
            <v>GMNEG1</v>
          </cell>
        </row>
        <row r="15">
          <cell r="I15" t="str">
            <v>FDD + TDD</v>
          </cell>
        </row>
        <row r="16">
          <cell r="B16" t="str">
            <v>ZKAD04</v>
          </cell>
        </row>
        <row r="16">
          <cell r="I16" t="str">
            <v>FDD + TDD</v>
          </cell>
        </row>
        <row r="17">
          <cell r="B17" t="str">
            <v>ZBIY04</v>
          </cell>
        </row>
        <row r="17">
          <cell r="I17" t="str">
            <v>FDD + TDD</v>
          </cell>
        </row>
        <row r="18">
          <cell r="B18" t="str">
            <v>ZKEL02</v>
          </cell>
        </row>
        <row r="18">
          <cell r="I18" t="str">
            <v>FDD + TDD</v>
          </cell>
        </row>
        <row r="19">
          <cell r="B19" t="str">
            <v>GMGAM3</v>
          </cell>
        </row>
        <row r="19">
          <cell r="I19" t="str">
            <v>FDD + TDD</v>
          </cell>
        </row>
        <row r="20">
          <cell r="B20" t="str">
            <v>ZWAT04</v>
          </cell>
        </row>
        <row r="20">
          <cell r="I20" t="str">
            <v>FDD + TDD</v>
          </cell>
        </row>
        <row r="21">
          <cell r="B21" t="str">
            <v>ZKAD07</v>
          </cell>
        </row>
        <row r="21">
          <cell r="I21" t="str">
            <v>FDD + TDD</v>
          </cell>
        </row>
        <row r="22">
          <cell r="B22" t="str">
            <v>ZWAT09</v>
          </cell>
        </row>
        <row r="22">
          <cell r="I22" t="str">
            <v>FDD + TDD</v>
          </cell>
        </row>
        <row r="23">
          <cell r="B23" t="str">
            <v>GMYAK5</v>
          </cell>
        </row>
        <row r="23">
          <cell r="I23" t="str">
            <v>FDD + TDD</v>
          </cell>
        </row>
        <row r="24">
          <cell r="B24" t="str">
            <v>GMNEG7</v>
          </cell>
        </row>
        <row r="24">
          <cell r="I24" t="str">
            <v>FDD + TDD</v>
          </cell>
        </row>
        <row r="25">
          <cell r="B25" t="str">
            <v>GMGAM2</v>
          </cell>
        </row>
        <row r="25">
          <cell r="I25" t="str">
            <v>FDD + TDD</v>
          </cell>
        </row>
        <row r="26">
          <cell r="B26" t="str">
            <v>ZKEL03</v>
          </cell>
        </row>
        <row r="26">
          <cell r="I26" t="str">
            <v>FDD + TDD</v>
          </cell>
        </row>
        <row r="27">
          <cell r="B27" t="str">
            <v>ZKAD12</v>
          </cell>
        </row>
        <row r="27">
          <cell r="I27" t="str">
            <v>FDD + TDD</v>
          </cell>
        </row>
        <row r="28">
          <cell r="B28" t="str">
            <v>GMGAN2</v>
          </cell>
        </row>
        <row r="28">
          <cell r="I28" t="str">
            <v>FDD + TDD</v>
          </cell>
        </row>
        <row r="29">
          <cell r="B29" t="str">
            <v>GMALG1</v>
          </cell>
        </row>
        <row r="29">
          <cell r="I29" t="str">
            <v>FDD + TDD</v>
          </cell>
        </row>
        <row r="30">
          <cell r="B30" t="str">
            <v>ZJAL05</v>
          </cell>
        </row>
        <row r="30">
          <cell r="I30" t="str">
            <v>FDD + TDD</v>
          </cell>
        </row>
        <row r="31">
          <cell r="B31" t="str">
            <v>GMIMB1</v>
          </cell>
        </row>
        <row r="31">
          <cell r="I31" t="str">
            <v>FDD + TDD</v>
          </cell>
        </row>
        <row r="32">
          <cell r="B32" t="str">
            <v>GMVEY1</v>
          </cell>
        </row>
        <row r="32">
          <cell r="I32" t="str">
            <v>FDD + TDD</v>
          </cell>
        </row>
        <row r="33">
          <cell r="B33" t="str">
            <v>GMKIR1</v>
          </cell>
        </row>
        <row r="33">
          <cell r="I33" t="str">
            <v>FDD + TDD</v>
          </cell>
        </row>
        <row r="34">
          <cell r="B34" t="str">
            <v>ZWAT03</v>
          </cell>
        </row>
        <row r="34">
          <cell r="I34" t="str">
            <v>FDD + TDD</v>
          </cell>
        </row>
        <row r="35">
          <cell r="B35" t="str">
            <v>GMKUR4</v>
          </cell>
        </row>
        <row r="35">
          <cell r="I35" t="str">
            <v>FDD + TDD</v>
          </cell>
        </row>
        <row r="36">
          <cell r="B36" t="str">
            <v>ZKEL12</v>
          </cell>
        </row>
        <row r="36">
          <cell r="I36" t="str">
            <v>FDD + TDD</v>
          </cell>
        </row>
        <row r="37">
          <cell r="B37" t="str">
            <v>ZKEL05</v>
          </cell>
        </row>
        <row r="37">
          <cell r="I37" t="str">
            <v>FDD + TDD</v>
          </cell>
        </row>
        <row r="38">
          <cell r="B38" t="str">
            <v>ZWAT05</v>
          </cell>
        </row>
        <row r="38">
          <cell r="I38" t="str">
            <v>FDD + TDD</v>
          </cell>
        </row>
        <row r="39">
          <cell r="B39" t="str">
            <v>GMIND2</v>
          </cell>
        </row>
        <row r="39">
          <cell r="I39" t="str">
            <v>FDD + TDD</v>
          </cell>
        </row>
        <row r="40">
          <cell r="B40" t="str">
            <v>ZKEL07</v>
          </cell>
        </row>
        <row r="40">
          <cell r="I40" t="str">
            <v>FDD + TDD</v>
          </cell>
        </row>
        <row r="41">
          <cell r="B41" t="str">
            <v>GMKAL2</v>
          </cell>
        </row>
        <row r="41">
          <cell r="I41" t="str">
            <v>FDD + TDD</v>
          </cell>
        </row>
        <row r="43">
          <cell r="B43" t="str">
            <v>ZKAD09</v>
          </cell>
        </row>
        <row r="43">
          <cell r="I43" t="str">
            <v>FDD + TDD</v>
          </cell>
        </row>
        <row r="44">
          <cell r="B44" t="str">
            <v>GMYAK3</v>
          </cell>
        </row>
        <row r="44">
          <cell r="I44" t="str">
            <v>FDD + TDD</v>
          </cell>
        </row>
        <row r="45">
          <cell r="B45" t="str">
            <v>ZKAD10</v>
          </cell>
        </row>
        <row r="45">
          <cell r="I45" t="str">
            <v>FDD + TDD</v>
          </cell>
        </row>
        <row r="47">
          <cell r="B47" t="str">
            <v>GMPIT1</v>
          </cell>
        </row>
        <row r="47">
          <cell r="I47" t="str">
            <v>FDD + TDD</v>
          </cell>
        </row>
        <row r="48">
          <cell r="B48" t="str">
            <v>GMKTW1</v>
          </cell>
        </row>
        <row r="48">
          <cell r="I48" t="str">
            <v>FDD + TDD</v>
          </cell>
        </row>
        <row r="51">
          <cell r="B51" t="str">
            <v>ZKAD08</v>
          </cell>
        </row>
        <row r="51">
          <cell r="I51" t="str">
            <v>FDD + TDD</v>
          </cell>
        </row>
        <row r="52">
          <cell r="B52" t="str">
            <v>GMGAN1</v>
          </cell>
        </row>
        <row r="52">
          <cell r="I52" t="str">
            <v>FDD + TDD</v>
          </cell>
        </row>
        <row r="55">
          <cell r="B55" t="str">
            <v>ZBIY12</v>
          </cell>
        </row>
        <row r="55">
          <cell r="I55" t="str">
            <v>FDD + TDD</v>
          </cell>
        </row>
        <row r="56">
          <cell r="B56" t="str">
            <v>GMTHI1</v>
          </cell>
        </row>
        <row r="56">
          <cell r="I56" t="str">
            <v>FDD + TDD</v>
          </cell>
        </row>
        <row r="57">
          <cell r="B57" t="str">
            <v>ZKAD05</v>
          </cell>
        </row>
        <row r="57">
          <cell r="I57" t="str">
            <v>FDD + TDD</v>
          </cell>
        </row>
        <row r="58">
          <cell r="B58" t="str">
            <v>GMNIT1</v>
          </cell>
        </row>
        <row r="58">
          <cell r="I58" t="str">
            <v>FDD + TDD</v>
          </cell>
        </row>
        <row r="61">
          <cell r="B61" t="str">
            <v>GMPAR1</v>
          </cell>
        </row>
        <row r="61">
          <cell r="I61" t="str">
            <v>FDD + TDD</v>
          </cell>
        </row>
        <row r="62">
          <cell r="B62" t="str">
            <v>ZKEL01</v>
          </cell>
        </row>
        <row r="62">
          <cell r="I62" t="str">
            <v>FDD + TDD</v>
          </cell>
        </row>
        <row r="63">
          <cell r="B63" t="str">
            <v>GMMAG1</v>
          </cell>
        </row>
        <row r="63">
          <cell r="I63" t="str">
            <v>FDD + TDD</v>
          </cell>
        </row>
        <row r="64">
          <cell r="B64" t="str">
            <v>GMBAT1</v>
          </cell>
        </row>
        <row r="64">
          <cell r="I64" t="str">
            <v>FDD + TDD</v>
          </cell>
        </row>
        <row r="65">
          <cell r="B65" t="str">
            <v>GMKOS1</v>
          </cell>
        </row>
        <row r="65">
          <cell r="I65" t="str">
            <v>FDD + TDD</v>
          </cell>
        </row>
        <row r="66">
          <cell r="B66" t="str">
            <v>GMBEM1</v>
          </cell>
        </row>
        <row r="66">
          <cell r="I66" t="str">
            <v>FDD + TDD</v>
          </cell>
        </row>
        <row r="67">
          <cell r="B67" t="str">
            <v>ZKAD15</v>
          </cell>
        </row>
        <row r="67">
          <cell r="I67" t="str">
            <v>FDD + TDD</v>
          </cell>
        </row>
        <row r="69">
          <cell r="B69" t="str">
            <v>GMKOC1</v>
          </cell>
        </row>
        <row r="69">
          <cell r="I69" t="str">
            <v>FDD + TDD</v>
          </cell>
        </row>
        <row r="71">
          <cell r="B71" t="str">
            <v>GMORU1</v>
          </cell>
        </row>
        <row r="71">
          <cell r="I71" t="str">
            <v>FDD + TDD</v>
          </cell>
        </row>
        <row r="72">
          <cell r="B72" t="str">
            <v>ZKEL14</v>
          </cell>
        </row>
        <row r="72">
          <cell r="I72" t="str">
            <v>FDD + TDD</v>
          </cell>
        </row>
        <row r="73">
          <cell r="B73" t="str">
            <v>GMEMB1</v>
          </cell>
        </row>
        <row r="73">
          <cell r="I73" t="str">
            <v>FDD + TDD</v>
          </cell>
        </row>
        <row r="74">
          <cell r="B74" t="str">
            <v>GMBLW1</v>
          </cell>
        </row>
        <row r="74">
          <cell r="I74" t="str">
            <v>FDD</v>
          </cell>
        </row>
        <row r="76">
          <cell r="B76" t="str">
            <v>GMKTW2</v>
          </cell>
        </row>
        <row r="76">
          <cell r="I76" t="str">
            <v>FDD + TDD</v>
          </cell>
        </row>
        <row r="77">
          <cell r="B77" t="str">
            <v>ZKAD02</v>
          </cell>
        </row>
        <row r="77">
          <cell r="I77" t="str">
            <v>FDD + TDD</v>
          </cell>
        </row>
        <row r="79">
          <cell r="B79" t="str">
            <v>GMKTA2</v>
          </cell>
        </row>
        <row r="79">
          <cell r="I79" t="str">
            <v>FDD + TDD</v>
          </cell>
        </row>
        <row r="80">
          <cell r="B80" t="str">
            <v>GMBEL1</v>
          </cell>
        </row>
        <row r="80">
          <cell r="I80" t="str">
            <v>FDD + TDD</v>
          </cell>
        </row>
        <row r="81">
          <cell r="B81" t="str">
            <v>ZKEL09</v>
          </cell>
        </row>
        <row r="81">
          <cell r="I81" t="str">
            <v>FDD + TDD</v>
          </cell>
        </row>
        <row r="82">
          <cell r="B82" t="str">
            <v>GMRAT1</v>
          </cell>
        </row>
        <row r="82">
          <cell r="I82" t="str">
            <v>FDD + TDD</v>
          </cell>
        </row>
        <row r="84">
          <cell r="B84" t="str">
            <v>GMNEG4</v>
          </cell>
        </row>
        <row r="84">
          <cell r="I84" t="str">
            <v>FDD + TDD</v>
          </cell>
        </row>
        <row r="85">
          <cell r="B85" t="str">
            <v>ZBIY35</v>
          </cell>
        </row>
        <row r="85">
          <cell r="I85" t="str">
            <v>FDD + TDD</v>
          </cell>
        </row>
        <row r="86">
          <cell r="B86" t="str">
            <v>ZBIY14</v>
          </cell>
        </row>
        <row r="86">
          <cell r="I86" t="str">
            <v>FDD</v>
          </cell>
        </row>
        <row r="87">
          <cell r="B87" t="str">
            <v>ZKEL04</v>
          </cell>
        </row>
        <row r="87">
          <cell r="I87" t="str">
            <v>FDD</v>
          </cell>
        </row>
        <row r="88">
          <cell r="B88" t="str">
            <v>GMKTW4</v>
          </cell>
        </row>
        <row r="88">
          <cell r="I88" t="str">
            <v>FDD + TDD</v>
          </cell>
        </row>
        <row r="90">
          <cell r="B90" t="str">
            <v>GMWEB1</v>
          </cell>
        </row>
        <row r="90">
          <cell r="I90" t="str">
            <v>FDD</v>
          </cell>
        </row>
        <row r="92">
          <cell r="B92" t="str">
            <v>GMETH2</v>
          </cell>
        </row>
        <row r="92">
          <cell r="I92" t="str">
            <v>FDD</v>
          </cell>
        </row>
        <row r="94">
          <cell r="B94" t="str">
            <v>ZKAD19</v>
          </cell>
        </row>
        <row r="94">
          <cell r="I94" t="str">
            <v>FDD + TDD</v>
          </cell>
        </row>
        <row r="97">
          <cell r="B97" t="str">
            <v>ZKEL10</v>
          </cell>
        </row>
        <row r="97">
          <cell r="I97" t="str">
            <v>FDD</v>
          </cell>
        </row>
        <row r="98">
          <cell r="B98" t="str">
            <v>GMUDM1</v>
          </cell>
        </row>
        <row r="98">
          <cell r="I98" t="str">
            <v>FDD</v>
          </cell>
        </row>
        <row r="100">
          <cell r="B100" t="str">
            <v>ZKAD21</v>
          </cell>
        </row>
        <row r="100">
          <cell r="I100" t="str">
            <v>FDD</v>
          </cell>
        </row>
        <row r="101">
          <cell r="B101" t="str">
            <v>ZKEL32</v>
          </cell>
        </row>
        <row r="101">
          <cell r="I101" t="str">
            <v>FDD + TDD</v>
          </cell>
        </row>
        <row r="105">
          <cell r="B105" t="str">
            <v>GMKIR2</v>
          </cell>
        </row>
        <row r="105">
          <cell r="I105" t="str">
            <v>FDD + TDD</v>
          </cell>
        </row>
        <row r="108">
          <cell r="B108" t="str">
            <v>ZKAD22</v>
          </cell>
        </row>
        <row r="108">
          <cell r="I108" t="str">
            <v>FDD + TDD</v>
          </cell>
        </row>
        <row r="110">
          <cell r="B110" t="str">
            <v>GMMOR1</v>
          </cell>
        </row>
        <row r="110">
          <cell r="I110" t="str">
            <v>FDD + TDD</v>
          </cell>
        </row>
        <row r="111">
          <cell r="B111" t="str">
            <v>GMBAT2</v>
          </cell>
        </row>
        <row r="111">
          <cell r="I111" t="str">
            <v>FDD + TDD</v>
          </cell>
        </row>
        <row r="113">
          <cell r="B113" t="str">
            <v>GMNEG2</v>
          </cell>
        </row>
        <row r="113">
          <cell r="I113" t="str">
            <v>FDD + TDD</v>
          </cell>
        </row>
        <row r="114">
          <cell r="B114" t="str">
            <v>GMTIB1</v>
          </cell>
        </row>
        <row r="114">
          <cell r="I114" t="str">
            <v>FDD</v>
          </cell>
        </row>
        <row r="116">
          <cell r="B116" t="str">
            <v>ZKAD28</v>
          </cell>
        </row>
        <row r="116">
          <cell r="I116" t="str">
            <v>FDD + TDD</v>
          </cell>
        </row>
        <row r="117">
          <cell r="B117" t="str">
            <v>ZKAD11</v>
          </cell>
        </row>
        <row r="117">
          <cell r="I117" t="str">
            <v>FDD + TDD</v>
          </cell>
        </row>
        <row r="118">
          <cell r="B118" t="str">
            <v>GMETH1</v>
          </cell>
        </row>
        <row r="118">
          <cell r="I118" t="str">
            <v>FDD</v>
          </cell>
        </row>
        <row r="119">
          <cell r="B119" t="str">
            <v>ZKEL15</v>
          </cell>
        </row>
        <row r="119">
          <cell r="I119" t="str">
            <v>FDD</v>
          </cell>
        </row>
        <row r="120">
          <cell r="B120" t="str">
            <v>ZKEL31</v>
          </cell>
        </row>
        <row r="120">
          <cell r="I120" t="str">
            <v>FDD</v>
          </cell>
        </row>
        <row r="121">
          <cell r="B121" t="str">
            <v>ZBIY31</v>
          </cell>
        </row>
        <row r="121">
          <cell r="I121" t="str">
            <v>FDD + TDD</v>
          </cell>
        </row>
        <row r="123">
          <cell r="B123" t="str">
            <v>GMYAK2</v>
          </cell>
        </row>
        <row r="123">
          <cell r="I123" t="str">
            <v>FDD</v>
          </cell>
        </row>
        <row r="124">
          <cell r="B124" t="str">
            <v>ZBIY51</v>
          </cell>
        </row>
        <row r="124">
          <cell r="I124" t="str">
            <v>FDD + TDD</v>
          </cell>
        </row>
        <row r="125">
          <cell r="B125" t="str">
            <v>GMPOR1</v>
          </cell>
        </row>
        <row r="125">
          <cell r="I125" t="str">
            <v>FDD + TDD</v>
          </cell>
        </row>
        <row r="126">
          <cell r="B126" t="str">
            <v>ZKAD16</v>
          </cell>
        </row>
        <row r="126">
          <cell r="I126" t="str">
            <v>FDD</v>
          </cell>
        </row>
        <row r="127">
          <cell r="B127" t="str">
            <v>GMTHI2</v>
          </cell>
        </row>
        <row r="127">
          <cell r="I127" t="str">
            <v>FDD + TDD</v>
          </cell>
        </row>
        <row r="130">
          <cell r="B130" t="str">
            <v>GMBEL2</v>
          </cell>
        </row>
        <row r="130">
          <cell r="I130" t="str">
            <v>FDD + TDD</v>
          </cell>
        </row>
        <row r="133">
          <cell r="B133" t="str">
            <v>GMNIT3</v>
          </cell>
        </row>
        <row r="133">
          <cell r="I133" t="str">
            <v>FDD</v>
          </cell>
        </row>
        <row r="134">
          <cell r="B134" t="str">
            <v>GMNEG3</v>
          </cell>
        </row>
        <row r="134">
          <cell r="I134" t="str">
            <v>FDD + TDD</v>
          </cell>
        </row>
        <row r="136">
          <cell r="B136" t="str">
            <v>ZKAD26</v>
          </cell>
        </row>
        <row r="136">
          <cell r="I136" t="str">
            <v>FDD</v>
          </cell>
        </row>
        <row r="138">
          <cell r="B138" t="str">
            <v>GMNUG1</v>
          </cell>
        </row>
        <row r="138">
          <cell r="I138" t="str">
            <v>FDD</v>
          </cell>
        </row>
        <row r="140">
          <cell r="B140" t="str">
            <v>GMKID1</v>
          </cell>
        </row>
        <row r="140">
          <cell r="I140" t="str">
            <v>FDD</v>
          </cell>
        </row>
        <row r="141">
          <cell r="B141" t="str">
            <v>GMKBG1</v>
          </cell>
        </row>
        <row r="141">
          <cell r="I141" t="str">
            <v>FDD</v>
          </cell>
        </row>
        <row r="142">
          <cell r="B142" t="str">
            <v>GMBLW2</v>
          </cell>
        </row>
        <row r="142">
          <cell r="I142" t="str">
            <v>FDD + TDD</v>
          </cell>
        </row>
        <row r="144">
          <cell r="B144" t="str">
            <v>GMNEG9</v>
          </cell>
        </row>
        <row r="144">
          <cell r="I144" t="str">
            <v>FDD + TDD</v>
          </cell>
        </row>
        <row r="145">
          <cell r="B145" t="str">
            <v>GMYGD2</v>
          </cell>
        </row>
        <row r="145">
          <cell r="I145" t="str">
            <v>FDD + TDD</v>
          </cell>
        </row>
        <row r="146">
          <cell r="B146" t="str">
            <v>LCZTK1</v>
          </cell>
        </row>
        <row r="146">
          <cell r="I146" t="str">
            <v>FDD</v>
          </cell>
        </row>
        <row r="150">
          <cell r="B150" t="str">
            <v>GMNTN2</v>
          </cell>
        </row>
        <row r="150">
          <cell r="I150" t="str">
            <v>FDD + TDD</v>
          </cell>
        </row>
        <row r="151">
          <cell r="B151" t="str">
            <v>ZKEL25</v>
          </cell>
        </row>
        <row r="151">
          <cell r="I151" t="str">
            <v>FDD</v>
          </cell>
        </row>
        <row r="154">
          <cell r="B154" t="str">
            <v>GMMAN1</v>
          </cell>
        </row>
        <row r="154">
          <cell r="I154" t="str">
            <v>FDD + TDD</v>
          </cell>
        </row>
        <row r="156">
          <cell r="B156" t="str">
            <v>GMYGD1</v>
          </cell>
        </row>
        <row r="156">
          <cell r="I156" t="str">
            <v>FDD + TDD</v>
          </cell>
        </row>
        <row r="157">
          <cell r="B157" t="str">
            <v>GMGAM5</v>
          </cell>
        </row>
        <row r="157">
          <cell r="I157" t="str">
            <v>FDD</v>
          </cell>
        </row>
        <row r="158">
          <cell r="B158" t="str">
            <v>GMPAR2</v>
          </cell>
        </row>
        <row r="158">
          <cell r="I158" t="str">
            <v>FDD + TDD</v>
          </cell>
        </row>
        <row r="159">
          <cell r="B159" t="str">
            <v>ZKAD06</v>
          </cell>
        </row>
        <row r="159">
          <cell r="I159" t="str">
            <v>FDD + TDD</v>
          </cell>
        </row>
        <row r="160">
          <cell r="B160" t="str">
            <v>GMIND1</v>
          </cell>
        </row>
        <row r="160">
          <cell r="I160" t="str">
            <v>FDD</v>
          </cell>
        </row>
        <row r="162">
          <cell r="B162" t="str">
            <v>GMNEG5</v>
          </cell>
        </row>
        <row r="162">
          <cell r="I162" t="str">
            <v>FDD + TDD</v>
          </cell>
        </row>
        <row r="165">
          <cell r="B165" t="str">
            <v>GMKRW1</v>
          </cell>
        </row>
        <row r="165">
          <cell r="I165" t="str">
            <v>FDD + TDD</v>
          </cell>
        </row>
        <row r="166">
          <cell r="B166" t="str">
            <v>ZKEL35</v>
          </cell>
        </row>
        <row r="166">
          <cell r="I166" t="str">
            <v>FDD</v>
          </cell>
        </row>
        <row r="167">
          <cell r="B167" t="str">
            <v>GMMSW1</v>
          </cell>
        </row>
        <row r="167">
          <cell r="I167" t="str">
            <v>FDD</v>
          </cell>
        </row>
        <row r="170">
          <cell r="B170" t="str">
            <v>GMKDP1</v>
          </cell>
        </row>
        <row r="170">
          <cell r="I170" t="str">
            <v>FDD + TDD</v>
          </cell>
        </row>
        <row r="171">
          <cell r="B171" t="str">
            <v>GMGAM6</v>
          </cell>
        </row>
        <row r="171">
          <cell r="I171" t="str">
            <v>FDD + TDD</v>
          </cell>
        </row>
        <row r="172">
          <cell r="B172" t="str">
            <v>ZKEL08</v>
          </cell>
        </row>
        <row r="172">
          <cell r="I172" t="str">
            <v>FDD</v>
          </cell>
        </row>
        <row r="173">
          <cell r="B173" t="str">
            <v>ZKEL29</v>
          </cell>
        </row>
        <row r="173">
          <cell r="I173" t="str">
            <v>FDD + TDD</v>
          </cell>
        </row>
        <row r="174">
          <cell r="B174" t="str">
            <v>ZKAD14</v>
          </cell>
        </row>
        <row r="174">
          <cell r="I174" t="str">
            <v>FDD</v>
          </cell>
        </row>
        <row r="175">
          <cell r="B175" t="str">
            <v>ZKEL16</v>
          </cell>
        </row>
        <row r="175">
          <cell r="I175" t="str">
            <v>FDD</v>
          </cell>
        </row>
        <row r="177">
          <cell r="B177" t="str">
            <v>ZBIY40</v>
          </cell>
        </row>
        <row r="177">
          <cell r="I177" t="str">
            <v>FDD</v>
          </cell>
        </row>
        <row r="178">
          <cell r="B178" t="str">
            <v>GMBLW3</v>
          </cell>
        </row>
        <row r="178">
          <cell r="I178" t="str">
            <v>FDD</v>
          </cell>
        </row>
        <row r="179">
          <cell r="B179" t="str">
            <v>GMKRW2</v>
          </cell>
        </row>
        <row r="179">
          <cell r="I179" t="str">
            <v>FDD + TDD</v>
          </cell>
        </row>
        <row r="180">
          <cell r="B180" t="str">
            <v>ZKEL19</v>
          </cell>
        </row>
        <row r="180">
          <cell r="I180" t="str">
            <v>FDD</v>
          </cell>
        </row>
        <row r="183">
          <cell r="B183" t="str">
            <v>ZKEL06</v>
          </cell>
        </row>
        <row r="183">
          <cell r="I183" t="str">
            <v>FDD</v>
          </cell>
        </row>
        <row r="184">
          <cell r="B184" t="str">
            <v>ZKAD34</v>
          </cell>
        </row>
        <row r="184">
          <cell r="I184" t="str">
            <v>FDD + TDD</v>
          </cell>
        </row>
        <row r="186">
          <cell r="B186" t="str">
            <v>ZKEL11</v>
          </cell>
        </row>
        <row r="186">
          <cell r="I186" t="str">
            <v>FDD</v>
          </cell>
        </row>
        <row r="187">
          <cell r="B187" t="str">
            <v>ZKEL38</v>
          </cell>
        </row>
        <row r="187">
          <cell r="I187" t="str">
            <v>FDD</v>
          </cell>
        </row>
        <row r="188">
          <cell r="B188" t="str">
            <v>ZKAD32</v>
          </cell>
        </row>
        <row r="188">
          <cell r="I188" t="str">
            <v>FDD</v>
          </cell>
        </row>
        <row r="190">
          <cell r="B190" t="str">
            <v>ZKEL30</v>
          </cell>
        </row>
        <row r="190">
          <cell r="I190" t="str">
            <v>FDD</v>
          </cell>
        </row>
        <row r="191">
          <cell r="B191" t="str">
            <v>ZKAD36</v>
          </cell>
        </row>
        <row r="191">
          <cell r="I191" t="str">
            <v>FDD + TDD</v>
          </cell>
        </row>
        <row r="192">
          <cell r="B192" t="str">
            <v>GMDAD1</v>
          </cell>
        </row>
        <row r="192">
          <cell r="I192" t="str">
            <v>FDD</v>
          </cell>
        </row>
        <row r="195">
          <cell r="B195" t="str">
            <v>ZKEL20</v>
          </cell>
        </row>
        <row r="195">
          <cell r="I195" t="str">
            <v>FDD</v>
          </cell>
        </row>
        <row r="197">
          <cell r="B197" t="str">
            <v>ZKAD18</v>
          </cell>
        </row>
        <row r="197">
          <cell r="I197" t="str">
            <v>FDD</v>
          </cell>
        </row>
        <row r="198">
          <cell r="B198" t="str">
            <v>GMYAK4</v>
          </cell>
        </row>
        <row r="198">
          <cell r="I198" t="str">
            <v>FDD</v>
          </cell>
        </row>
        <row r="199">
          <cell r="B199" t="str">
            <v>ZKEL26</v>
          </cell>
        </row>
        <row r="199">
          <cell r="I199" t="str">
            <v>FDD</v>
          </cell>
        </row>
        <row r="200">
          <cell r="B200" t="str">
            <v>ZKAD39</v>
          </cell>
        </row>
        <row r="200">
          <cell r="I200" t="str">
            <v>FDD</v>
          </cell>
        </row>
        <row r="201">
          <cell r="B201" t="str">
            <v>ZKEL22</v>
          </cell>
        </row>
        <row r="201">
          <cell r="I201" t="str">
            <v>FDD</v>
          </cell>
        </row>
        <row r="202">
          <cell r="B202" t="str">
            <v>LGM051</v>
          </cell>
        </row>
        <row r="202">
          <cell r="I202" t="str">
            <v>FDD</v>
          </cell>
        </row>
        <row r="204">
          <cell r="B204" t="str">
            <v>GMKTW3</v>
          </cell>
        </row>
        <row r="204">
          <cell r="I204" t="str">
            <v>FDD</v>
          </cell>
        </row>
        <row r="206">
          <cell r="B206" t="str">
            <v>ZKEL27</v>
          </cell>
        </row>
        <row r="206">
          <cell r="I206" t="str">
            <v>FDD</v>
          </cell>
        </row>
        <row r="207">
          <cell r="B207" t="str">
            <v>GMKOS2</v>
          </cell>
        </row>
        <row r="207">
          <cell r="I207" t="str">
            <v>FDD</v>
          </cell>
        </row>
        <row r="208">
          <cell r="B208" t="str">
            <v>GMPER1</v>
          </cell>
        </row>
        <row r="208">
          <cell r="I208" t="str">
            <v>FDD</v>
          </cell>
        </row>
        <row r="210">
          <cell r="B210" t="str">
            <v>ZKEL24</v>
          </cell>
        </row>
        <row r="210">
          <cell r="I210" t="str">
            <v>FDD</v>
          </cell>
        </row>
        <row r="211">
          <cell r="B211" t="str">
            <v>ZKEL17</v>
          </cell>
        </row>
        <row r="211">
          <cell r="I211" t="str">
            <v>FDD</v>
          </cell>
        </row>
        <row r="212">
          <cell r="B212" t="str">
            <v>ZKAD25</v>
          </cell>
        </row>
        <row r="212">
          <cell r="I212" t="str">
            <v>FDD</v>
          </cell>
        </row>
        <row r="213">
          <cell r="B213" t="str">
            <v>ZKEL13</v>
          </cell>
        </row>
        <row r="213">
          <cell r="I213" t="str">
            <v>FDD</v>
          </cell>
        </row>
        <row r="215">
          <cell r="B215" t="str">
            <v>GMGAM7</v>
          </cell>
        </row>
        <row r="215">
          <cell r="I215" t="str">
            <v>FDD</v>
          </cell>
        </row>
        <row r="217">
          <cell r="B217" t="str">
            <v>GMPOR2</v>
          </cell>
        </row>
        <row r="217">
          <cell r="I217" t="str">
            <v>FDD</v>
          </cell>
        </row>
        <row r="220">
          <cell r="B220" t="str">
            <v>LGM030</v>
          </cell>
        </row>
        <row r="220">
          <cell r="I220" t="str">
            <v>FDD</v>
          </cell>
        </row>
        <row r="221">
          <cell r="B221" t="str">
            <v>ZKEL23</v>
          </cell>
        </row>
        <row r="221">
          <cell r="I221" t="str">
            <v>FDD</v>
          </cell>
        </row>
        <row r="222">
          <cell r="B222" t="str">
            <v>GMBEL3</v>
          </cell>
        </row>
        <row r="222">
          <cell r="I222" t="str">
            <v>FDD</v>
          </cell>
        </row>
        <row r="223">
          <cell r="B223" t="str">
            <v>LGM044</v>
          </cell>
        </row>
        <row r="223">
          <cell r="I223" t="str">
            <v>FDD</v>
          </cell>
        </row>
        <row r="224">
          <cell r="B224" t="str">
            <v>ZKAD40</v>
          </cell>
        </row>
        <row r="224">
          <cell r="I224" t="str">
            <v>FDD + TDD</v>
          </cell>
        </row>
        <row r="225">
          <cell r="B225" t="str">
            <v>LGM050</v>
          </cell>
        </row>
        <row r="225">
          <cell r="I225" t="str">
            <v>FDD</v>
          </cell>
        </row>
        <row r="226">
          <cell r="B226" t="str">
            <v>LGM048</v>
          </cell>
        </row>
        <row r="226">
          <cell r="I226" t="str">
            <v>FDD</v>
          </cell>
        </row>
        <row r="228">
          <cell r="B228" t="str">
            <v>LGZ014</v>
          </cell>
        </row>
        <row r="228">
          <cell r="I228" t="str">
            <v>FDD</v>
          </cell>
        </row>
        <row r="229">
          <cell r="B229" t="str">
            <v>GMNTN1</v>
          </cell>
        </row>
        <row r="229">
          <cell r="I229" t="str">
            <v>FDD</v>
          </cell>
        </row>
        <row r="230">
          <cell r="B230" t="str">
            <v>ZKEL28</v>
          </cell>
        </row>
        <row r="230">
          <cell r="I230" t="str">
            <v>FDD</v>
          </cell>
        </row>
        <row r="231">
          <cell r="B231" t="str">
            <v>GMKNG1</v>
          </cell>
        </row>
        <row r="231">
          <cell r="I231" t="str">
            <v>FDD + TDD</v>
          </cell>
        </row>
        <row r="233">
          <cell r="B233" t="str">
            <v>LGM034</v>
          </cell>
        </row>
        <row r="233">
          <cell r="I233" t="str">
            <v>FDD</v>
          </cell>
        </row>
        <row r="234">
          <cell r="B234" t="str">
            <v>GMYGD3</v>
          </cell>
        </row>
        <row r="234">
          <cell r="I234" t="str">
            <v>FDD</v>
          </cell>
        </row>
        <row r="236">
          <cell r="B236" t="str">
            <v>IBGMH1</v>
          </cell>
        </row>
        <row r="236">
          <cell r="I236" t="str">
            <v>FDD</v>
          </cell>
        </row>
        <row r="237">
          <cell r="B237" t="str">
            <v>ZKEL18</v>
          </cell>
        </row>
        <row r="237">
          <cell r="I237" t="str">
            <v>FDD</v>
          </cell>
        </row>
        <row r="240">
          <cell r="B240" t="str">
            <v>LGM049</v>
          </cell>
        </row>
        <row r="240">
          <cell r="I240" t="str">
            <v>FDD</v>
          </cell>
        </row>
        <row r="241">
          <cell r="B241" t="str">
            <v>LGM041</v>
          </cell>
        </row>
        <row r="241">
          <cell r="I241" t="str">
            <v>FDD</v>
          </cell>
        </row>
        <row r="242">
          <cell r="B242" t="str">
            <v>LGM042</v>
          </cell>
        </row>
        <row r="242">
          <cell r="I242" t="str">
            <v>FDD</v>
          </cell>
        </row>
        <row r="243">
          <cell r="B243" t="str">
            <v>LGM040</v>
          </cell>
        </row>
        <row r="243">
          <cell r="I243" t="str">
            <v>FDD</v>
          </cell>
        </row>
        <row r="245">
          <cell r="B245" t="str">
            <v>IBGDZ1</v>
          </cell>
        </row>
        <row r="245">
          <cell r="I245" t="str">
            <v>FDD</v>
          </cell>
        </row>
        <row r="246">
          <cell r="B246" t="str">
            <v>IBDSO1</v>
          </cell>
        </row>
        <row r="246">
          <cell r="I246" t="str">
            <v>FDD</v>
          </cell>
        </row>
        <row r="247">
          <cell r="B247" t="str">
            <v>GMNTN3</v>
          </cell>
        </row>
        <row r="247">
          <cell r="I247" t="str">
            <v>FDD</v>
          </cell>
        </row>
        <row r="253">
          <cell r="B253" t="str">
            <v>ZKAD13</v>
          </cell>
        </row>
        <row r="253">
          <cell r="I253" t="str">
            <v>FDD</v>
          </cell>
        </row>
        <row r="254">
          <cell r="B254" t="str">
            <v>ZKAD24</v>
          </cell>
        </row>
        <row r="254">
          <cell r="I254" t="str">
            <v>FDD</v>
          </cell>
        </row>
        <row r="255">
          <cell r="B255" t="str">
            <v>ZKAD53</v>
          </cell>
        </row>
        <row r="255">
          <cell r="I255" t="str">
            <v>FDD</v>
          </cell>
        </row>
        <row r="256">
          <cell r="B256" t="str">
            <v>ZKAD55</v>
          </cell>
        </row>
        <row r="256">
          <cell r="I256" t="str">
            <v>FDD</v>
          </cell>
        </row>
        <row r="257">
          <cell r="B257" t="str">
            <v>GMBEL4</v>
          </cell>
        </row>
        <row r="257">
          <cell r="I257" t="str">
            <v>FDD</v>
          </cell>
        </row>
        <row r="258">
          <cell r="B258" t="str">
            <v>GMGAM9</v>
          </cell>
        </row>
        <row r="258">
          <cell r="I258" t="str">
            <v>FDD</v>
          </cell>
        </row>
        <row r="259">
          <cell r="B259" t="str">
            <v>GMNIT5</v>
          </cell>
        </row>
        <row r="259">
          <cell r="I259" t="str">
            <v>FDD</v>
          </cell>
        </row>
        <row r="260">
          <cell r="B260" t="str">
            <v>GMTHI5</v>
          </cell>
        </row>
        <row r="260">
          <cell r="I260" t="str">
            <v>FDD</v>
          </cell>
        </row>
        <row r="261">
          <cell r="B261" t="str">
            <v>GMTHI4</v>
          </cell>
        </row>
        <row r="261">
          <cell r="I261" t="str">
            <v>FDD</v>
          </cell>
        </row>
        <row r="263">
          <cell r="B263" t="str">
            <v>New 1</v>
          </cell>
        </row>
        <row r="264">
          <cell r="B264" t="str">
            <v>New 2</v>
          </cell>
        </row>
        <row r="265">
          <cell r="B265" t="str">
            <v>New 3</v>
          </cell>
        </row>
        <row r="266">
          <cell r="B266" t="str">
            <v>New 4</v>
          </cell>
        </row>
        <row r="267">
          <cell r="B267" t="str">
            <v>New 5</v>
          </cell>
        </row>
        <row r="268">
          <cell r="B268" t="str">
            <v>New 6</v>
          </cell>
        </row>
        <row r="269">
          <cell r="B269" t="str">
            <v>New 7</v>
          </cell>
        </row>
        <row r="270">
          <cell r="B270" t="str">
            <v>New 8</v>
          </cell>
        </row>
        <row r="271">
          <cell r="B271" t="str">
            <v>New 9</v>
          </cell>
        </row>
        <row r="272">
          <cell r="B272" t="str">
            <v>New 10</v>
          </cell>
        </row>
        <row r="273">
          <cell r="B273" t="str">
            <v>KUGAL1</v>
          </cell>
        </row>
        <row r="273">
          <cell r="I273" t="str">
            <v>FDD + TDD</v>
          </cell>
        </row>
        <row r="274">
          <cell r="B274" t="str">
            <v>KUIBB1</v>
          </cell>
        </row>
        <row r="274">
          <cell r="I274" t="str">
            <v>FDD + TDD</v>
          </cell>
        </row>
        <row r="275">
          <cell r="B275" t="str">
            <v>KUKEP1</v>
          </cell>
        </row>
        <row r="275">
          <cell r="I275" t="str">
            <v>FDD + TDD</v>
          </cell>
        </row>
        <row r="276">
          <cell r="B276" t="str">
            <v>PTANA1</v>
          </cell>
        </row>
        <row r="276">
          <cell r="I276" t="str">
            <v>FDD + TDD</v>
          </cell>
        </row>
        <row r="277">
          <cell r="B277" t="str">
            <v>PTKRB1</v>
          </cell>
        </row>
        <row r="277">
          <cell r="I277" t="str">
            <v>FDD + TDD</v>
          </cell>
        </row>
        <row r="278">
          <cell r="B278" t="str">
            <v>BDMAH1</v>
          </cell>
        </row>
        <row r="278">
          <cell r="I278" t="str">
            <v>FDD</v>
          </cell>
        </row>
        <row r="279">
          <cell r="B279" t="str">
            <v>KGHEM1</v>
          </cell>
        </row>
        <row r="279">
          <cell r="I279" t="str">
            <v>FDD + TDD</v>
          </cell>
        </row>
        <row r="280">
          <cell r="B280" t="str">
            <v>KGMAW2</v>
          </cell>
        </row>
        <row r="280">
          <cell r="I280" t="str">
            <v>FDD + TDD</v>
          </cell>
        </row>
        <row r="281">
          <cell r="B281" t="str">
            <v>KGMAW6</v>
          </cell>
        </row>
        <row r="281">
          <cell r="I281" t="str">
            <v>FDD + TDD</v>
          </cell>
        </row>
        <row r="282">
          <cell r="B282" t="str">
            <v>BTBAT2</v>
          </cell>
        </row>
        <row r="282">
          <cell r="I282" t="str">
            <v>FDD + TDD</v>
          </cell>
        </row>
        <row r="283">
          <cell r="B283" t="str">
            <v>BTKAT1</v>
          </cell>
        </row>
        <row r="283">
          <cell r="I283" t="str">
            <v>FDD + TDD</v>
          </cell>
        </row>
        <row r="284">
          <cell r="B284" t="str">
            <v>BTKAT3</v>
          </cell>
        </row>
        <row r="284">
          <cell r="I284" t="str">
            <v>FDD + TDD</v>
          </cell>
        </row>
        <row r="285">
          <cell r="B285" t="str">
            <v>BTODD2</v>
          </cell>
        </row>
        <row r="285">
          <cell r="I285" t="str">
            <v>FDD + TDD</v>
          </cell>
        </row>
        <row r="286">
          <cell r="B286" t="str">
            <v>KYAKU1</v>
          </cell>
        </row>
        <row r="286">
          <cell r="I286" t="str">
            <v>FDD</v>
          </cell>
        </row>
        <row r="287">
          <cell r="B287" t="str">
            <v>KYAKU2</v>
          </cell>
        </row>
        <row r="287">
          <cell r="I287" t="str">
            <v>FDD</v>
          </cell>
        </row>
        <row r="288">
          <cell r="B288" t="str">
            <v>KYAMP1</v>
          </cell>
        </row>
        <row r="288">
          <cell r="I288" t="str">
            <v>FDD</v>
          </cell>
        </row>
        <row r="289">
          <cell r="B289" t="str">
            <v>KYANG2</v>
          </cell>
        </row>
        <row r="289">
          <cell r="I289" t="str">
            <v>FDD + TDD</v>
          </cell>
        </row>
        <row r="290">
          <cell r="B290" t="str">
            <v>KYBOW1</v>
          </cell>
        </row>
        <row r="290">
          <cell r="I290" t="str">
            <v>FDD + TDD</v>
          </cell>
        </row>
        <row r="291">
          <cell r="B291" t="str">
            <v>KYDIG2</v>
          </cell>
        </row>
        <row r="291">
          <cell r="I291" t="str">
            <v>FDD + TDD</v>
          </cell>
        </row>
        <row r="292">
          <cell r="B292" t="str">
            <v>KYETH1</v>
          </cell>
        </row>
        <row r="292">
          <cell r="I292" t="str">
            <v>FDD + TDD</v>
          </cell>
        </row>
        <row r="293">
          <cell r="B293" t="str">
            <v>KYGAN1</v>
          </cell>
        </row>
        <row r="293">
          <cell r="I293" t="str">
            <v>FDD + TDD</v>
          </cell>
        </row>
        <row r="294">
          <cell r="B294" t="str">
            <v>KYGEL1</v>
          </cell>
        </row>
        <row r="294">
          <cell r="I294" t="str">
            <v>FDD</v>
          </cell>
        </row>
        <row r="295">
          <cell r="B295" t="str">
            <v>KYGOH1</v>
          </cell>
        </row>
        <row r="295">
          <cell r="I295" t="str">
            <v>FDD + TDD</v>
          </cell>
        </row>
        <row r="296">
          <cell r="B296" t="str">
            <v>KYGUN1</v>
          </cell>
        </row>
        <row r="296">
          <cell r="I296" t="str">
            <v>FDD + TDD</v>
          </cell>
        </row>
        <row r="297">
          <cell r="B297" t="str">
            <v>KYGUN2</v>
          </cell>
        </row>
        <row r="297">
          <cell r="I297" t="str">
            <v>FDD</v>
          </cell>
        </row>
        <row r="298">
          <cell r="B298" t="str">
            <v>KYKAT5</v>
          </cell>
        </row>
        <row r="298">
          <cell r="I298" t="str">
            <v>FDD + TDD</v>
          </cell>
        </row>
        <row r="299">
          <cell r="B299" t="str">
            <v>KYKEN1</v>
          </cell>
        </row>
        <row r="299">
          <cell r="I299" t="str">
            <v>FDD + TDD</v>
          </cell>
        </row>
        <row r="300">
          <cell r="B300" t="str">
            <v>MLGAL1</v>
          </cell>
        </row>
        <row r="300">
          <cell r="I300" t="str">
            <v>FDD + TDD</v>
          </cell>
        </row>
        <row r="301">
          <cell r="B301" t="str">
            <v>MLMAT2</v>
          </cell>
        </row>
        <row r="301">
          <cell r="I301" t="str">
            <v>FDD + TDD</v>
          </cell>
        </row>
        <row r="302">
          <cell r="B302" t="str">
            <v>TRKAN1</v>
          </cell>
        </row>
        <row r="302">
          <cell r="I302" t="str">
            <v>FDD + TDD</v>
          </cell>
        </row>
        <row r="303">
          <cell r="B303" t="str">
            <v>TRKIN1</v>
          </cell>
        </row>
        <row r="303">
          <cell r="I303" t="str">
            <v>FDD + TDD</v>
          </cell>
        </row>
        <row r="304">
          <cell r="B304" t="str">
            <v>TRTRI3</v>
          </cell>
        </row>
        <row r="304">
          <cell r="I304" t="str">
            <v>FDD + TDD</v>
          </cell>
        </row>
        <row r="305">
          <cell r="B305" t="str">
            <v>ANEPP1</v>
          </cell>
        </row>
        <row r="305">
          <cell r="I305" t="str">
            <v>FDD + TDD</v>
          </cell>
        </row>
        <row r="306">
          <cell r="B306" t="str">
            <v>ANKAH1</v>
          </cell>
        </row>
        <row r="306">
          <cell r="I306" t="str">
            <v>FDD + TDD</v>
          </cell>
        </row>
        <row r="307">
          <cell r="B307" t="str">
            <v>ANKUR1</v>
          </cell>
        </row>
        <row r="307">
          <cell r="I307" t="str">
            <v>FDD + TDD</v>
          </cell>
        </row>
        <row r="308">
          <cell r="B308" t="str">
            <v>ANPUB2</v>
          </cell>
        </row>
        <row r="308">
          <cell r="I308" t="str">
            <v>FDD + TDD</v>
          </cell>
        </row>
        <row r="309">
          <cell r="B309" t="str">
            <v>ANSAL1</v>
          </cell>
        </row>
        <row r="309">
          <cell r="I309" t="str">
            <v>FDD + TDD</v>
          </cell>
        </row>
        <row r="310">
          <cell r="B310" t="str">
            <v>ANTAM1</v>
          </cell>
        </row>
        <row r="310">
          <cell r="I310" t="str">
            <v>FDD + TDD</v>
          </cell>
        </row>
        <row r="311">
          <cell r="B311" t="str">
            <v>JFANA1</v>
          </cell>
        </row>
        <row r="311">
          <cell r="I311" t="str">
            <v>FDD + TDD</v>
          </cell>
        </row>
        <row r="312">
          <cell r="B312" t="str">
            <v>JFCHA1</v>
          </cell>
        </row>
        <row r="312">
          <cell r="I312" t="str">
            <v>FDD + TDD</v>
          </cell>
        </row>
        <row r="313">
          <cell r="B313" t="str">
            <v>JFKOP1</v>
          </cell>
        </row>
        <row r="313">
          <cell r="I313" t="str">
            <v>FDD + TDD</v>
          </cell>
        </row>
        <row r="314">
          <cell r="B314" t="str">
            <v>JFNAL1</v>
          </cell>
        </row>
        <row r="314">
          <cell r="I314" t="str">
            <v>FDD</v>
          </cell>
        </row>
        <row r="315">
          <cell r="B315" t="str">
            <v>JFPUT1</v>
          </cell>
        </row>
        <row r="315">
          <cell r="I315" t="str">
            <v>FDD</v>
          </cell>
        </row>
        <row r="316">
          <cell r="B316" t="str">
            <v>KNKIL2</v>
          </cell>
        </row>
        <row r="316">
          <cell r="I316" t="str">
            <v>FDD + TDD</v>
          </cell>
        </row>
        <row r="317">
          <cell r="B317" t="str">
            <v>KNKIL5</v>
          </cell>
        </row>
        <row r="317">
          <cell r="I317" t="str">
            <v>FDD + TDD</v>
          </cell>
        </row>
        <row r="318">
          <cell r="B318" t="str">
            <v>MRMAN5</v>
          </cell>
        </row>
        <row r="318">
          <cell r="I318" t="str">
            <v>FDD + TDD</v>
          </cell>
        </row>
        <row r="319">
          <cell r="B319" t="str">
            <v>MUPUD1</v>
          </cell>
        </row>
        <row r="319">
          <cell r="I319" t="str">
            <v>FDD + TDD</v>
          </cell>
        </row>
        <row r="320">
          <cell r="B320" t="str">
            <v>POHAB1</v>
          </cell>
        </row>
        <row r="320">
          <cell r="I320" t="str">
            <v>FDD + TDD</v>
          </cell>
        </row>
        <row r="321">
          <cell r="B321" t="str">
            <v>POHIN4</v>
          </cell>
        </row>
        <row r="321">
          <cell r="I321" t="str">
            <v>FDD + TDD</v>
          </cell>
        </row>
        <row r="322">
          <cell r="B322" t="str">
            <v>VUKUR1</v>
          </cell>
        </row>
        <row r="322">
          <cell r="I322" t="str">
            <v>FDD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源站点"/>
      <sheetName val="核查范围"/>
      <sheetName val="说明"/>
      <sheetName val="最小距离站点"/>
      <sheetName val="导出计数_用时1.49秒"/>
      <sheetName val="最近2个站点"/>
      <sheetName val="Sheet1"/>
      <sheetName val="最近3个站点"/>
    </sheetNames>
    <sheetDataSet>
      <sheetData sheetId="0"/>
      <sheetData sheetId="1"/>
      <sheetData sheetId="2"/>
      <sheetData sheetId="3">
        <row r="1">
          <cell r="A1" t="str">
            <v>源站点</v>
          </cell>
          <cell r="B1" t="str">
            <v>附近站点距离(米)</v>
          </cell>
          <cell r="C1" t="str">
            <v>eNodeB Name</v>
          </cell>
        </row>
        <row r="2">
          <cell r="A2" t="str">
            <v>GMMAG1</v>
          </cell>
          <cell r="B2">
            <v>54.5874660480721</v>
          </cell>
          <cell r="C2" t="str">
            <v>NTB_Magalegoda_M</v>
          </cell>
        </row>
        <row r="3">
          <cell r="A3" t="str">
            <v>GMVEY1</v>
          </cell>
          <cell r="B3">
            <v>127.822900488679</v>
          </cell>
          <cell r="C3" t="str">
            <v>NTB_Veyangoda_SLT</v>
          </cell>
        </row>
        <row r="4">
          <cell r="A4" t="str">
            <v>GMKAL2</v>
          </cell>
          <cell r="B4">
            <v>6.54484831229025</v>
          </cell>
          <cell r="C4" t="str">
            <v>NTB_Kalagedihena_H</v>
          </cell>
        </row>
        <row r="5">
          <cell r="A5" t="str">
            <v>GMDAD1</v>
          </cell>
          <cell r="B5">
            <v>37.6276421781168</v>
          </cell>
          <cell r="C5" t="str">
            <v>NTB_Dadagamuwa_D_GMDAD1</v>
          </cell>
        </row>
        <row r="6">
          <cell r="A6" t="str">
            <v>GMTHI1</v>
          </cell>
          <cell r="B6">
            <v>720.595481689325</v>
          </cell>
          <cell r="C6" t="str">
            <v>NTB_Thihariya_E</v>
          </cell>
        </row>
        <row r="7">
          <cell r="A7" t="str">
            <v>GMUDM1</v>
          </cell>
          <cell r="B7">
            <v>11.9458095192244</v>
          </cell>
          <cell r="C7" t="str">
            <v>NTB_Udammita_M_GMUDM1</v>
          </cell>
        </row>
        <row r="8">
          <cell r="A8" t="str">
            <v>GMTHI2</v>
          </cell>
          <cell r="B8">
            <v>33.2269250884827</v>
          </cell>
          <cell r="C8" t="str">
            <v>NTB Nittambuwa02 A</v>
          </cell>
        </row>
        <row r="9">
          <cell r="A9" t="str">
            <v>GMNIT1</v>
          </cell>
          <cell r="B9">
            <v>7.19349792502128</v>
          </cell>
          <cell r="C9" t="str">
            <v>NTB_Nittambuwa_E_GMNIT1</v>
          </cell>
        </row>
        <row r="10">
          <cell r="A10" t="str">
            <v>GMNIT3</v>
          </cell>
          <cell r="B10">
            <v>728.907184938453</v>
          </cell>
          <cell r="C10" t="str">
            <v>NTB_Nittambuwa_E_GMNIT1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透视表"/>
      <sheetName val="导出计数_站点名称"/>
      <sheetName val="扇区NA记录"/>
      <sheetName val="频段天线统计"/>
    </sheetNames>
    <sheetDataSet>
      <sheetData sheetId="0">
        <row r="1">
          <cell r="D1" t="str">
            <v>900 MHz天线</v>
          </cell>
          <cell r="E1" t="str">
            <v>1800 MHz天线</v>
          </cell>
          <cell r="F1" t="str">
            <v>2100 MHz天线</v>
          </cell>
          <cell r="G1" t="str">
            <v>site name</v>
          </cell>
        </row>
        <row r="2">
          <cell r="D2" t="str">
            <v>AQU4518R9v06</v>
          </cell>
          <cell r="E2" t="str">
            <v>AQU4518R9v06</v>
          </cell>
          <cell r="F2" t="str">
            <v>AQU4518R9v06</v>
          </cell>
          <cell r="G2" t="str">
            <v>GMAIR1S1</v>
          </cell>
        </row>
        <row r="3">
          <cell r="D3" t="str">
            <v>AQU4518R9v06</v>
          </cell>
          <cell r="E3" t="str">
            <v>AQU4518R9v06</v>
          </cell>
          <cell r="F3" t="str">
            <v>AQU4518R9v06</v>
          </cell>
          <cell r="G3" t="str">
            <v>GMAIR1S2</v>
          </cell>
        </row>
        <row r="4">
          <cell r="D4" t="str">
            <v>AQU4518R9v06</v>
          </cell>
          <cell r="E4" t="str">
            <v>AQU4518R9v06</v>
          </cell>
          <cell r="F4" t="str">
            <v>AQU4518R9v06</v>
          </cell>
          <cell r="G4" t="str">
            <v>GMAIR1S3</v>
          </cell>
        </row>
        <row r="5">
          <cell r="D5" t="str"/>
          <cell r="E5" t="str">
            <v>AMB4519R6v06</v>
          </cell>
          <cell r="F5" t="str"/>
          <cell r="G5" t="str">
            <v>GMAIR2NA</v>
          </cell>
        </row>
        <row r="6">
          <cell r="D6" t="str">
            <v>AQU4518R9v06</v>
          </cell>
          <cell r="E6" t="str">
            <v>AQU4518R9v06</v>
          </cell>
          <cell r="F6" t="str">
            <v>AQU4518R9v06</v>
          </cell>
          <cell r="G6" t="str">
            <v>GMAIR2S2</v>
          </cell>
        </row>
        <row r="7">
          <cell r="D7" t="str"/>
          <cell r="E7" t="str">
            <v>AMB4519R6v06</v>
          </cell>
          <cell r="F7" t="str"/>
          <cell r="G7" t="str">
            <v>GMAIR3NA</v>
          </cell>
        </row>
        <row r="8">
          <cell r="D8" t="str">
            <v>AQU4518R9v06</v>
          </cell>
          <cell r="E8" t="str">
            <v>AQU4518R9v06</v>
          </cell>
          <cell r="F8" t="str">
            <v>AQU4518R9v06</v>
          </cell>
          <cell r="G8" t="str">
            <v>GMAIR3S2</v>
          </cell>
        </row>
        <row r="9">
          <cell r="D9" t="str">
            <v>AQU4518R9v06</v>
          </cell>
          <cell r="E9" t="str"/>
          <cell r="F9" t="str">
            <v>AQU4518R9v06</v>
          </cell>
          <cell r="G9" t="str">
            <v>GMAIR3S3</v>
          </cell>
        </row>
        <row r="10">
          <cell r="D10" t="str">
            <v>AQU4518R9v06</v>
          </cell>
          <cell r="E10" t="str">
            <v>AQU4518R9v06</v>
          </cell>
          <cell r="F10" t="str">
            <v>AQU4518R9v06</v>
          </cell>
          <cell r="G10" t="str">
            <v>GMALA1S1</v>
          </cell>
        </row>
        <row r="11">
          <cell r="D11" t="str">
            <v>AQU4518R9v06</v>
          </cell>
          <cell r="E11" t="str">
            <v>AQU4518R9v06</v>
          </cell>
          <cell r="F11" t="str">
            <v>AQU4518R9v06</v>
          </cell>
          <cell r="G11" t="str">
            <v>GMALA1S2</v>
          </cell>
        </row>
        <row r="12">
          <cell r="D12" t="str">
            <v>AQU4518R9v06</v>
          </cell>
          <cell r="E12" t="str">
            <v>AQU4518R9v06</v>
          </cell>
          <cell r="F12" t="str">
            <v>AQU4518R9v06</v>
          </cell>
          <cell r="G12" t="str">
            <v>GMALA1S3</v>
          </cell>
        </row>
        <row r="13">
          <cell r="D13" t="str">
            <v>AQU4518R9v06</v>
          </cell>
          <cell r="E13" t="str">
            <v>AQU4518R9v06</v>
          </cell>
          <cell r="F13" t="str">
            <v>AQU4518R9v06</v>
          </cell>
          <cell r="G13" t="str">
            <v>GMALA3S1</v>
          </cell>
        </row>
        <row r="14">
          <cell r="D14" t="str">
            <v>AQU4518R9v06</v>
          </cell>
          <cell r="E14" t="str">
            <v>AQU4518R9v06</v>
          </cell>
          <cell r="F14" t="str">
            <v>AQU4518R9v06</v>
          </cell>
          <cell r="G14" t="str">
            <v>GMALA3S2</v>
          </cell>
        </row>
        <row r="15">
          <cell r="D15" t="str">
            <v>AQU4518R9v06</v>
          </cell>
          <cell r="E15" t="str">
            <v>AQU4518R9v06</v>
          </cell>
          <cell r="F15" t="str">
            <v>AQU4518R9v06</v>
          </cell>
          <cell r="G15" t="str">
            <v>GMALA3S3</v>
          </cell>
        </row>
        <row r="16">
          <cell r="D16" t="str"/>
          <cell r="E16" t="str">
            <v>AMB4519R6v06</v>
          </cell>
          <cell r="F16" t="str"/>
          <cell r="G16" t="str">
            <v>GMALG1NA</v>
          </cell>
        </row>
        <row r="17">
          <cell r="D17" t="str">
            <v>AQU4518R9v06</v>
          </cell>
          <cell r="E17" t="str">
            <v>AQU4518R9v06</v>
          </cell>
          <cell r="F17" t="str">
            <v>AQU4518R9v06</v>
          </cell>
          <cell r="G17" t="str">
            <v>GMALG1S2</v>
          </cell>
        </row>
        <row r="18">
          <cell r="D18" t="str">
            <v>AQU4518R9v06</v>
          </cell>
          <cell r="E18" t="str">
            <v>AQU4518R9v06</v>
          </cell>
          <cell r="F18" t="str">
            <v>AQU4518R9v06</v>
          </cell>
          <cell r="G18" t="str">
            <v>GMALU1S1</v>
          </cell>
        </row>
        <row r="19">
          <cell r="D19" t="str">
            <v>AQU4518R9v06</v>
          </cell>
          <cell r="E19" t="str">
            <v>AQU4518R9v06</v>
          </cell>
          <cell r="F19" t="str">
            <v>AQU4518R9v06</v>
          </cell>
          <cell r="G19" t="str">
            <v>GMALU1S2</v>
          </cell>
        </row>
        <row r="20">
          <cell r="D20" t="str">
            <v>AQU4518R9v06</v>
          </cell>
          <cell r="E20" t="str">
            <v>AQU4518R9v06</v>
          </cell>
          <cell r="F20" t="str">
            <v>AQU4518R9v06</v>
          </cell>
          <cell r="G20" t="str">
            <v>GMALU1S3</v>
          </cell>
        </row>
        <row r="21">
          <cell r="D21" t="str"/>
          <cell r="E21" t="str">
            <v>AMB4519R6v06</v>
          </cell>
          <cell r="F21" t="str"/>
          <cell r="G21" t="str">
            <v>GMAMI1NA</v>
          </cell>
        </row>
        <row r="22">
          <cell r="D22" t="str"/>
          <cell r="E22" t="str">
            <v>AQU4518R9v06</v>
          </cell>
          <cell r="F22" t="str">
            <v>AQU4518R9v06</v>
          </cell>
          <cell r="G22" t="str">
            <v>GMAMI1S1</v>
          </cell>
        </row>
        <row r="23">
          <cell r="D23" t="str">
            <v>AQU4518R9v06</v>
          </cell>
          <cell r="E23" t="str"/>
          <cell r="F23" t="str"/>
          <cell r="G23" t="str">
            <v>GMAMI1S2</v>
          </cell>
        </row>
        <row r="24">
          <cell r="D24" t="str">
            <v>AQU4518R9v06</v>
          </cell>
          <cell r="E24" t="str">
            <v>AQU4518R9v06</v>
          </cell>
          <cell r="F24" t="str">
            <v>AQU4518R9v06</v>
          </cell>
          <cell r="G24" t="str">
            <v>GMAMI1S3</v>
          </cell>
        </row>
        <row r="25">
          <cell r="D25" t="str">
            <v>AQU4518R9v06</v>
          </cell>
          <cell r="E25" t="str">
            <v>AQU4518R9v06</v>
          </cell>
          <cell r="F25" t="str">
            <v>AQU4518R9v06</v>
          </cell>
          <cell r="G25" t="str">
            <v>GMAND1S1</v>
          </cell>
        </row>
        <row r="26">
          <cell r="D26" t="str">
            <v>AQU4518R9v06</v>
          </cell>
          <cell r="E26" t="str">
            <v>AQU4518R9v06</v>
          </cell>
          <cell r="F26" t="str">
            <v>AQU4518R9v06</v>
          </cell>
          <cell r="G26" t="str">
            <v>GMAND1S2</v>
          </cell>
        </row>
        <row r="27">
          <cell r="D27" t="str">
            <v>AQU4518R9v06</v>
          </cell>
          <cell r="E27" t="str">
            <v>AQU4518R9v06</v>
          </cell>
          <cell r="F27" t="str">
            <v>AQU4518R9v06</v>
          </cell>
          <cell r="G27" t="str">
            <v>GMAND1S3</v>
          </cell>
        </row>
        <row r="28">
          <cell r="D28" t="str"/>
          <cell r="E28" t="str">
            <v>AQU4518R9v06</v>
          </cell>
          <cell r="F28" t="str">
            <v>AQU4518R9v06</v>
          </cell>
          <cell r="G28" t="str">
            <v>GMAND2S1</v>
          </cell>
        </row>
        <row r="29">
          <cell r="D29" t="str"/>
          <cell r="E29" t="str">
            <v>AQU4518R9v06</v>
          </cell>
          <cell r="F29" t="str">
            <v>AQU4518R9v06</v>
          </cell>
          <cell r="G29" t="str">
            <v>GMAND2S2</v>
          </cell>
        </row>
        <row r="30">
          <cell r="D30" t="str"/>
          <cell r="E30" t="str">
            <v>AQU4518R9v06</v>
          </cell>
          <cell r="F30" t="str">
            <v>AQU4518R9v06</v>
          </cell>
          <cell r="G30" t="str">
            <v>GMAND2S3</v>
          </cell>
        </row>
        <row r="31">
          <cell r="D31" t="str"/>
          <cell r="E31" t="str">
            <v>AMB4519R6v06</v>
          </cell>
          <cell r="F31" t="str"/>
          <cell r="G31" t="str">
            <v>GMASG1NA</v>
          </cell>
        </row>
        <row r="32">
          <cell r="D32" t="str"/>
          <cell r="E32" t="str">
            <v>ATR4518R7v07</v>
          </cell>
          <cell r="F32" t="str"/>
          <cell r="G32" t="str">
            <v>GMASG1S1</v>
          </cell>
        </row>
        <row r="33">
          <cell r="D33" t="str">
            <v>AQU4518R9v06</v>
          </cell>
          <cell r="E33" t="str">
            <v>AQU4518R9v06</v>
          </cell>
          <cell r="F33" t="str">
            <v>AQU4518R9v06</v>
          </cell>
          <cell r="G33" t="str">
            <v>GMATT1S1</v>
          </cell>
        </row>
        <row r="34">
          <cell r="D34" t="str">
            <v>AQU4518R9v06</v>
          </cell>
          <cell r="E34" t="str">
            <v>AQU4518R9v06</v>
          </cell>
          <cell r="F34" t="str">
            <v>AQU4518R9v06</v>
          </cell>
          <cell r="G34" t="str">
            <v>GMATT1S2</v>
          </cell>
        </row>
        <row r="35">
          <cell r="D35" t="str">
            <v>AQU4518R9v06</v>
          </cell>
          <cell r="E35" t="str">
            <v>AQU4518R9v06</v>
          </cell>
          <cell r="F35" t="str">
            <v>AQU4518R9v06</v>
          </cell>
          <cell r="G35" t="str">
            <v>GMATT1S3</v>
          </cell>
        </row>
        <row r="36">
          <cell r="D36" t="str">
            <v>AQU4518R9v06</v>
          </cell>
          <cell r="E36" t="str">
            <v>AQU4518R9v06</v>
          </cell>
          <cell r="F36" t="str">
            <v>AQU4518R9v06</v>
          </cell>
          <cell r="G36" t="str">
            <v>GMAVA1S1</v>
          </cell>
        </row>
        <row r="37">
          <cell r="D37" t="str">
            <v>AQU4518R9v06</v>
          </cell>
          <cell r="E37" t="str">
            <v>AQU4518R9v06</v>
          </cell>
          <cell r="F37" t="str">
            <v>AQU4518R9v06</v>
          </cell>
          <cell r="G37" t="str">
            <v>GMAVA1S2</v>
          </cell>
        </row>
        <row r="38">
          <cell r="D38" t="str">
            <v>AQU4518R9v06</v>
          </cell>
          <cell r="E38" t="str">
            <v>AQU4518R9v06</v>
          </cell>
          <cell r="F38" t="str">
            <v>AQU4518R9v06</v>
          </cell>
          <cell r="G38" t="str">
            <v>GMAVA1S3</v>
          </cell>
        </row>
        <row r="39">
          <cell r="D39" t="str">
            <v>ATR4518R7v07</v>
          </cell>
          <cell r="E39" t="str">
            <v>ATR4518R7v07</v>
          </cell>
          <cell r="F39" t="str"/>
          <cell r="G39" t="str">
            <v>GMBAD2S1</v>
          </cell>
        </row>
        <row r="40">
          <cell r="D40" t="str">
            <v>ATR4518R7v07</v>
          </cell>
          <cell r="E40" t="str">
            <v>ATR4518R7v07</v>
          </cell>
          <cell r="F40" t="str"/>
          <cell r="G40" t="str">
            <v>GMBAD2S2</v>
          </cell>
        </row>
        <row r="41">
          <cell r="D41" t="str">
            <v>ATR4518R7v07</v>
          </cell>
          <cell r="E41" t="str">
            <v>ATR4518R7v07</v>
          </cell>
          <cell r="F41" t="str"/>
          <cell r="G41" t="str">
            <v>GMBAD2S3</v>
          </cell>
        </row>
        <row r="42">
          <cell r="D42" t="str">
            <v>AQU4518R9v06</v>
          </cell>
          <cell r="E42" t="str">
            <v>AQU4518R9v06</v>
          </cell>
          <cell r="F42" t="str">
            <v>AQU4518R9v06</v>
          </cell>
          <cell r="G42" t="str">
            <v>GMBAN1S1</v>
          </cell>
        </row>
        <row r="43">
          <cell r="D43" t="str">
            <v>AQU4518R9v06</v>
          </cell>
          <cell r="E43" t="str">
            <v>AQU4518R9v06</v>
          </cell>
          <cell r="F43" t="str">
            <v>AQU4518R9v06</v>
          </cell>
          <cell r="G43" t="str">
            <v>GMBAN1S2</v>
          </cell>
        </row>
        <row r="44">
          <cell r="D44" t="str">
            <v>AQU4518R9v06</v>
          </cell>
          <cell r="E44" t="str">
            <v>AQU4518R9v06</v>
          </cell>
          <cell r="F44" t="str">
            <v>AQU4518R9v06</v>
          </cell>
          <cell r="G44" t="str">
            <v>GMBAN1S3</v>
          </cell>
        </row>
        <row r="45">
          <cell r="D45" t="str"/>
          <cell r="E45" t="str">
            <v>AQU4518R9v06</v>
          </cell>
          <cell r="F45" t="str"/>
          <cell r="G45" t="str">
            <v>GMBAT1NA</v>
          </cell>
        </row>
        <row r="46">
          <cell r="D46" t="str"/>
          <cell r="E46" t="str">
            <v>AQU4518R9v06</v>
          </cell>
          <cell r="F46" t="str"/>
          <cell r="G46" t="str">
            <v>GMBAT1S1</v>
          </cell>
        </row>
        <row r="47">
          <cell r="D47" t="str"/>
          <cell r="E47" t="str">
            <v>AQU4518R9v06</v>
          </cell>
          <cell r="F47" t="str"/>
          <cell r="G47" t="str">
            <v>GMBAT1S2</v>
          </cell>
        </row>
        <row r="48">
          <cell r="D48" t="str">
            <v>AQU4518R9v06</v>
          </cell>
          <cell r="E48" t="str">
            <v>AQU4518R9v06</v>
          </cell>
          <cell r="F48" t="str">
            <v>AQU4518R9v06</v>
          </cell>
          <cell r="G48" t="str">
            <v>GMBAT2S1</v>
          </cell>
        </row>
        <row r="49">
          <cell r="D49" t="str">
            <v>AQU4518R9v06</v>
          </cell>
          <cell r="E49" t="str">
            <v>AQU4518R9v06</v>
          </cell>
          <cell r="F49" t="str">
            <v>AQU4518R9v06</v>
          </cell>
          <cell r="G49" t="str">
            <v>GMBAT2S2</v>
          </cell>
        </row>
        <row r="50">
          <cell r="D50" t="str">
            <v>AQU4518R9v06</v>
          </cell>
          <cell r="E50" t="str">
            <v>AQU4518R9v06</v>
          </cell>
          <cell r="F50" t="str">
            <v>AQU4518R9v06</v>
          </cell>
          <cell r="G50" t="str">
            <v>GMBAT2S3</v>
          </cell>
        </row>
        <row r="51">
          <cell r="D51" t="str">
            <v>AQU4518R9v06</v>
          </cell>
          <cell r="E51" t="str">
            <v>AQU4518R9v06</v>
          </cell>
          <cell r="F51" t="str">
            <v>AQU4518R9v06</v>
          </cell>
          <cell r="G51" t="str">
            <v>GMBEL1S1</v>
          </cell>
        </row>
        <row r="52">
          <cell r="D52" t="str">
            <v>AQU4518R9v06</v>
          </cell>
          <cell r="E52" t="str">
            <v>AQU4518R9v06</v>
          </cell>
          <cell r="F52" t="str">
            <v>AQU4518R9v06</v>
          </cell>
          <cell r="G52" t="str">
            <v>GMBEL1S2</v>
          </cell>
        </row>
        <row r="53">
          <cell r="D53" t="str">
            <v>AQU4518R9v06</v>
          </cell>
          <cell r="E53" t="str">
            <v>AQU4518R9v06</v>
          </cell>
          <cell r="F53" t="str">
            <v>AQU4518R9v06</v>
          </cell>
          <cell r="G53" t="str">
            <v>GMBEL1S3</v>
          </cell>
        </row>
        <row r="54">
          <cell r="D54" t="str">
            <v>AQU4518R9v06</v>
          </cell>
          <cell r="E54" t="str">
            <v>AQU4518R9v06</v>
          </cell>
          <cell r="F54" t="str">
            <v>AQU4518R9v06</v>
          </cell>
          <cell r="G54" t="str">
            <v>GMBEL2S1</v>
          </cell>
        </row>
        <row r="55">
          <cell r="D55" t="str">
            <v>AQU4518R9v06</v>
          </cell>
          <cell r="E55" t="str">
            <v>AQU4518R9v06</v>
          </cell>
          <cell r="F55" t="str">
            <v>AQU4518R9v06</v>
          </cell>
          <cell r="G55" t="str">
            <v>GMBEL2S2</v>
          </cell>
        </row>
        <row r="56">
          <cell r="D56" t="str">
            <v>AQU4518R9v06</v>
          </cell>
          <cell r="E56" t="str">
            <v>AQU4518R9v06</v>
          </cell>
          <cell r="F56" t="str">
            <v>AQU4518R9v06</v>
          </cell>
          <cell r="G56" t="str">
            <v>GMBEL2S3</v>
          </cell>
        </row>
        <row r="57">
          <cell r="D57" t="str"/>
          <cell r="E57" t="str">
            <v>AMB4519R6v06</v>
          </cell>
          <cell r="F57" t="str"/>
          <cell r="G57" t="str">
            <v>GMBEM1NA</v>
          </cell>
        </row>
        <row r="58">
          <cell r="D58" t="str">
            <v>AQU4518R9v06</v>
          </cell>
          <cell r="E58" t="str">
            <v>AQU4518R9v06</v>
          </cell>
          <cell r="F58" t="str">
            <v>AQU4518R9v06</v>
          </cell>
          <cell r="G58" t="str">
            <v>GMBEM1S1</v>
          </cell>
        </row>
        <row r="59">
          <cell r="D59" t="str">
            <v>AQU4518R9v06</v>
          </cell>
          <cell r="E59" t="str">
            <v>AMB4519R6v06</v>
          </cell>
          <cell r="F59" t="str">
            <v>AQU4518R9v06</v>
          </cell>
          <cell r="G59" t="str">
            <v>GMBEM1S2</v>
          </cell>
        </row>
        <row r="60">
          <cell r="D60" t="str">
            <v>AQU4518R9v06</v>
          </cell>
          <cell r="E60" t="str">
            <v>AQU4518R9v06</v>
          </cell>
          <cell r="F60" t="str">
            <v>AQU4518R9v06</v>
          </cell>
          <cell r="G60" t="str">
            <v>GMBEM1S3</v>
          </cell>
        </row>
        <row r="61">
          <cell r="D61" t="str">
            <v>AQU4518R9v06</v>
          </cell>
          <cell r="E61" t="str">
            <v>AQU4518R9v06</v>
          </cell>
          <cell r="F61" t="str">
            <v>AQU4518R9v06</v>
          </cell>
          <cell r="G61" t="str">
            <v>GMBGK1S1</v>
          </cell>
        </row>
        <row r="62">
          <cell r="D62" t="str">
            <v>AQU4518R9v06</v>
          </cell>
          <cell r="E62" t="str">
            <v>AQU4518R9v06</v>
          </cell>
          <cell r="F62" t="str">
            <v>AQU4518R9v06</v>
          </cell>
          <cell r="G62" t="str">
            <v>GMBGK1S2</v>
          </cell>
        </row>
        <row r="63">
          <cell r="D63" t="str">
            <v>AQU4518R9v06</v>
          </cell>
          <cell r="E63" t="str">
            <v>AQU4518R9v06</v>
          </cell>
          <cell r="F63" t="str">
            <v>AQU4518R9v06</v>
          </cell>
          <cell r="G63" t="str">
            <v>GMBGK1S3</v>
          </cell>
        </row>
        <row r="64">
          <cell r="D64" t="str">
            <v>AQU4518R9v06</v>
          </cell>
          <cell r="E64" t="str">
            <v>AQU4518R9v06</v>
          </cell>
          <cell r="F64" t="str">
            <v>AQU4518R9v06</v>
          </cell>
          <cell r="G64" t="str">
            <v>GMBLW1S1</v>
          </cell>
        </row>
        <row r="65">
          <cell r="D65" t="str">
            <v>AQU4518R9v06</v>
          </cell>
          <cell r="E65" t="str">
            <v>AQU4518R9v06</v>
          </cell>
          <cell r="F65" t="str">
            <v>AQU4518R9v06</v>
          </cell>
          <cell r="G65" t="str">
            <v>GMBLW1S2</v>
          </cell>
        </row>
        <row r="66">
          <cell r="D66" t="str">
            <v>AQU4518R9v06</v>
          </cell>
          <cell r="E66" t="str">
            <v>AQU4518R9v06</v>
          </cell>
          <cell r="F66" t="str">
            <v>AQU4518R9v06</v>
          </cell>
          <cell r="G66" t="str">
            <v>GMBLW1S3</v>
          </cell>
        </row>
        <row r="67">
          <cell r="D67" t="str">
            <v>ATR4518R7v07</v>
          </cell>
          <cell r="E67" t="str"/>
          <cell r="F67" t="str"/>
          <cell r="G67" t="str">
            <v>GMBLW3S1</v>
          </cell>
        </row>
        <row r="68">
          <cell r="D68" t="str">
            <v>ATR4518R7v07</v>
          </cell>
          <cell r="E68" t="str"/>
          <cell r="F68" t="str"/>
          <cell r="G68" t="str">
            <v>GMBLW3S2</v>
          </cell>
        </row>
        <row r="69">
          <cell r="D69" t="str">
            <v>ATR4518R7v07</v>
          </cell>
          <cell r="E69" t="str"/>
          <cell r="F69" t="str"/>
          <cell r="G69" t="str">
            <v>GMBLW3S3</v>
          </cell>
        </row>
        <row r="70">
          <cell r="D70" t="str"/>
          <cell r="E70" t="str">
            <v>ATR4518R7v07</v>
          </cell>
          <cell r="F70" t="str"/>
          <cell r="G70" t="str">
            <v>GMBLW3S1</v>
          </cell>
        </row>
        <row r="71">
          <cell r="D71" t="str"/>
          <cell r="E71" t="str">
            <v>ATR4518R7v07</v>
          </cell>
          <cell r="F71" t="str"/>
          <cell r="G71" t="str">
            <v>GMBLW3S2</v>
          </cell>
        </row>
        <row r="72">
          <cell r="D72" t="str"/>
          <cell r="E72" t="str">
            <v>ATR4518R7v07</v>
          </cell>
          <cell r="F72" t="str"/>
          <cell r="G72" t="str">
            <v>GMBLW3S3</v>
          </cell>
        </row>
        <row r="73">
          <cell r="D73" t="str">
            <v>APE4517R0v06</v>
          </cell>
          <cell r="E73" t="str">
            <v>APE4517R0v06</v>
          </cell>
          <cell r="F73" t="str">
            <v>APE4517R0v06</v>
          </cell>
          <cell r="G73" t="str">
            <v>GMBOT1S1</v>
          </cell>
        </row>
        <row r="74">
          <cell r="D74" t="str">
            <v>APE4517R0v06</v>
          </cell>
          <cell r="E74" t="str">
            <v>APE4517R0v06</v>
          </cell>
          <cell r="F74" t="str">
            <v>APE4517R0v06</v>
          </cell>
          <cell r="G74" t="str">
            <v>GMBOT1S2</v>
          </cell>
        </row>
        <row r="75">
          <cell r="D75" t="str">
            <v>APE4517R0v06</v>
          </cell>
          <cell r="E75" t="str">
            <v>APE4517R0v06</v>
          </cell>
          <cell r="F75" t="str">
            <v>APE4517R0v06</v>
          </cell>
          <cell r="G75" t="str">
            <v>GMBOT1S3</v>
          </cell>
        </row>
        <row r="76">
          <cell r="D76" t="str">
            <v>AQU4518R9v06</v>
          </cell>
          <cell r="E76" t="str">
            <v>AQU4518R9v06</v>
          </cell>
          <cell r="F76" t="str">
            <v>AQU4518R9v06</v>
          </cell>
          <cell r="G76" t="str">
            <v>GMDAD1S1</v>
          </cell>
        </row>
        <row r="77">
          <cell r="D77" t="str">
            <v>AQU4518R9v06</v>
          </cell>
          <cell r="E77" t="str">
            <v>AQU4518R9v06</v>
          </cell>
          <cell r="F77" t="str">
            <v>AQU4518R9v06</v>
          </cell>
          <cell r="G77" t="str">
            <v>GMDAD1S2</v>
          </cell>
        </row>
        <row r="78">
          <cell r="D78" t="str">
            <v>AQU4518R9v06</v>
          </cell>
          <cell r="E78" t="str">
            <v>AQU4518R9v06</v>
          </cell>
          <cell r="F78" t="str">
            <v>AQU4518R9v06</v>
          </cell>
          <cell r="G78" t="str">
            <v>GMDAD1S3</v>
          </cell>
        </row>
        <row r="79">
          <cell r="D79" t="str">
            <v>AQU4518R9v06</v>
          </cell>
          <cell r="E79" t="str">
            <v>AQU4518R9v06</v>
          </cell>
          <cell r="F79" t="str">
            <v>AQU4518R9v06</v>
          </cell>
          <cell r="G79" t="str">
            <v>GMDAG1S2</v>
          </cell>
        </row>
        <row r="80">
          <cell r="D80" t="str">
            <v>AQU4518R9v06</v>
          </cell>
          <cell r="E80" t="str">
            <v>AQU4518R9v06</v>
          </cell>
          <cell r="F80" t="str">
            <v>AQU4518R9v06</v>
          </cell>
          <cell r="G80" t="str">
            <v>GMDAN1S1</v>
          </cell>
        </row>
        <row r="81">
          <cell r="D81" t="str">
            <v>AQU4518R9v06</v>
          </cell>
          <cell r="E81" t="str">
            <v>AQU4518R9v06</v>
          </cell>
          <cell r="F81" t="str">
            <v>AQU4518R9v06</v>
          </cell>
          <cell r="G81" t="str">
            <v>GMDAN1S2</v>
          </cell>
        </row>
        <row r="82">
          <cell r="D82" t="str">
            <v>AQU4518R9v06</v>
          </cell>
          <cell r="E82" t="str">
            <v>AQU4518R9v06</v>
          </cell>
          <cell r="F82" t="str">
            <v>AQU4518R9v06</v>
          </cell>
          <cell r="G82" t="str">
            <v>GMDAN1S3</v>
          </cell>
        </row>
        <row r="83">
          <cell r="D83" t="str">
            <v>APE4517R0v06</v>
          </cell>
          <cell r="E83" t="str">
            <v>APE4517R0v06</v>
          </cell>
          <cell r="F83" t="str">
            <v>APE4517R0v06</v>
          </cell>
          <cell r="G83" t="str">
            <v>GMDIV2S1</v>
          </cell>
        </row>
        <row r="84">
          <cell r="D84" t="str">
            <v>ATR4518R7v07</v>
          </cell>
          <cell r="E84" t="str">
            <v>ATR4518R7v07</v>
          </cell>
          <cell r="F84" t="str">
            <v>ATR4518R7v07</v>
          </cell>
          <cell r="G84" t="str">
            <v>GMDIV3S1</v>
          </cell>
        </row>
        <row r="85">
          <cell r="D85" t="str">
            <v>ATR4518R7v07</v>
          </cell>
          <cell r="E85" t="str">
            <v>ATR4518R7v07</v>
          </cell>
          <cell r="F85" t="str">
            <v>ATR4518R7v07</v>
          </cell>
          <cell r="G85" t="str">
            <v>GMDIV3S2</v>
          </cell>
        </row>
        <row r="86">
          <cell r="D86" t="str">
            <v>ATR4518R7v07</v>
          </cell>
          <cell r="E86" t="str">
            <v>ATR4518R7v07</v>
          </cell>
          <cell r="F86" t="str">
            <v>ATR4518R7v07</v>
          </cell>
          <cell r="G86" t="str">
            <v>GMDIV3S3</v>
          </cell>
        </row>
        <row r="87">
          <cell r="D87" t="str">
            <v>ATR4517R0v06</v>
          </cell>
          <cell r="E87" t="str">
            <v>ATR4517R0v06</v>
          </cell>
          <cell r="F87" t="str">
            <v>ATR4517R0v06</v>
          </cell>
          <cell r="G87" t="str">
            <v>GMDOR1S1</v>
          </cell>
        </row>
        <row r="88">
          <cell r="D88" t="str">
            <v>ATR4517R0v06</v>
          </cell>
          <cell r="E88" t="str">
            <v>ATR4517R0v06</v>
          </cell>
          <cell r="F88" t="str">
            <v>ATR4517R0v06</v>
          </cell>
          <cell r="G88" t="str">
            <v>GMDOR1S2</v>
          </cell>
        </row>
        <row r="89">
          <cell r="D89" t="str">
            <v>ATR4517R0v06</v>
          </cell>
          <cell r="E89" t="str">
            <v>ATR4517R0v06</v>
          </cell>
          <cell r="F89" t="str">
            <v>ATR4517R0v06</v>
          </cell>
          <cell r="G89" t="str">
            <v>GMDOR1S3</v>
          </cell>
        </row>
        <row r="90">
          <cell r="D90" t="str">
            <v>AQU4518R9v06</v>
          </cell>
          <cell r="E90" t="str">
            <v>AQU4518R9v06</v>
          </cell>
          <cell r="F90" t="str">
            <v>AQU4518R9v06</v>
          </cell>
          <cell r="G90" t="str">
            <v>GMDUN1S1</v>
          </cell>
        </row>
        <row r="91">
          <cell r="D91" t="str">
            <v>AQU4518R9v06</v>
          </cell>
          <cell r="E91" t="str">
            <v>AQU4518R9v06</v>
          </cell>
          <cell r="F91" t="str">
            <v>AQU4518R9v06</v>
          </cell>
          <cell r="G91" t="str">
            <v>GMDUN1S3</v>
          </cell>
        </row>
        <row r="92">
          <cell r="D92" t="str">
            <v>AQU4518R9v06</v>
          </cell>
          <cell r="E92" t="str">
            <v>AQU4518R9v06</v>
          </cell>
          <cell r="F92" t="str">
            <v>AQU4518R9v06</v>
          </cell>
          <cell r="G92" t="str">
            <v>GMEKA1S1</v>
          </cell>
        </row>
        <row r="93">
          <cell r="D93" t="str">
            <v>AQU4518R9v06</v>
          </cell>
          <cell r="E93" t="str">
            <v>AQU4518R9v06</v>
          </cell>
          <cell r="F93" t="str">
            <v>AQU4518R9v06</v>
          </cell>
          <cell r="G93" t="str">
            <v>GMEKA1S2</v>
          </cell>
        </row>
        <row r="94">
          <cell r="D94" t="str">
            <v>AQU4518R9v06</v>
          </cell>
          <cell r="E94" t="str">
            <v>AQU4518R9v06</v>
          </cell>
          <cell r="F94" t="str">
            <v>AQU4518R9v06</v>
          </cell>
          <cell r="G94" t="str">
            <v>GMEKA1S3</v>
          </cell>
        </row>
        <row r="95">
          <cell r="D95" t="str">
            <v>AQU4518R9v06</v>
          </cell>
          <cell r="E95" t="str">
            <v>AQU4518R9v06</v>
          </cell>
          <cell r="F95" t="str">
            <v>AQU4518R9v06</v>
          </cell>
          <cell r="G95" t="str">
            <v>GMEKA2S1</v>
          </cell>
        </row>
        <row r="96">
          <cell r="D96" t="str">
            <v>AQU4518R9v06</v>
          </cell>
          <cell r="E96" t="str">
            <v>AQU4518R9v06</v>
          </cell>
          <cell r="F96" t="str">
            <v>AQU4518R9v06</v>
          </cell>
          <cell r="G96" t="str">
            <v>GMEKA2S2</v>
          </cell>
        </row>
        <row r="97">
          <cell r="D97" t="str">
            <v>AQU4518R9v06</v>
          </cell>
          <cell r="E97" t="str">
            <v>AQU4518R9v06</v>
          </cell>
          <cell r="F97" t="str">
            <v>AQU4518R9v06</v>
          </cell>
          <cell r="G97" t="str">
            <v>GMEKA2S3</v>
          </cell>
        </row>
        <row r="98">
          <cell r="D98" t="str">
            <v>AQU4518R9v06</v>
          </cell>
          <cell r="E98" t="str">
            <v>AQU4518R9v06</v>
          </cell>
          <cell r="F98" t="str">
            <v>AQU4518R9v06</v>
          </cell>
          <cell r="G98" t="str">
            <v>GMEKA3S1</v>
          </cell>
        </row>
        <row r="99">
          <cell r="D99" t="str">
            <v>AQU4518R9v06</v>
          </cell>
          <cell r="E99" t="str">
            <v>AQU4518R9v06</v>
          </cell>
          <cell r="F99" t="str">
            <v>AQU4518R9v06</v>
          </cell>
          <cell r="G99" t="str">
            <v>GMEKA3S2</v>
          </cell>
        </row>
        <row r="100">
          <cell r="D100" t="str">
            <v>AQU4518R9v06</v>
          </cell>
          <cell r="E100" t="str">
            <v>AQU4518R9v06</v>
          </cell>
          <cell r="F100" t="str">
            <v>AQU4518R9v06</v>
          </cell>
          <cell r="G100" t="str">
            <v>GMEKA3S3</v>
          </cell>
        </row>
        <row r="101">
          <cell r="D101" t="str">
            <v>AQU4518R9v06</v>
          </cell>
          <cell r="E101" t="str">
            <v>AQU4518R9v06</v>
          </cell>
          <cell r="F101" t="str">
            <v>AQU4518R9v06</v>
          </cell>
          <cell r="G101" t="str">
            <v>GMEKA4S1</v>
          </cell>
        </row>
        <row r="102">
          <cell r="D102" t="str">
            <v>AQU4518R9v06</v>
          </cell>
          <cell r="E102" t="str">
            <v>AQU4518R9v06</v>
          </cell>
          <cell r="F102" t="str">
            <v>AQU4518R9v06</v>
          </cell>
          <cell r="G102" t="str">
            <v>GMEKA4S2</v>
          </cell>
        </row>
        <row r="103">
          <cell r="D103" t="str">
            <v>AQU4518R9v06</v>
          </cell>
          <cell r="E103" t="str">
            <v>AQU4518R9v06</v>
          </cell>
          <cell r="F103" t="str">
            <v>AQU4518R9v06</v>
          </cell>
          <cell r="G103" t="str">
            <v>GMEKA4S3</v>
          </cell>
        </row>
        <row r="104">
          <cell r="D104" t="str">
            <v>ATR4518R7v07</v>
          </cell>
          <cell r="E104" t="str">
            <v>ATR4518R7v07</v>
          </cell>
          <cell r="F104" t="str">
            <v>ATR4518R7v07</v>
          </cell>
          <cell r="G104" t="str">
            <v>GMEKA5S1</v>
          </cell>
        </row>
        <row r="105">
          <cell r="D105" t="str">
            <v>ATR4518R7v07</v>
          </cell>
          <cell r="E105" t="str">
            <v>ATR4518R7v07</v>
          </cell>
          <cell r="F105" t="str">
            <v>ATR4518R7v07</v>
          </cell>
          <cell r="G105" t="str">
            <v>GMEKA5S2</v>
          </cell>
        </row>
        <row r="106">
          <cell r="D106" t="str">
            <v>ATR4518R7v07</v>
          </cell>
          <cell r="E106" t="str">
            <v>ATR4518R7v07</v>
          </cell>
          <cell r="F106" t="str">
            <v>ATR4518R7v07</v>
          </cell>
          <cell r="G106" t="str">
            <v>GMEKA5S3</v>
          </cell>
        </row>
        <row r="107">
          <cell r="D107" t="str">
            <v>ATR4517R0v06</v>
          </cell>
          <cell r="E107" t="str">
            <v>ATR4517R0v06</v>
          </cell>
          <cell r="F107" t="str">
            <v>ATR4517R0v06</v>
          </cell>
          <cell r="G107" t="str">
            <v>GMELK1S1</v>
          </cell>
        </row>
        <row r="108">
          <cell r="D108" t="str">
            <v>ATR4517R0v06</v>
          </cell>
          <cell r="E108" t="str">
            <v>ATR4517R0v06</v>
          </cell>
          <cell r="F108" t="str">
            <v>ATR4517R0v06</v>
          </cell>
          <cell r="G108" t="str">
            <v>GMELK1S2</v>
          </cell>
        </row>
        <row r="109">
          <cell r="D109" t="str">
            <v>ATR4517R0v06</v>
          </cell>
          <cell r="E109" t="str">
            <v>ATR4517R0v06</v>
          </cell>
          <cell r="F109" t="str">
            <v>ATR4517R0v06</v>
          </cell>
          <cell r="G109" t="str">
            <v>GMELK1S3</v>
          </cell>
        </row>
        <row r="110">
          <cell r="D110" t="str">
            <v>AQU4518R9v06</v>
          </cell>
          <cell r="E110" t="str">
            <v>AQU4518R9v06</v>
          </cell>
          <cell r="F110" t="str">
            <v>AQU4518R9v06</v>
          </cell>
          <cell r="G110" t="str">
            <v>GMEMB1S1</v>
          </cell>
        </row>
        <row r="111">
          <cell r="D111" t="str">
            <v>AQU4518R9v06</v>
          </cell>
          <cell r="E111" t="str">
            <v>AQU4518R9v06</v>
          </cell>
          <cell r="F111" t="str">
            <v>AQU4518R9v06</v>
          </cell>
          <cell r="G111" t="str">
            <v>GMEMB1S2</v>
          </cell>
        </row>
        <row r="112">
          <cell r="D112" t="str">
            <v>AQU4518R9v06</v>
          </cell>
          <cell r="E112" t="str">
            <v>AQU4518R9v06</v>
          </cell>
          <cell r="F112" t="str">
            <v>AQU4518R9v06</v>
          </cell>
          <cell r="G112" t="str">
            <v>GMEMB1S3</v>
          </cell>
        </row>
        <row r="113">
          <cell r="D113" t="str">
            <v>APE4517R0v06</v>
          </cell>
          <cell r="E113" t="str">
            <v>APE4517R0v06</v>
          </cell>
          <cell r="F113" t="str">
            <v>APE4517R0v06</v>
          </cell>
          <cell r="G113" t="str">
            <v>GMETH1S1</v>
          </cell>
        </row>
        <row r="114">
          <cell r="D114" t="str">
            <v>APE4517R0v06</v>
          </cell>
          <cell r="E114" t="str">
            <v>APE4517R0v06</v>
          </cell>
          <cell r="F114" t="str">
            <v>APE4517R0v06</v>
          </cell>
          <cell r="G114" t="str">
            <v>GMETH1S2</v>
          </cell>
        </row>
        <row r="115">
          <cell r="D115" t="str">
            <v>APE4517R0v06</v>
          </cell>
          <cell r="E115" t="str">
            <v>APE4517R0v06</v>
          </cell>
          <cell r="F115" t="str">
            <v>APE4517R0v06</v>
          </cell>
          <cell r="G115" t="str">
            <v>GMETH1S3</v>
          </cell>
        </row>
        <row r="116">
          <cell r="D116" t="str">
            <v>AQU4518R9v06</v>
          </cell>
          <cell r="E116" t="str">
            <v>AQU4518R9v06</v>
          </cell>
          <cell r="F116" t="str">
            <v>AQU4518R9v06</v>
          </cell>
          <cell r="G116" t="str">
            <v>GMETH2S1</v>
          </cell>
        </row>
        <row r="117">
          <cell r="D117" t="str">
            <v>AQU4518R9v06</v>
          </cell>
          <cell r="E117" t="str">
            <v>AQU4518R9v06</v>
          </cell>
          <cell r="F117" t="str">
            <v>AQU4518R9v06</v>
          </cell>
          <cell r="G117" t="str">
            <v>GMETH2S2</v>
          </cell>
        </row>
        <row r="118">
          <cell r="D118" t="str">
            <v>AQU4518R9v06</v>
          </cell>
          <cell r="E118" t="str">
            <v>AQU4518R9v06</v>
          </cell>
          <cell r="F118" t="str">
            <v>AQU4518R9v06</v>
          </cell>
          <cell r="G118" t="str">
            <v>GMETH2S3</v>
          </cell>
        </row>
        <row r="119">
          <cell r="D119" t="str">
            <v>AQU4518R9v06</v>
          </cell>
          <cell r="E119" t="str">
            <v>AQU4518R9v06</v>
          </cell>
          <cell r="F119" t="str">
            <v>AQU4518R9v06</v>
          </cell>
          <cell r="G119" t="str">
            <v>GMFTZ1S1</v>
          </cell>
        </row>
        <row r="120">
          <cell r="D120" t="str">
            <v>AQU4518R9v06</v>
          </cell>
          <cell r="E120" t="str">
            <v>AQU4518R9v06</v>
          </cell>
          <cell r="F120" t="str">
            <v>AQU4518R9v06</v>
          </cell>
          <cell r="G120" t="str">
            <v>GMFTZ1S2</v>
          </cell>
        </row>
        <row r="121">
          <cell r="D121" t="str">
            <v>AQU4518R9v06</v>
          </cell>
          <cell r="E121" t="str">
            <v>AQU4518R9v06</v>
          </cell>
          <cell r="F121" t="str">
            <v>AQU4518R9v06</v>
          </cell>
          <cell r="G121" t="str">
            <v>GMFTZ1S3</v>
          </cell>
        </row>
        <row r="122">
          <cell r="D122" t="str">
            <v>AQU4518R9v06</v>
          </cell>
          <cell r="E122" t="str">
            <v>AQU4518R9v06</v>
          </cell>
          <cell r="F122" t="str">
            <v>AQU4518R9v06</v>
          </cell>
          <cell r="G122" t="str">
            <v>GMFTZ3S1</v>
          </cell>
        </row>
        <row r="123">
          <cell r="D123" t="str">
            <v>AQU4518R9v06</v>
          </cell>
          <cell r="E123" t="str">
            <v>AQU4518R9v06</v>
          </cell>
          <cell r="F123" t="str">
            <v>AQU4518R9v06</v>
          </cell>
          <cell r="G123" t="str">
            <v>GMFTZ3S2</v>
          </cell>
        </row>
        <row r="124">
          <cell r="D124" t="str">
            <v>AQU4518R9v06</v>
          </cell>
          <cell r="E124" t="str">
            <v>AQU4518R9v06</v>
          </cell>
          <cell r="F124" t="str">
            <v>AQU4518R9v06</v>
          </cell>
          <cell r="G124" t="str">
            <v>GMFTZ3S3</v>
          </cell>
        </row>
        <row r="125">
          <cell r="D125" t="str">
            <v>AQU4518R9v06</v>
          </cell>
          <cell r="E125" t="str">
            <v>AQU4518R9v06</v>
          </cell>
          <cell r="F125" t="str">
            <v>AQU4518R9v06</v>
          </cell>
          <cell r="G125" t="str">
            <v>GMGAL1S3</v>
          </cell>
        </row>
        <row r="126">
          <cell r="D126" t="str"/>
          <cell r="E126" t="str">
            <v>AMB4519R6v06</v>
          </cell>
          <cell r="F126" t="str"/>
          <cell r="G126" t="str">
            <v>GMGAM1NA</v>
          </cell>
        </row>
        <row r="127">
          <cell r="D127" t="str">
            <v>AQU4518R9v06</v>
          </cell>
          <cell r="E127" t="str">
            <v>AQU4518R9v06</v>
          </cell>
          <cell r="F127" t="str">
            <v>AQU4518R9v06</v>
          </cell>
          <cell r="G127" t="str">
            <v>GMGAM1S1</v>
          </cell>
        </row>
        <row r="128">
          <cell r="D128" t="str">
            <v>AQU4518R9v06</v>
          </cell>
          <cell r="E128" t="str">
            <v>AQU4518R9v06</v>
          </cell>
          <cell r="F128" t="str">
            <v>AQU4518R9v06</v>
          </cell>
          <cell r="G128" t="str">
            <v>GMGAM1S2</v>
          </cell>
        </row>
        <row r="129">
          <cell r="D129" t="str">
            <v>AQU4518R9v06</v>
          </cell>
          <cell r="E129" t="str"/>
          <cell r="F129" t="str"/>
          <cell r="G129" t="str">
            <v>GMGAM1S3</v>
          </cell>
        </row>
        <row r="130">
          <cell r="D130" t="str"/>
          <cell r="E130" t="str">
            <v>AMB4519R6v06</v>
          </cell>
          <cell r="F130" t="str"/>
          <cell r="G130" t="str">
            <v>GMGAM2NA</v>
          </cell>
        </row>
        <row r="131">
          <cell r="D131" t="str">
            <v>AQU4518R9v06</v>
          </cell>
          <cell r="E131" t="str">
            <v>AQU4518R9v06</v>
          </cell>
          <cell r="F131" t="str">
            <v>AQU4518R9v06</v>
          </cell>
          <cell r="G131" t="str">
            <v>GMGAM2S2</v>
          </cell>
        </row>
        <row r="132">
          <cell r="D132" t="str">
            <v>AQU4518R9v06</v>
          </cell>
          <cell r="E132" t="str">
            <v>AQU4518R9v06</v>
          </cell>
          <cell r="F132" t="str">
            <v>AQU4518R9v06</v>
          </cell>
          <cell r="G132" t="str">
            <v>GMGAM2S3</v>
          </cell>
        </row>
        <row r="133">
          <cell r="D133" t="str"/>
          <cell r="E133" t="str"/>
          <cell r="F133" t="str">
            <v>AQU4518R9v06</v>
          </cell>
          <cell r="G133" t="str">
            <v>GMGAM3S1</v>
          </cell>
        </row>
        <row r="134">
          <cell r="D134" t="str"/>
          <cell r="E134" t="str"/>
          <cell r="F134" t="str">
            <v>AQU4518R9v06</v>
          </cell>
          <cell r="G134" t="str">
            <v>GMGAM3S2</v>
          </cell>
        </row>
        <row r="135">
          <cell r="D135" t="str"/>
          <cell r="E135" t="str"/>
          <cell r="F135" t="str">
            <v>AQU4518R9v06</v>
          </cell>
          <cell r="G135" t="str">
            <v>GMGAM3S3</v>
          </cell>
        </row>
        <row r="136">
          <cell r="D136" t="str"/>
          <cell r="E136" t="str">
            <v>A10244PD00v06</v>
          </cell>
          <cell r="F136" t="str"/>
          <cell r="G136" t="str">
            <v>GMGAM3NA</v>
          </cell>
        </row>
        <row r="137">
          <cell r="D137" t="str">
            <v>AQU4518R9v06</v>
          </cell>
          <cell r="E137" t="str">
            <v>AQU4518R9v06</v>
          </cell>
          <cell r="F137" t="str"/>
          <cell r="G137" t="str">
            <v>GMGAM3S1</v>
          </cell>
        </row>
        <row r="138">
          <cell r="D138" t="str">
            <v>A10244PD00v06</v>
          </cell>
          <cell r="E138" t="str"/>
          <cell r="F138" t="str"/>
          <cell r="G138" t="str">
            <v>GMGAM3S2</v>
          </cell>
        </row>
        <row r="139">
          <cell r="D139" t="str">
            <v>AQU4518R9v06</v>
          </cell>
          <cell r="E139" t="str">
            <v>AQU4518R9v06</v>
          </cell>
          <cell r="F139" t="str"/>
          <cell r="G139" t="str">
            <v>GMGAM3S3</v>
          </cell>
        </row>
        <row r="140">
          <cell r="D140" t="str">
            <v>AQU4518R9v06</v>
          </cell>
          <cell r="E140" t="str">
            <v>AQU4518R9v06</v>
          </cell>
          <cell r="F140" t="str">
            <v>AQU4518R9v06</v>
          </cell>
          <cell r="G140" t="str">
            <v>GMGAM4S1</v>
          </cell>
        </row>
        <row r="141">
          <cell r="D141" t="str">
            <v>AQU4518R9v06</v>
          </cell>
          <cell r="E141" t="str">
            <v>AQU4518R9v06</v>
          </cell>
          <cell r="F141" t="str">
            <v>AQU4518R9v06</v>
          </cell>
          <cell r="G141" t="str">
            <v>GMGAM4S2</v>
          </cell>
        </row>
        <row r="142">
          <cell r="D142" t="str">
            <v>AQU4518R9v06</v>
          </cell>
          <cell r="E142" t="str">
            <v>AQU4518R9v06</v>
          </cell>
          <cell r="F142" t="str">
            <v>AQU4518R9v06</v>
          </cell>
          <cell r="G142" t="str">
            <v>GMGAM4S3</v>
          </cell>
        </row>
        <row r="143">
          <cell r="D143" t="str">
            <v>AQU4518R9v06</v>
          </cell>
          <cell r="E143" t="str">
            <v>AQU4518R9v06</v>
          </cell>
          <cell r="F143" t="str">
            <v>AQU4518R9v06</v>
          </cell>
          <cell r="G143" t="str">
            <v>GMGAM5S1</v>
          </cell>
        </row>
        <row r="144">
          <cell r="D144" t="str">
            <v>AQU4518R9v06</v>
          </cell>
          <cell r="E144" t="str">
            <v>AQU4518R9v06</v>
          </cell>
          <cell r="F144" t="str">
            <v>AQU4518R9v06</v>
          </cell>
          <cell r="G144" t="str">
            <v>GMGAM5S2</v>
          </cell>
        </row>
        <row r="145">
          <cell r="D145" t="str">
            <v>AQU4518R9v06</v>
          </cell>
          <cell r="E145" t="str">
            <v>AQU4518R9v06</v>
          </cell>
          <cell r="F145" t="str">
            <v>AQU4518R9v06</v>
          </cell>
          <cell r="G145" t="str">
            <v>GMGAM5S3</v>
          </cell>
        </row>
        <row r="146">
          <cell r="D146" t="str">
            <v>AQU4518R9v06</v>
          </cell>
          <cell r="E146" t="str"/>
          <cell r="F146" t="str"/>
          <cell r="G146" t="str">
            <v>GMGAM6S1</v>
          </cell>
        </row>
        <row r="147">
          <cell r="D147" t="str">
            <v>AQU4518R9v06</v>
          </cell>
          <cell r="E147" t="str"/>
          <cell r="F147" t="str"/>
          <cell r="G147" t="str">
            <v>GMGAM6S2</v>
          </cell>
        </row>
        <row r="148">
          <cell r="D148" t="str">
            <v>AQU4518R9v06</v>
          </cell>
          <cell r="E148" t="str"/>
          <cell r="F148" t="str"/>
          <cell r="G148" t="str">
            <v>GMGAM6S3</v>
          </cell>
        </row>
        <row r="149">
          <cell r="D149" t="str"/>
          <cell r="E149" t="str">
            <v>AQU4518R9v06</v>
          </cell>
          <cell r="F149" t="str">
            <v>AQU4518R9v06</v>
          </cell>
          <cell r="G149" t="str">
            <v>GMGAM6S1</v>
          </cell>
        </row>
        <row r="150">
          <cell r="D150" t="str"/>
          <cell r="E150" t="str">
            <v>AQU4518R9v06</v>
          </cell>
          <cell r="F150" t="str">
            <v>AQU4518R9v06</v>
          </cell>
          <cell r="G150" t="str">
            <v>GMGAM6S2</v>
          </cell>
        </row>
        <row r="151">
          <cell r="D151" t="str"/>
          <cell r="E151" t="str">
            <v>AQU4518R9v06</v>
          </cell>
          <cell r="F151" t="str">
            <v>AQU4518R9v06</v>
          </cell>
          <cell r="G151" t="str">
            <v>GMGAM6S3</v>
          </cell>
        </row>
        <row r="152">
          <cell r="D152" t="str">
            <v>AQU4518R9v06</v>
          </cell>
          <cell r="E152" t="str">
            <v>AQU4518R9v06</v>
          </cell>
          <cell r="F152" t="str">
            <v>AQU4518R9v06</v>
          </cell>
          <cell r="G152" t="str">
            <v>GMGAN1S1</v>
          </cell>
        </row>
        <row r="153">
          <cell r="D153" t="str">
            <v>AQU4518R9v06</v>
          </cell>
          <cell r="E153" t="str">
            <v>AQU4518R9v06</v>
          </cell>
          <cell r="F153" t="str">
            <v>AQU4518R9v06</v>
          </cell>
          <cell r="G153" t="str">
            <v>GMGAN1S2</v>
          </cell>
        </row>
        <row r="154">
          <cell r="D154" t="str">
            <v>AQU4518R9v06</v>
          </cell>
          <cell r="E154" t="str">
            <v>AQU4518R9v06</v>
          </cell>
          <cell r="F154" t="str">
            <v>AQU4518R9v06</v>
          </cell>
          <cell r="G154" t="str">
            <v>GMGAN1S3</v>
          </cell>
        </row>
        <row r="155">
          <cell r="D155" t="str">
            <v>AQU4518R9v06</v>
          </cell>
          <cell r="E155" t="str">
            <v>AQU4518R9v06</v>
          </cell>
          <cell r="F155" t="str">
            <v>AQU4518R9v06</v>
          </cell>
          <cell r="G155" t="str">
            <v>GMGAN2S1</v>
          </cell>
        </row>
        <row r="156">
          <cell r="D156" t="str">
            <v>AQU4518R9v06</v>
          </cell>
          <cell r="E156" t="str">
            <v>AQU4518R9v06</v>
          </cell>
          <cell r="F156" t="str">
            <v>AQU4518R9v06</v>
          </cell>
          <cell r="G156" t="str">
            <v>GMGAN2S2</v>
          </cell>
        </row>
        <row r="157">
          <cell r="D157" t="str">
            <v>AQU4518R9v06</v>
          </cell>
          <cell r="E157" t="str">
            <v>AQU4518R9v06</v>
          </cell>
          <cell r="F157" t="str">
            <v>AQU4518R9v06</v>
          </cell>
          <cell r="G157" t="str">
            <v>GMGAN2S3</v>
          </cell>
        </row>
        <row r="158">
          <cell r="D158" t="str">
            <v>ATR4518R7v07</v>
          </cell>
          <cell r="E158" t="str">
            <v>ATR4518R7v07</v>
          </cell>
          <cell r="F158" t="str">
            <v>ATR4518R7v07</v>
          </cell>
          <cell r="G158" t="str">
            <v>GMGNG1S1</v>
          </cell>
        </row>
        <row r="159">
          <cell r="D159" t="str">
            <v>ATR4518R7v07</v>
          </cell>
          <cell r="E159" t="str">
            <v>ATR4518R7v07</v>
          </cell>
          <cell r="F159" t="str">
            <v>ATR4518R7v07</v>
          </cell>
          <cell r="G159" t="str">
            <v>GMGNG1S2</v>
          </cell>
        </row>
        <row r="160">
          <cell r="D160" t="str">
            <v>ATR4518R7v07</v>
          </cell>
          <cell r="E160" t="str">
            <v>ATR4518R7v07</v>
          </cell>
          <cell r="F160" t="str">
            <v>ATR4518R7v07</v>
          </cell>
          <cell r="G160" t="str">
            <v>GMGNG1S3</v>
          </cell>
        </row>
        <row r="161">
          <cell r="D161" t="str"/>
          <cell r="E161" t="str">
            <v>ADU4518R6v06</v>
          </cell>
          <cell r="F161" t="str"/>
          <cell r="G161" t="str">
            <v>GMHAM1S1</v>
          </cell>
        </row>
        <row r="162">
          <cell r="D162" t="str"/>
          <cell r="E162" t="str">
            <v>ADU4518R6v06</v>
          </cell>
          <cell r="F162" t="str"/>
          <cell r="G162" t="str">
            <v>GMHAM1S2</v>
          </cell>
        </row>
        <row r="163">
          <cell r="D163" t="str"/>
          <cell r="E163" t="str">
            <v>ADU4518R6v06</v>
          </cell>
          <cell r="F163" t="str"/>
          <cell r="G163" t="str">
            <v>GMHAM1S3</v>
          </cell>
        </row>
        <row r="164">
          <cell r="D164" t="str"/>
          <cell r="E164" t="str">
            <v>AMB4519R6v06</v>
          </cell>
          <cell r="F164" t="str"/>
          <cell r="G164" t="str">
            <v>GMHEN1NA</v>
          </cell>
        </row>
        <row r="165">
          <cell r="D165" t="str">
            <v>AQU4518R9v06</v>
          </cell>
          <cell r="E165" t="str">
            <v>AQU4518R9v06</v>
          </cell>
          <cell r="F165" t="str">
            <v>AQU4518R9v06</v>
          </cell>
          <cell r="G165" t="str">
            <v>GMHEN1S1</v>
          </cell>
        </row>
        <row r="166">
          <cell r="D166" t="str">
            <v>AQU4518R9v06</v>
          </cell>
          <cell r="E166" t="str">
            <v>AQU4518R9v06</v>
          </cell>
          <cell r="F166" t="str">
            <v>AQU4518R9v06</v>
          </cell>
          <cell r="G166" t="str">
            <v>GMHEN1S2</v>
          </cell>
        </row>
        <row r="167">
          <cell r="D167" t="str">
            <v>AQU4518R9v06</v>
          </cell>
          <cell r="E167" t="str"/>
          <cell r="F167" t="str"/>
          <cell r="G167" t="str">
            <v>GMHEN1S3</v>
          </cell>
        </row>
        <row r="168">
          <cell r="D168" t="str"/>
          <cell r="E168" t="str">
            <v>AQU4518R9v06</v>
          </cell>
          <cell r="F168" t="str"/>
          <cell r="G168" t="str">
            <v>GMHEN1S4</v>
          </cell>
        </row>
        <row r="169">
          <cell r="D169" t="str">
            <v>AQU4518R9v06</v>
          </cell>
          <cell r="E169" t="str">
            <v>AQU4518R9v06</v>
          </cell>
          <cell r="F169" t="str">
            <v>AQU4518R9v06</v>
          </cell>
          <cell r="G169" t="str">
            <v>GMHEN2S1</v>
          </cell>
        </row>
        <row r="170">
          <cell r="D170" t="str">
            <v>AQU4518R9v06</v>
          </cell>
          <cell r="E170" t="str">
            <v>AQU4518R9v06</v>
          </cell>
          <cell r="F170" t="str">
            <v>AQU4518R9v06</v>
          </cell>
          <cell r="G170" t="str">
            <v>GMHEN2S2</v>
          </cell>
        </row>
        <row r="171">
          <cell r="D171" t="str">
            <v>APE4517R0v06</v>
          </cell>
          <cell r="E171" t="str"/>
          <cell r="F171" t="str"/>
          <cell r="G171" t="str">
            <v>GMHIN1S2</v>
          </cell>
        </row>
        <row r="172">
          <cell r="D172" t="str">
            <v>APE4517R0v06</v>
          </cell>
          <cell r="E172" t="str">
            <v>APE4517R0v06</v>
          </cell>
          <cell r="F172" t="str">
            <v>APE4517R0v06</v>
          </cell>
          <cell r="G172" t="str">
            <v>GMHIN1S2</v>
          </cell>
        </row>
        <row r="173">
          <cell r="D173" t="str">
            <v>AQU4518R9v06</v>
          </cell>
          <cell r="E173" t="str">
            <v>AQU4518R9v06</v>
          </cell>
          <cell r="F173" t="str">
            <v>AQU4518R9v06</v>
          </cell>
          <cell r="G173" t="str">
            <v>GMHIN1S3</v>
          </cell>
        </row>
        <row r="174">
          <cell r="D174" t="str">
            <v>APE4517R0v06</v>
          </cell>
          <cell r="E174" t="str">
            <v>APE4517R0v06</v>
          </cell>
          <cell r="F174" t="str">
            <v>APE4517R0v06</v>
          </cell>
          <cell r="G174" t="str">
            <v>GMHIN2S1</v>
          </cell>
        </row>
        <row r="175">
          <cell r="D175" t="str">
            <v>APE4517R0v06</v>
          </cell>
          <cell r="E175" t="str">
            <v>APE4517R0v06</v>
          </cell>
          <cell r="F175" t="str">
            <v>APE4517R0v06</v>
          </cell>
          <cell r="G175" t="str">
            <v>GMHIN2S2</v>
          </cell>
        </row>
        <row r="176">
          <cell r="D176" t="str">
            <v>APE4517R0v06</v>
          </cell>
          <cell r="E176" t="str">
            <v>APE4517R0v06</v>
          </cell>
          <cell r="F176" t="str">
            <v>APE4517R0v06</v>
          </cell>
          <cell r="G176" t="str">
            <v>GMHIN2S3</v>
          </cell>
        </row>
        <row r="177">
          <cell r="D177" t="str"/>
          <cell r="E177" t="str">
            <v>ADU4518R6v06</v>
          </cell>
          <cell r="F177" t="str"/>
          <cell r="G177" t="str">
            <v>GMHNG1S1</v>
          </cell>
        </row>
        <row r="178">
          <cell r="D178" t="str"/>
          <cell r="E178" t="str">
            <v>ADU4518R6v06</v>
          </cell>
          <cell r="F178" t="str"/>
          <cell r="G178" t="str">
            <v>GMHNG1S2</v>
          </cell>
        </row>
        <row r="179">
          <cell r="D179" t="str"/>
          <cell r="E179" t="str">
            <v>ADU4518R6v06</v>
          </cell>
          <cell r="F179" t="str"/>
          <cell r="G179" t="str">
            <v>GMHNG1S3</v>
          </cell>
        </row>
        <row r="180">
          <cell r="D180" t="str">
            <v>AQU4518R9v06</v>
          </cell>
          <cell r="E180" t="str">
            <v>AQU4518R9v06</v>
          </cell>
          <cell r="F180" t="str">
            <v>AQU4518R9v06</v>
          </cell>
          <cell r="G180" t="str">
            <v>GMIMB1S1</v>
          </cell>
        </row>
        <row r="181">
          <cell r="D181" t="str">
            <v>AQU4518R9v06</v>
          </cell>
          <cell r="E181" t="str">
            <v>AQU4518R9v06</v>
          </cell>
          <cell r="F181" t="str">
            <v>AQU4518R9v06</v>
          </cell>
          <cell r="G181" t="str">
            <v>GMIMB1S2</v>
          </cell>
        </row>
        <row r="182">
          <cell r="D182" t="str">
            <v>AQU4518R9v06</v>
          </cell>
          <cell r="E182" t="str">
            <v>AQU4518R9v06</v>
          </cell>
          <cell r="F182" t="str">
            <v>AQU4518R9v06</v>
          </cell>
          <cell r="G182" t="str">
            <v>GMIMB1S3</v>
          </cell>
        </row>
        <row r="183">
          <cell r="D183" t="str">
            <v>AMB4519R6v06</v>
          </cell>
          <cell r="E183" t="str">
            <v>AMB4519R6v06</v>
          </cell>
          <cell r="F183" t="str">
            <v>AMB4519R6v06</v>
          </cell>
          <cell r="G183" t="str">
            <v>GMIMB1S4</v>
          </cell>
        </row>
        <row r="184">
          <cell r="D184" t="str"/>
          <cell r="E184" t="str"/>
          <cell r="F184" t="str">
            <v>AQU4518R9v06</v>
          </cell>
          <cell r="G184" t="str">
            <v>GMIND1S4</v>
          </cell>
        </row>
        <row r="185">
          <cell r="D185" t="str">
            <v>AQU4518R9v06</v>
          </cell>
          <cell r="E185" t="str"/>
          <cell r="F185" t="str"/>
          <cell r="G185" t="str">
            <v>GMIND1S4</v>
          </cell>
        </row>
        <row r="186">
          <cell r="D186" t="str">
            <v>AQU4518R9v06</v>
          </cell>
          <cell r="E186" t="str">
            <v>AQU4518R9v06</v>
          </cell>
          <cell r="F186" t="str">
            <v>AQU4518R9v06</v>
          </cell>
          <cell r="G186" t="str">
            <v>GMIND1S2</v>
          </cell>
        </row>
        <row r="187">
          <cell r="D187" t="str"/>
          <cell r="E187" t="str">
            <v>AQU4518R9v06</v>
          </cell>
          <cell r="F187" t="str"/>
          <cell r="G187" t="str">
            <v>GMIND1S4</v>
          </cell>
        </row>
        <row r="188">
          <cell r="D188" t="str"/>
          <cell r="E188" t="str">
            <v>AQU4518R9v06</v>
          </cell>
          <cell r="F188" t="str">
            <v>AQU4518R9v06</v>
          </cell>
          <cell r="G188" t="str">
            <v>GMIND2S1</v>
          </cell>
        </row>
        <row r="189">
          <cell r="D189" t="str"/>
          <cell r="E189" t="str">
            <v>AQU4518R9v06</v>
          </cell>
          <cell r="F189" t="str">
            <v>AQU4518R9v06</v>
          </cell>
          <cell r="G189" t="str">
            <v>GMIND2S2</v>
          </cell>
        </row>
        <row r="190">
          <cell r="D190" t="str"/>
          <cell r="E190" t="str">
            <v>AQU4518R9v06</v>
          </cell>
          <cell r="F190" t="str">
            <v>AQU4518R9v06</v>
          </cell>
          <cell r="G190" t="str">
            <v>GMIND2S3</v>
          </cell>
        </row>
        <row r="191">
          <cell r="D191" t="str"/>
          <cell r="E191" t="str">
            <v>AQU4518R9v06</v>
          </cell>
          <cell r="F191" t="str"/>
          <cell r="G191" t="str">
            <v>GMKAL2S1</v>
          </cell>
        </row>
        <row r="192">
          <cell r="D192" t="str"/>
          <cell r="E192" t="str">
            <v>AQU4518R9v06</v>
          </cell>
          <cell r="F192" t="str"/>
          <cell r="G192" t="str">
            <v>GMKAL2S2</v>
          </cell>
        </row>
        <row r="193">
          <cell r="D193" t="str"/>
          <cell r="E193" t="str"/>
          <cell r="F193" t="str">
            <v>AQU4518R9v06</v>
          </cell>
          <cell r="G193" t="str">
            <v>GMKAL2S1</v>
          </cell>
        </row>
        <row r="194">
          <cell r="D194" t="str"/>
          <cell r="E194" t="str"/>
          <cell r="F194" t="str">
            <v>AQU4518R9v06</v>
          </cell>
          <cell r="G194" t="str">
            <v>GMKAL2S2</v>
          </cell>
        </row>
        <row r="195">
          <cell r="D195" t="str">
            <v>AQU4518R9v06</v>
          </cell>
          <cell r="E195" t="str"/>
          <cell r="F195" t="str"/>
          <cell r="G195" t="str">
            <v>GMKAL2S1</v>
          </cell>
        </row>
        <row r="196">
          <cell r="D196" t="str">
            <v>AQU4518R9v06</v>
          </cell>
          <cell r="E196" t="str"/>
          <cell r="F196" t="str"/>
          <cell r="G196" t="str">
            <v>GMKAL2S2</v>
          </cell>
        </row>
        <row r="197">
          <cell r="D197" t="str"/>
          <cell r="E197" t="str">
            <v>AQU4518R9v06</v>
          </cell>
          <cell r="F197" t="str">
            <v>AQU4518R9v06</v>
          </cell>
          <cell r="G197" t="str">
            <v>GMKAL2NA</v>
          </cell>
        </row>
        <row r="198">
          <cell r="D198" t="str"/>
          <cell r="E198" t="str">
            <v>AQU4518R9v06</v>
          </cell>
          <cell r="F198" t="str"/>
          <cell r="G198" t="str">
            <v>GMKAL2S1</v>
          </cell>
        </row>
        <row r="199">
          <cell r="D199" t="str"/>
          <cell r="E199" t="str">
            <v>AQU4518R9v06</v>
          </cell>
          <cell r="F199" t="str"/>
          <cell r="G199" t="str">
            <v>GMKAL2S2</v>
          </cell>
        </row>
        <row r="200">
          <cell r="D200" t="str">
            <v>AQU4518R9v06</v>
          </cell>
          <cell r="E200" t="str"/>
          <cell r="F200" t="str"/>
          <cell r="G200" t="str">
            <v>GMKAL2S3</v>
          </cell>
        </row>
        <row r="201">
          <cell r="D201" t="str">
            <v>AQU4518R9v06</v>
          </cell>
          <cell r="E201" t="str">
            <v>AQU4518R9v06</v>
          </cell>
          <cell r="F201" t="str">
            <v>AQU4518R9v06</v>
          </cell>
          <cell r="G201" t="str">
            <v>GMKAM1S1</v>
          </cell>
        </row>
        <row r="202">
          <cell r="D202" t="str">
            <v>AQU4518R9v06</v>
          </cell>
          <cell r="E202" t="str">
            <v>AQU4518R9v06</v>
          </cell>
          <cell r="F202" t="str">
            <v>AQU4518R9v06</v>
          </cell>
          <cell r="G202" t="str">
            <v>GMKAM1S2</v>
          </cell>
        </row>
        <row r="203">
          <cell r="D203" t="str">
            <v>AQU4518R9v06</v>
          </cell>
          <cell r="E203" t="str">
            <v>AQU4518R9v06</v>
          </cell>
          <cell r="F203" t="str">
            <v>AQU4518R9v06</v>
          </cell>
          <cell r="G203" t="str">
            <v>GMKAM1S3</v>
          </cell>
        </row>
        <row r="204">
          <cell r="D204" t="str">
            <v>AQU4518R9v06</v>
          </cell>
          <cell r="E204" t="str">
            <v>AQU4518R9v06</v>
          </cell>
          <cell r="F204" t="str">
            <v>AQU4518R9v06</v>
          </cell>
          <cell r="G204" t="str">
            <v>GMKAT1S1</v>
          </cell>
        </row>
        <row r="205">
          <cell r="D205" t="str">
            <v>AQU4518R9v06</v>
          </cell>
          <cell r="E205" t="str">
            <v>AQU4518R9v06</v>
          </cell>
          <cell r="F205" t="str">
            <v>AQU4518R9v06</v>
          </cell>
          <cell r="G205" t="str">
            <v>GMKAT1S2</v>
          </cell>
        </row>
        <row r="206">
          <cell r="D206" t="str">
            <v>AQU4518R9v06</v>
          </cell>
          <cell r="E206" t="str">
            <v>AQU4518R9v06</v>
          </cell>
          <cell r="F206" t="str">
            <v>AQU4518R9v06</v>
          </cell>
          <cell r="G206" t="str">
            <v>GMKAT1S3</v>
          </cell>
        </row>
        <row r="207">
          <cell r="D207" t="str">
            <v>APE4517R0v06</v>
          </cell>
          <cell r="E207" t="str">
            <v>APE4517R0v06</v>
          </cell>
          <cell r="F207" t="str">
            <v>APE4517R0v06</v>
          </cell>
          <cell r="G207" t="str">
            <v>GMKBG1S1</v>
          </cell>
        </row>
        <row r="208">
          <cell r="D208" t="str">
            <v>APE4517R0v06</v>
          </cell>
          <cell r="E208" t="str">
            <v>APE4517R0v06</v>
          </cell>
          <cell r="F208" t="str">
            <v>APE4517R0v06</v>
          </cell>
          <cell r="G208" t="str">
            <v>GMKBG1S2</v>
          </cell>
        </row>
        <row r="209">
          <cell r="D209" t="str">
            <v>APE4517R0v06</v>
          </cell>
          <cell r="E209" t="str">
            <v>APE4517R0v06</v>
          </cell>
          <cell r="F209" t="str">
            <v>APE4517R0v06</v>
          </cell>
          <cell r="G209" t="str">
            <v>GMKBG1S3</v>
          </cell>
        </row>
        <row r="210">
          <cell r="D210" t="str"/>
          <cell r="E210" t="str">
            <v>AMB4519R6v06</v>
          </cell>
          <cell r="F210" t="str"/>
          <cell r="G210" t="str">
            <v>GMKDR1NA</v>
          </cell>
        </row>
        <row r="211">
          <cell r="D211" t="str">
            <v>AQU4518R9v06</v>
          </cell>
          <cell r="E211" t="str">
            <v>AQU4518R9v06</v>
          </cell>
          <cell r="F211" t="str">
            <v>AQU4518R9v06</v>
          </cell>
          <cell r="G211" t="str">
            <v>GMKDR1S1</v>
          </cell>
        </row>
        <row r="212">
          <cell r="D212" t="str">
            <v>AQU4518R9v06</v>
          </cell>
          <cell r="E212" t="str"/>
          <cell r="F212" t="str"/>
          <cell r="G212" t="str">
            <v>GMKDR1S2</v>
          </cell>
        </row>
        <row r="213">
          <cell r="D213" t="str">
            <v>AQU4518R9v06</v>
          </cell>
          <cell r="E213" t="str"/>
          <cell r="F213" t="str"/>
          <cell r="G213" t="str">
            <v>GMKDR1S3</v>
          </cell>
        </row>
        <row r="214">
          <cell r="D214" t="str">
            <v>AQU4518R9v06</v>
          </cell>
          <cell r="E214" t="str">
            <v>AQU4518R9v06</v>
          </cell>
          <cell r="F214" t="str">
            <v>AQU4518R9v06</v>
          </cell>
          <cell r="G214" t="str">
            <v>GMKEE1S1</v>
          </cell>
        </row>
        <row r="215">
          <cell r="D215" t="str">
            <v>AQU4518R9v06</v>
          </cell>
          <cell r="E215" t="str">
            <v>AQU4518R9v06</v>
          </cell>
          <cell r="F215" t="str">
            <v>AQU4518R9v06</v>
          </cell>
          <cell r="G215" t="str">
            <v>GMKEE1S3</v>
          </cell>
        </row>
        <row r="216">
          <cell r="D216" t="str">
            <v>AQU4518R9v06</v>
          </cell>
          <cell r="E216" t="str">
            <v>AQU4518R9v06</v>
          </cell>
          <cell r="F216" t="str">
            <v>AQU4518R9v06</v>
          </cell>
          <cell r="G216" t="str">
            <v>GMKGD1S1</v>
          </cell>
        </row>
        <row r="217">
          <cell r="D217" t="str">
            <v>AQU4518R9v06</v>
          </cell>
          <cell r="E217" t="str">
            <v>AQU4518R9v06</v>
          </cell>
          <cell r="F217" t="str">
            <v>AQU4518R9v06</v>
          </cell>
          <cell r="G217" t="str">
            <v>GMKGD1S2</v>
          </cell>
        </row>
        <row r="218">
          <cell r="D218" t="str">
            <v>A10244PD00v06</v>
          </cell>
          <cell r="E218" t="str">
            <v>A10244PD00v06</v>
          </cell>
          <cell r="F218" t="str">
            <v>A10244PD00v06</v>
          </cell>
          <cell r="G218" t="str">
            <v>GMKGD1S3</v>
          </cell>
        </row>
        <row r="219">
          <cell r="D219" t="str">
            <v>APE4517R0v06</v>
          </cell>
          <cell r="E219" t="str">
            <v>APE4517R0v06</v>
          </cell>
          <cell r="F219" t="str">
            <v>APE4517R0v06</v>
          </cell>
          <cell r="G219" t="str">
            <v>GMKID1S1</v>
          </cell>
        </row>
        <row r="220">
          <cell r="D220" t="str">
            <v>APE4517R0v06</v>
          </cell>
          <cell r="E220" t="str">
            <v>APE4517R0v06</v>
          </cell>
          <cell r="F220" t="str">
            <v>APE4517R0v06</v>
          </cell>
          <cell r="G220" t="str">
            <v>GMKID1S2</v>
          </cell>
        </row>
        <row r="221">
          <cell r="D221" t="str">
            <v>APE4517R0v06</v>
          </cell>
          <cell r="E221" t="str">
            <v>APE4517R0v06</v>
          </cell>
          <cell r="F221" t="str">
            <v>APE4517R0v06</v>
          </cell>
          <cell r="G221" t="str">
            <v>GMKID1S3</v>
          </cell>
        </row>
        <row r="222">
          <cell r="D222" t="str">
            <v>AQU4518R9v06</v>
          </cell>
          <cell r="E222" t="str">
            <v>AQU4518R9v06</v>
          </cell>
          <cell r="F222" t="str">
            <v>AQU4518R9v06</v>
          </cell>
          <cell r="G222" t="str">
            <v>GMKIR1S2</v>
          </cell>
        </row>
        <row r="223">
          <cell r="D223" t="str">
            <v>AQU4518R9v06</v>
          </cell>
          <cell r="E223" t="str">
            <v>AQU4518R9v06</v>
          </cell>
          <cell r="F223" t="str">
            <v>AQU4518R9v06</v>
          </cell>
          <cell r="G223" t="str">
            <v>GMKIR2S1</v>
          </cell>
        </row>
        <row r="224">
          <cell r="D224" t="str">
            <v>AQU4518R9v06</v>
          </cell>
          <cell r="E224" t="str">
            <v>AQU4518R9v06</v>
          </cell>
          <cell r="F224" t="str">
            <v>AQU4518R9v06</v>
          </cell>
          <cell r="G224" t="str">
            <v>GMKIR2S3</v>
          </cell>
        </row>
        <row r="225">
          <cell r="D225" t="str">
            <v>AQU4518R9v06</v>
          </cell>
          <cell r="E225" t="str">
            <v>AQU4518R9v06</v>
          </cell>
          <cell r="F225" t="str">
            <v>AQU4518R9v06</v>
          </cell>
          <cell r="G225" t="str">
            <v>GMKIT1S1</v>
          </cell>
        </row>
        <row r="226">
          <cell r="D226" t="str">
            <v>AQU4518R9v06</v>
          </cell>
          <cell r="E226" t="str">
            <v>AQU4518R9v06</v>
          </cell>
          <cell r="F226" t="str">
            <v>AQU4518R9v06</v>
          </cell>
          <cell r="G226" t="str">
            <v>GMKIT1S2</v>
          </cell>
        </row>
        <row r="227">
          <cell r="D227" t="str">
            <v>AQU4518R9v06</v>
          </cell>
          <cell r="E227" t="str">
            <v>AQU4518R9v06</v>
          </cell>
          <cell r="F227" t="str">
            <v>AQU4518R9v06</v>
          </cell>
          <cell r="G227" t="str">
            <v>GMKIT1S3</v>
          </cell>
        </row>
        <row r="228">
          <cell r="D228" t="str">
            <v>AQU4518R9v06</v>
          </cell>
          <cell r="E228" t="str">
            <v>AQU4518R9v06</v>
          </cell>
          <cell r="F228" t="str">
            <v>AQU4518R9v06</v>
          </cell>
          <cell r="G228" t="str">
            <v>GMKLE1S1</v>
          </cell>
        </row>
        <row r="229">
          <cell r="D229" t="str">
            <v>AQU4518R9v06</v>
          </cell>
          <cell r="E229" t="str">
            <v>AQU4518R9v06</v>
          </cell>
          <cell r="F229" t="str">
            <v>AQU4518R9v06</v>
          </cell>
          <cell r="G229" t="str">
            <v>GMKLE1S2</v>
          </cell>
        </row>
        <row r="230">
          <cell r="D230" t="str">
            <v>AQU4518R9v06</v>
          </cell>
          <cell r="E230" t="str">
            <v>AQU4518R9v06</v>
          </cell>
          <cell r="F230" t="str">
            <v>AQU4518R9v06</v>
          </cell>
          <cell r="G230" t="str">
            <v>GMKLE1S3</v>
          </cell>
        </row>
        <row r="231">
          <cell r="D231" t="str">
            <v>AQU4518R9v06</v>
          </cell>
          <cell r="E231" t="str">
            <v>AQU4518R9v06</v>
          </cell>
          <cell r="F231" t="str">
            <v>AQU4518R9v06</v>
          </cell>
          <cell r="G231" t="str">
            <v>GMKLP1S1</v>
          </cell>
        </row>
        <row r="232">
          <cell r="D232" t="str">
            <v>AQU4518R9v06</v>
          </cell>
          <cell r="E232" t="str">
            <v>AQU4518R9v06</v>
          </cell>
          <cell r="F232" t="str">
            <v>AQU4518R9v06</v>
          </cell>
          <cell r="G232" t="str">
            <v>GMKLP1S2</v>
          </cell>
        </row>
        <row r="233">
          <cell r="D233" t="str">
            <v>AQU4518R9v06</v>
          </cell>
          <cell r="E233" t="str">
            <v>AQU4518R9v06</v>
          </cell>
          <cell r="F233" t="str">
            <v>AQU4518R9v06</v>
          </cell>
          <cell r="G233" t="str">
            <v>GMKOC1S1</v>
          </cell>
        </row>
        <row r="234">
          <cell r="D234" t="str">
            <v>AQU4518R9v06</v>
          </cell>
          <cell r="E234" t="str">
            <v>AQU4518R9v06</v>
          </cell>
          <cell r="F234" t="str">
            <v>AQU4518R9v06</v>
          </cell>
          <cell r="G234" t="str">
            <v>GMKOC1S2</v>
          </cell>
        </row>
        <row r="235">
          <cell r="D235" t="str">
            <v>AQU4518R9v06</v>
          </cell>
          <cell r="E235" t="str">
            <v>AQU4518R9v06</v>
          </cell>
          <cell r="F235" t="str">
            <v>AQU4518R9v06</v>
          </cell>
          <cell r="G235" t="str">
            <v>GMKOC1S3</v>
          </cell>
        </row>
        <row r="236">
          <cell r="D236" t="str">
            <v>A10244PD00v06</v>
          </cell>
          <cell r="E236" t="str">
            <v>A10244PD00v06</v>
          </cell>
          <cell r="F236" t="str">
            <v>A10244PD00v06</v>
          </cell>
          <cell r="G236" t="str">
            <v>GMKOR1S1</v>
          </cell>
        </row>
        <row r="237">
          <cell r="D237" t="str">
            <v>A10244PD00v06</v>
          </cell>
          <cell r="E237" t="str">
            <v>A10244PD00v06</v>
          </cell>
          <cell r="F237" t="str">
            <v>A10244PD00v06</v>
          </cell>
          <cell r="G237" t="str">
            <v>GMKOR1S2</v>
          </cell>
        </row>
        <row r="238">
          <cell r="D238" t="str">
            <v>AQU4518R9v06</v>
          </cell>
          <cell r="E238" t="str">
            <v>AQU4518R9v06</v>
          </cell>
          <cell r="F238" t="str">
            <v>AQU4518R9v06</v>
          </cell>
          <cell r="G238" t="str">
            <v>GMKOS1S2</v>
          </cell>
        </row>
        <row r="239">
          <cell r="D239" t="str">
            <v>AQU4518R9v06</v>
          </cell>
          <cell r="E239" t="str">
            <v>AQU4518R9v06</v>
          </cell>
          <cell r="F239" t="str">
            <v>AQU4518R9v06</v>
          </cell>
          <cell r="G239" t="str">
            <v>GMKOS1S3</v>
          </cell>
        </row>
        <row r="240">
          <cell r="D240" t="str">
            <v>AQU4518R9v06</v>
          </cell>
          <cell r="E240" t="str">
            <v>AQU4518R9v06</v>
          </cell>
          <cell r="F240" t="str">
            <v>AQU4518R9v06</v>
          </cell>
          <cell r="G240" t="str">
            <v>GMKOT1S1</v>
          </cell>
        </row>
        <row r="241">
          <cell r="D241" t="str">
            <v>AQU4518R9v06</v>
          </cell>
          <cell r="E241" t="str">
            <v>AQU4518R9v06</v>
          </cell>
          <cell r="F241" t="str">
            <v>AQU4518R9v06</v>
          </cell>
          <cell r="G241" t="str">
            <v>GMKOT1S2</v>
          </cell>
        </row>
        <row r="242">
          <cell r="D242" t="str">
            <v>AQU4518R9v06</v>
          </cell>
          <cell r="E242" t="str">
            <v>AQU4518R9v06</v>
          </cell>
          <cell r="F242" t="str">
            <v>AQU4518R9v06</v>
          </cell>
          <cell r="G242" t="str">
            <v>GMKOT1S3</v>
          </cell>
        </row>
        <row r="243">
          <cell r="D243" t="str">
            <v>AQU4518R9v06</v>
          </cell>
          <cell r="E243" t="str">
            <v>AQU4518R9v06</v>
          </cell>
          <cell r="F243" t="str">
            <v>AQU4518R9v06</v>
          </cell>
          <cell r="G243" t="str">
            <v>GMKOW1S1</v>
          </cell>
        </row>
        <row r="244">
          <cell r="D244" t="str">
            <v>AQU4518R9v06</v>
          </cell>
          <cell r="E244" t="str">
            <v>AQU4518R9v06</v>
          </cell>
          <cell r="F244" t="str">
            <v>AQU4518R9v06</v>
          </cell>
          <cell r="G244" t="str">
            <v>GMKOW1S2</v>
          </cell>
        </row>
        <row r="245">
          <cell r="D245" t="str">
            <v>AQU4518R9v06</v>
          </cell>
          <cell r="E245" t="str">
            <v>AQU4518R9v06</v>
          </cell>
          <cell r="F245" t="str">
            <v>AQU4518R9v06</v>
          </cell>
          <cell r="G245" t="str">
            <v>GMKOW1S3</v>
          </cell>
        </row>
        <row r="246">
          <cell r="D246" t="str">
            <v>AQU4518R9v06</v>
          </cell>
          <cell r="E246" t="str">
            <v>AQU4518R9v06</v>
          </cell>
          <cell r="F246" t="str">
            <v>AQU4518R9v06</v>
          </cell>
          <cell r="G246" t="str">
            <v>GMKRW1S1</v>
          </cell>
        </row>
        <row r="247">
          <cell r="D247" t="str">
            <v>AQU4518R9v06</v>
          </cell>
          <cell r="E247" t="str">
            <v>AQU4518R9v06</v>
          </cell>
          <cell r="F247" t="str">
            <v>AQU4518R9v06</v>
          </cell>
          <cell r="G247" t="str">
            <v>GMKRW1S2</v>
          </cell>
        </row>
        <row r="248">
          <cell r="D248" t="str">
            <v>AQU4518R9v06</v>
          </cell>
          <cell r="E248" t="str">
            <v>AQU4518R9v06</v>
          </cell>
          <cell r="F248" t="str">
            <v>AQU4518R9v06</v>
          </cell>
          <cell r="G248" t="str">
            <v>GMKRW1S3</v>
          </cell>
        </row>
        <row r="249">
          <cell r="D249" t="str">
            <v>AQU4518R9v06</v>
          </cell>
          <cell r="E249" t="str">
            <v>AQU4518R9v06</v>
          </cell>
          <cell r="F249" t="str">
            <v>AQU4518R9v06</v>
          </cell>
          <cell r="G249" t="str">
            <v>GMKRW2S1</v>
          </cell>
        </row>
        <row r="250">
          <cell r="D250" t="str">
            <v>AQU4518R9v06</v>
          </cell>
          <cell r="E250" t="str">
            <v>AQU4518R9v06</v>
          </cell>
          <cell r="F250" t="str">
            <v>AQU4518R9v06</v>
          </cell>
          <cell r="G250" t="str">
            <v>GMKRW2S2</v>
          </cell>
        </row>
        <row r="251">
          <cell r="D251" t="str">
            <v>AQU4518R9v06</v>
          </cell>
          <cell r="E251" t="str">
            <v>AQU4518R9v06</v>
          </cell>
          <cell r="F251" t="str">
            <v>AQU4518R9v06</v>
          </cell>
          <cell r="G251" t="str">
            <v>GMKRW2S3</v>
          </cell>
        </row>
        <row r="252">
          <cell r="D252" t="str">
            <v>AQU4518R9v06</v>
          </cell>
          <cell r="E252" t="str">
            <v>AQU4518R9v06</v>
          </cell>
          <cell r="F252" t="str">
            <v>AQU4518R9v06</v>
          </cell>
          <cell r="G252" t="str">
            <v>GMKTA1S1</v>
          </cell>
        </row>
        <row r="253">
          <cell r="D253" t="str">
            <v>AQU4518R9v06</v>
          </cell>
          <cell r="E253" t="str">
            <v>AQU4518R9v06</v>
          </cell>
          <cell r="F253" t="str">
            <v>AQU4518R9v06</v>
          </cell>
          <cell r="G253" t="str">
            <v>GMKTA1S2</v>
          </cell>
        </row>
        <row r="254">
          <cell r="D254" t="str">
            <v>AQU4518R9v06</v>
          </cell>
          <cell r="E254" t="str">
            <v>AQU4518R9v06</v>
          </cell>
          <cell r="F254" t="str">
            <v>AQU4518R9v06</v>
          </cell>
          <cell r="G254" t="str">
            <v>GMKTA1S3</v>
          </cell>
        </row>
        <row r="255">
          <cell r="D255" t="str">
            <v>AQU4518R9v06</v>
          </cell>
          <cell r="E255" t="str">
            <v>AQU4518R9v06</v>
          </cell>
          <cell r="F255" t="str">
            <v>AQU4518R9v06</v>
          </cell>
          <cell r="G255" t="str">
            <v>GMKTA2S1</v>
          </cell>
        </row>
        <row r="256">
          <cell r="D256" t="str">
            <v>AQU4518R9v06</v>
          </cell>
          <cell r="E256" t="str">
            <v>AQU4518R9v06</v>
          </cell>
          <cell r="F256" t="str">
            <v>AQU4518R9v06</v>
          </cell>
          <cell r="G256" t="str">
            <v>GMKTA2S2</v>
          </cell>
        </row>
        <row r="257">
          <cell r="D257" t="str">
            <v>AQU4518R9v06</v>
          </cell>
          <cell r="E257" t="str">
            <v>AQU4518R9v06</v>
          </cell>
          <cell r="F257" t="str">
            <v>AQU4518R9v06</v>
          </cell>
          <cell r="G257" t="str">
            <v>GMKTA2S3</v>
          </cell>
        </row>
        <row r="258">
          <cell r="D258" t="str">
            <v>AQU4518R9v06</v>
          </cell>
          <cell r="E258" t="str">
            <v>AQU4518R9v06</v>
          </cell>
          <cell r="F258" t="str">
            <v>AQU4518R9v06</v>
          </cell>
          <cell r="G258" t="str">
            <v>GMKTG1S1</v>
          </cell>
        </row>
        <row r="259">
          <cell r="D259" t="str">
            <v>AQU4518R9v06</v>
          </cell>
          <cell r="E259" t="str">
            <v>AQU4518R9v06</v>
          </cell>
          <cell r="F259" t="str">
            <v>AQU4518R9v06</v>
          </cell>
          <cell r="G259" t="str">
            <v>GMKTG1S2</v>
          </cell>
        </row>
        <row r="260">
          <cell r="D260" t="str">
            <v>AQU4518R9v06</v>
          </cell>
          <cell r="E260" t="str">
            <v>AQU4518R9v06</v>
          </cell>
          <cell r="F260" t="str">
            <v>AQU4518R9v06</v>
          </cell>
          <cell r="G260" t="str">
            <v>GMKTG1S3</v>
          </cell>
        </row>
        <row r="261">
          <cell r="D261" t="str"/>
          <cell r="E261" t="str">
            <v>AMB4519R6v06</v>
          </cell>
          <cell r="F261" t="str"/>
          <cell r="G261" t="str">
            <v>GMKTG3NA</v>
          </cell>
        </row>
        <row r="262">
          <cell r="D262" t="str">
            <v>ATR4518R7v07</v>
          </cell>
          <cell r="E262" t="str"/>
          <cell r="F262" t="str"/>
          <cell r="G262" t="str">
            <v>GMKTG3S1</v>
          </cell>
        </row>
        <row r="263">
          <cell r="D263" t="str">
            <v>ATR4518R7v07</v>
          </cell>
          <cell r="E263" t="str">
            <v>ATR4518R7v07</v>
          </cell>
          <cell r="F263" t="str"/>
          <cell r="G263" t="str">
            <v>GMKTG3S2</v>
          </cell>
        </row>
        <row r="264">
          <cell r="D264" t="str">
            <v>ATR4518R7v07</v>
          </cell>
          <cell r="E264" t="str">
            <v>ATR4518R7v07</v>
          </cell>
          <cell r="F264" t="str"/>
          <cell r="G264" t="str">
            <v>GMKTG3S3</v>
          </cell>
        </row>
        <row r="265">
          <cell r="D265" t="str">
            <v>A10244PD00v06</v>
          </cell>
          <cell r="E265" t="str">
            <v>A10244PD00v06</v>
          </cell>
          <cell r="F265" t="str">
            <v>A10244PD00v06</v>
          </cell>
          <cell r="G265" t="str">
            <v>GMKTW1S1</v>
          </cell>
        </row>
        <row r="266">
          <cell r="D266" t="str">
            <v>A10244PD00v06</v>
          </cell>
          <cell r="E266" t="str">
            <v>A10244PD00v06</v>
          </cell>
          <cell r="F266" t="str">
            <v>A10244PD00v06</v>
          </cell>
          <cell r="G266" t="str">
            <v>GMKTW1S2</v>
          </cell>
        </row>
        <row r="267">
          <cell r="D267" t="str">
            <v>AQU4518R9v06</v>
          </cell>
          <cell r="E267" t="str">
            <v>AQU4518R9v06</v>
          </cell>
          <cell r="F267" t="str">
            <v>AQU4518R9v06</v>
          </cell>
          <cell r="G267" t="str">
            <v>GMKTW1S3</v>
          </cell>
        </row>
        <row r="268">
          <cell r="D268" t="str">
            <v>AQU4518R9v06</v>
          </cell>
          <cell r="E268" t="str"/>
          <cell r="F268" t="str"/>
          <cell r="G268" t="str">
            <v>GMKTW2S1</v>
          </cell>
        </row>
        <row r="269">
          <cell r="D269" t="str"/>
          <cell r="E269" t="str">
            <v>AQU4518R9v06</v>
          </cell>
          <cell r="F269" t="str">
            <v>AQU4518R9v06</v>
          </cell>
          <cell r="G269" t="str">
            <v>GMKTW2S1</v>
          </cell>
        </row>
        <row r="270">
          <cell r="D270" t="str"/>
          <cell r="E270" t="str">
            <v>AMB4519R6v06</v>
          </cell>
          <cell r="F270" t="str"/>
          <cell r="G270" t="str">
            <v>GMKTW4NA</v>
          </cell>
        </row>
        <row r="271">
          <cell r="D271" t="str">
            <v>ATR4518R7v07</v>
          </cell>
          <cell r="E271" t="str">
            <v>ATR4518R7v07</v>
          </cell>
          <cell r="F271" t="str"/>
          <cell r="G271" t="str">
            <v>GMKTW4S1</v>
          </cell>
        </row>
        <row r="272">
          <cell r="D272" t="str">
            <v>ATR4518R7v07</v>
          </cell>
          <cell r="E272" t="str"/>
          <cell r="F272" t="str"/>
          <cell r="G272" t="str">
            <v>GMKTW4S2</v>
          </cell>
        </row>
        <row r="273">
          <cell r="D273" t="str">
            <v>ATR4518R7v07</v>
          </cell>
          <cell r="E273" t="str">
            <v>ATR4518R7v07</v>
          </cell>
          <cell r="F273" t="str"/>
          <cell r="G273" t="str">
            <v>GMKTW4S3</v>
          </cell>
        </row>
        <row r="274">
          <cell r="D274" t="str">
            <v>AQU4518R9v06</v>
          </cell>
          <cell r="E274" t="str">
            <v>AQU4518R9v06</v>
          </cell>
          <cell r="F274" t="str">
            <v>AQU4518R9v06</v>
          </cell>
          <cell r="G274" t="str">
            <v>GMKUR2S1</v>
          </cell>
        </row>
        <row r="275">
          <cell r="D275" t="str">
            <v>APE4517R0v06</v>
          </cell>
          <cell r="E275" t="str">
            <v>APE4517R0v06</v>
          </cell>
          <cell r="F275" t="str"/>
          <cell r="G275" t="str">
            <v>GMKUR4S1</v>
          </cell>
        </row>
        <row r="276">
          <cell r="D276" t="str">
            <v>APE4517R0v06</v>
          </cell>
          <cell r="E276" t="str">
            <v>APE4517R0v06</v>
          </cell>
          <cell r="F276" t="str"/>
          <cell r="G276" t="str">
            <v>GMKUR4S2</v>
          </cell>
        </row>
        <row r="277">
          <cell r="D277" t="str">
            <v>APE4517R0v06</v>
          </cell>
          <cell r="E277" t="str">
            <v>APE4517R0v06</v>
          </cell>
          <cell r="F277" t="str"/>
          <cell r="G277" t="str">
            <v>GMKUR4S3</v>
          </cell>
        </row>
        <row r="278">
          <cell r="D278" t="str">
            <v>AQU4518R9v06</v>
          </cell>
          <cell r="E278" t="str">
            <v>AQU4518R9v06</v>
          </cell>
          <cell r="F278" t="str">
            <v>AQU4518R9v06</v>
          </cell>
          <cell r="G278" t="str">
            <v>GMKWG1S1</v>
          </cell>
        </row>
        <row r="279">
          <cell r="D279" t="str">
            <v>AQU4518R9v06</v>
          </cell>
          <cell r="E279" t="str">
            <v>AQU4518R9v06</v>
          </cell>
          <cell r="F279" t="str">
            <v>AQU4518R9v06</v>
          </cell>
          <cell r="G279" t="str">
            <v>GMKWG1S2</v>
          </cell>
        </row>
        <row r="280">
          <cell r="D280" t="str">
            <v>AQU4518R9v06</v>
          </cell>
          <cell r="E280" t="str">
            <v>AQU4518R9v06</v>
          </cell>
          <cell r="F280" t="str">
            <v>AQU4518R9v06</v>
          </cell>
          <cell r="G280" t="str">
            <v>GMKWG1S3</v>
          </cell>
        </row>
        <row r="281">
          <cell r="D281" t="str">
            <v>ATR4518R7v07</v>
          </cell>
          <cell r="E281" t="str">
            <v>ATR4518R7v07</v>
          </cell>
          <cell r="F281" t="str">
            <v>ATR4518R7v07</v>
          </cell>
          <cell r="G281" t="str">
            <v>GMKWG2S1</v>
          </cell>
        </row>
        <row r="282">
          <cell r="D282" t="str">
            <v>ATR4518R7v07</v>
          </cell>
          <cell r="E282" t="str">
            <v>ATR4518R7v07</v>
          </cell>
          <cell r="F282" t="str">
            <v>ATR4518R7v07</v>
          </cell>
          <cell r="G282" t="str">
            <v>GMKWG2S2</v>
          </cell>
        </row>
        <row r="283">
          <cell r="D283" t="str">
            <v>ATR4518R7v07</v>
          </cell>
          <cell r="E283" t="str">
            <v>ATR4518R7v07</v>
          </cell>
          <cell r="F283" t="str">
            <v>ATR4518R7v07</v>
          </cell>
          <cell r="G283" t="str">
            <v>GMKWG2S3</v>
          </cell>
        </row>
        <row r="284">
          <cell r="D284" t="str">
            <v>APE4517R0v06</v>
          </cell>
          <cell r="E284" t="str">
            <v>APE4517R0v06</v>
          </cell>
          <cell r="F284" t="str">
            <v>APE4517R0v06</v>
          </cell>
          <cell r="G284" t="str">
            <v>GMLIY1S1</v>
          </cell>
        </row>
        <row r="285">
          <cell r="D285" t="str">
            <v>AQU4518R9v06</v>
          </cell>
          <cell r="E285" t="str">
            <v>AQU4518R9v06</v>
          </cell>
          <cell r="F285" t="str">
            <v>AQU4518R9v06</v>
          </cell>
          <cell r="G285" t="str">
            <v>GMLIY2S1</v>
          </cell>
        </row>
        <row r="286">
          <cell r="D286" t="str">
            <v>AQU4518R9v06</v>
          </cell>
          <cell r="E286" t="str">
            <v>AQU4518R9v06</v>
          </cell>
          <cell r="F286" t="str">
            <v>AQU4518R9v06</v>
          </cell>
          <cell r="G286" t="str">
            <v>GMLIY2S2</v>
          </cell>
        </row>
        <row r="287">
          <cell r="D287" t="str">
            <v>AQU4518R9v06</v>
          </cell>
          <cell r="E287" t="str">
            <v>AQU4518R9v06</v>
          </cell>
          <cell r="F287" t="str">
            <v>AQU4518R9v06</v>
          </cell>
          <cell r="G287" t="str">
            <v>GMLIY2S3</v>
          </cell>
        </row>
        <row r="288">
          <cell r="D288" t="str">
            <v>AQU4518R9v06</v>
          </cell>
          <cell r="E288" t="str">
            <v>AQU4518R9v06</v>
          </cell>
          <cell r="F288" t="str">
            <v>AQU4518R9v06</v>
          </cell>
          <cell r="G288" t="str">
            <v>GMLOL1S1</v>
          </cell>
        </row>
        <row r="289">
          <cell r="D289" t="str">
            <v>AQU4518R9v06</v>
          </cell>
          <cell r="E289" t="str">
            <v>AQU4518R9v06</v>
          </cell>
          <cell r="F289" t="str">
            <v>AQU4518R9v06</v>
          </cell>
          <cell r="G289" t="str">
            <v>GMLOL1S2</v>
          </cell>
        </row>
        <row r="290">
          <cell r="D290" t="str">
            <v>AQU4518R9v06</v>
          </cell>
          <cell r="E290" t="str">
            <v>AQU4518R9v06</v>
          </cell>
          <cell r="F290" t="str">
            <v>AQU4518R9v06</v>
          </cell>
          <cell r="G290" t="str">
            <v>GMLOL1S3</v>
          </cell>
        </row>
        <row r="291">
          <cell r="D291" t="str">
            <v>ATR4518R7v07</v>
          </cell>
          <cell r="E291" t="str">
            <v>ATR4518R7v07</v>
          </cell>
          <cell r="F291" t="str">
            <v>ATR4518R7v07</v>
          </cell>
          <cell r="G291" t="str">
            <v>GMLOL2S1</v>
          </cell>
        </row>
        <row r="292">
          <cell r="D292" t="str">
            <v>ATR4518R7v07</v>
          </cell>
          <cell r="E292" t="str">
            <v>ATR4518R7v07</v>
          </cell>
          <cell r="F292" t="str">
            <v>ATR4518R7v07</v>
          </cell>
          <cell r="G292" t="str">
            <v>GMLOL2S2</v>
          </cell>
        </row>
        <row r="293">
          <cell r="D293" t="str">
            <v>ATR4518R7v07</v>
          </cell>
          <cell r="E293" t="str">
            <v>ATR4518R7v07</v>
          </cell>
          <cell r="F293" t="str">
            <v>ATR4518R7v07</v>
          </cell>
          <cell r="G293" t="str">
            <v>GMLOL2S3</v>
          </cell>
        </row>
        <row r="294">
          <cell r="D294" t="str">
            <v>AQU4518R9v06</v>
          </cell>
          <cell r="E294" t="str">
            <v>AQU4518R9v06</v>
          </cell>
          <cell r="F294" t="str">
            <v>AQU4518R9v06</v>
          </cell>
          <cell r="G294" t="str">
            <v>GMMAD1S1</v>
          </cell>
        </row>
        <row r="295">
          <cell r="D295" t="str">
            <v>AQU4518R9v06</v>
          </cell>
          <cell r="E295" t="str">
            <v>AQU4518R9v06</v>
          </cell>
          <cell r="F295" t="str">
            <v>AQU4518R9v06</v>
          </cell>
          <cell r="G295" t="str">
            <v>GMMAD1S2</v>
          </cell>
        </row>
        <row r="296">
          <cell r="D296" t="str">
            <v>AQU4518R9v06</v>
          </cell>
          <cell r="E296" t="str">
            <v>AQU4518R9v06</v>
          </cell>
          <cell r="F296" t="str">
            <v>AQU4518R9v06</v>
          </cell>
          <cell r="G296" t="str">
            <v>GMMAD1S3</v>
          </cell>
        </row>
        <row r="297">
          <cell r="D297" t="str"/>
          <cell r="E297" t="str">
            <v>AMB4519R6v06</v>
          </cell>
          <cell r="F297" t="str"/>
          <cell r="G297" t="str">
            <v>GMMAG1NA</v>
          </cell>
        </row>
        <row r="298">
          <cell r="D298" t="str">
            <v>AQU4518R9v06</v>
          </cell>
          <cell r="E298" t="str">
            <v>AQU4518R9v06</v>
          </cell>
          <cell r="F298" t="str">
            <v>AQU4518R9v06</v>
          </cell>
          <cell r="G298" t="str">
            <v>GMMAG1S1</v>
          </cell>
        </row>
        <row r="299">
          <cell r="D299" t="str">
            <v>AQU4518R9v06</v>
          </cell>
          <cell r="E299" t="str">
            <v>AQU4518R9v06</v>
          </cell>
          <cell r="F299" t="str">
            <v>AQU4518R9v06</v>
          </cell>
          <cell r="G299" t="str">
            <v>GMMAG1S2</v>
          </cell>
        </row>
        <row r="300">
          <cell r="D300" t="str">
            <v>AQU4518R9v06</v>
          </cell>
          <cell r="E300" t="str">
            <v>AQU4518R9v06</v>
          </cell>
          <cell r="F300" t="str">
            <v>AQU4518R9v06</v>
          </cell>
          <cell r="G300" t="str">
            <v>GMMAG1S3</v>
          </cell>
        </row>
        <row r="301">
          <cell r="D301" t="str"/>
          <cell r="E301" t="str">
            <v>AMB4519R6v06</v>
          </cell>
          <cell r="F301" t="str"/>
          <cell r="G301" t="str">
            <v>GMMAL2NA</v>
          </cell>
        </row>
        <row r="302">
          <cell r="D302" t="str">
            <v>AQU4518R9v06</v>
          </cell>
          <cell r="E302" t="str">
            <v>AQU4518R9v06</v>
          </cell>
          <cell r="F302" t="str">
            <v>AQU4518R9v06</v>
          </cell>
          <cell r="G302" t="str">
            <v>GMMAR1S1</v>
          </cell>
        </row>
        <row r="303">
          <cell r="D303" t="str">
            <v>AQU4518R9v06</v>
          </cell>
          <cell r="E303" t="str">
            <v>AQU4518R9v06</v>
          </cell>
          <cell r="F303" t="str">
            <v>AQU4518R9v06</v>
          </cell>
          <cell r="G303" t="str">
            <v>GMMAR1S2</v>
          </cell>
        </row>
        <row r="304">
          <cell r="D304" t="str">
            <v>AQU4518R9v06</v>
          </cell>
          <cell r="E304" t="str">
            <v>AQU4518R9v06</v>
          </cell>
          <cell r="F304" t="str">
            <v>AQU4518R9v06</v>
          </cell>
          <cell r="G304" t="str">
            <v>GMMAR1S3</v>
          </cell>
        </row>
        <row r="305">
          <cell r="D305" t="str"/>
          <cell r="E305" t="str">
            <v>A10244PD00v06</v>
          </cell>
          <cell r="F305" t="str"/>
          <cell r="G305" t="str">
            <v>GMMAT1NA</v>
          </cell>
        </row>
        <row r="306">
          <cell r="D306" t="str">
            <v>AQU4518R9v06</v>
          </cell>
          <cell r="E306" t="str">
            <v>AQU4518R9v06</v>
          </cell>
          <cell r="F306" t="str">
            <v>AQU4518R9v06</v>
          </cell>
          <cell r="G306" t="str">
            <v>GMMAT1S1</v>
          </cell>
        </row>
        <row r="307">
          <cell r="D307" t="str">
            <v>AQU4518R9v06</v>
          </cell>
          <cell r="E307" t="str">
            <v>AQU4518R9v06</v>
          </cell>
          <cell r="F307" t="str">
            <v>AQU4518R9v06</v>
          </cell>
          <cell r="G307" t="str">
            <v>GMMAT1S2</v>
          </cell>
        </row>
        <row r="308">
          <cell r="D308" t="str">
            <v>A10244PD00v06</v>
          </cell>
          <cell r="E308" t="str"/>
          <cell r="F308" t="str"/>
          <cell r="G308" t="str">
            <v>GMMAT1S3</v>
          </cell>
        </row>
        <row r="309">
          <cell r="D309" t="str"/>
          <cell r="E309" t="str">
            <v>ADU4518R6v06</v>
          </cell>
          <cell r="F309" t="str"/>
          <cell r="G309" t="str">
            <v>GMMBD1S1</v>
          </cell>
        </row>
        <row r="310">
          <cell r="D310" t="str"/>
          <cell r="E310" t="str">
            <v>ADU4518R6v06</v>
          </cell>
          <cell r="F310" t="str"/>
          <cell r="G310" t="str">
            <v>GMMBD1S2</v>
          </cell>
        </row>
        <row r="311">
          <cell r="D311" t="str"/>
          <cell r="E311" t="str">
            <v>ADU4518R6v06</v>
          </cell>
          <cell r="F311" t="str"/>
          <cell r="G311" t="str">
            <v>GMMBD1S3</v>
          </cell>
        </row>
        <row r="312">
          <cell r="D312" t="str">
            <v>ATR4518R7v07</v>
          </cell>
          <cell r="E312" t="str">
            <v>ATR4518R7v07</v>
          </cell>
          <cell r="F312" t="str"/>
          <cell r="G312" t="str">
            <v>GMMDP1S2</v>
          </cell>
        </row>
        <row r="313">
          <cell r="D313" t="str">
            <v>ATR4518R7v07</v>
          </cell>
          <cell r="E313" t="str">
            <v>ATR4518R7v07</v>
          </cell>
          <cell r="F313" t="str"/>
          <cell r="G313" t="str">
            <v>GMMDP1S3</v>
          </cell>
        </row>
        <row r="314">
          <cell r="D314" t="str">
            <v>ATR4518R7v07</v>
          </cell>
          <cell r="E314" t="str">
            <v>ATR4518R7v07</v>
          </cell>
          <cell r="F314" t="str">
            <v>ATR4518R7v07</v>
          </cell>
          <cell r="G314" t="str">
            <v>GMMED1S1</v>
          </cell>
        </row>
        <row r="315">
          <cell r="D315" t="str">
            <v>ATR4518R7v07</v>
          </cell>
          <cell r="E315" t="str">
            <v>ATR4518R7v07</v>
          </cell>
          <cell r="F315" t="str">
            <v>ATR4518R7v07</v>
          </cell>
          <cell r="G315" t="str">
            <v>GMMED1S2</v>
          </cell>
        </row>
        <row r="316">
          <cell r="D316" t="str">
            <v>ATR4518R7v07</v>
          </cell>
          <cell r="E316" t="str">
            <v>ATR4518R7v07</v>
          </cell>
          <cell r="F316" t="str">
            <v>ATR4518R7v07</v>
          </cell>
          <cell r="G316" t="str">
            <v>GMMED1S3</v>
          </cell>
        </row>
        <row r="317">
          <cell r="D317" t="str">
            <v>AQU4518R9v06</v>
          </cell>
          <cell r="E317" t="str">
            <v>AQU4518R9v06</v>
          </cell>
          <cell r="F317" t="str">
            <v>AQU4518R9v06</v>
          </cell>
          <cell r="G317" t="str">
            <v>GMMEE1S1</v>
          </cell>
        </row>
        <row r="318">
          <cell r="D318" t="str">
            <v>AQU4518R9v06</v>
          </cell>
          <cell r="E318" t="str">
            <v>AQU4518R9v06</v>
          </cell>
          <cell r="F318" t="str">
            <v>AQU4518R9v06</v>
          </cell>
          <cell r="G318" t="str">
            <v>GMMEE1S2</v>
          </cell>
        </row>
        <row r="319">
          <cell r="D319" t="str">
            <v>AQU4518R9v06</v>
          </cell>
          <cell r="E319" t="str">
            <v>AQU4518R9v06</v>
          </cell>
          <cell r="F319" t="str">
            <v>AQU4518R9v06</v>
          </cell>
          <cell r="G319" t="str">
            <v>GMMEE1S3</v>
          </cell>
        </row>
        <row r="320">
          <cell r="D320" t="str"/>
          <cell r="E320" t="str">
            <v>AMB4519R6v06, RCUTEST</v>
          </cell>
          <cell r="F320" t="str"/>
          <cell r="G320" t="str">
            <v>GMMIN1NA</v>
          </cell>
        </row>
        <row r="321">
          <cell r="D321" t="str">
            <v>AQU4518R9v06</v>
          </cell>
          <cell r="E321" t="str"/>
          <cell r="F321" t="str">
            <v>AQU4518R9v06</v>
          </cell>
          <cell r="G321" t="str">
            <v>GMMIN1S1</v>
          </cell>
        </row>
        <row r="322">
          <cell r="D322" t="str">
            <v>AQU4518R9v06</v>
          </cell>
          <cell r="E322" t="str">
            <v>AQU4518R9v06</v>
          </cell>
          <cell r="F322" t="str">
            <v>AQU4518R9v06</v>
          </cell>
          <cell r="G322" t="str">
            <v>GMMIN1S2</v>
          </cell>
        </row>
        <row r="323">
          <cell r="D323" t="str">
            <v>AQU4518R9v06</v>
          </cell>
          <cell r="E323" t="str"/>
          <cell r="F323" t="str">
            <v>AQU4518R9v06</v>
          </cell>
          <cell r="G323" t="str">
            <v>GMMIN1S3</v>
          </cell>
        </row>
        <row r="324">
          <cell r="D324" t="str"/>
          <cell r="E324" t="str">
            <v>AMB4519R6v06</v>
          </cell>
          <cell r="F324" t="str"/>
          <cell r="G324" t="str">
            <v>GMMIN3NA</v>
          </cell>
        </row>
        <row r="325">
          <cell r="D325" t="str">
            <v>AQU4518R9v06</v>
          </cell>
          <cell r="E325" t="str"/>
          <cell r="F325" t="str">
            <v>AQU4518R9v06</v>
          </cell>
          <cell r="G325" t="str">
            <v>GMMIN3S2</v>
          </cell>
        </row>
        <row r="326">
          <cell r="D326" t="str"/>
          <cell r="E326" t="str">
            <v>AMB4519R6v06</v>
          </cell>
          <cell r="F326" t="str"/>
          <cell r="G326" t="str">
            <v>GMMIR1NA</v>
          </cell>
        </row>
        <row r="327">
          <cell r="D327" t="str">
            <v>AQU4518R9v06</v>
          </cell>
          <cell r="E327" t="str"/>
          <cell r="F327" t="str">
            <v>AQU4518R9v06</v>
          </cell>
          <cell r="G327" t="str">
            <v>GMMIR1S1</v>
          </cell>
        </row>
        <row r="328">
          <cell r="D328" t="str">
            <v>AQU4518R9v06</v>
          </cell>
          <cell r="E328" t="str"/>
          <cell r="F328" t="str"/>
          <cell r="G328" t="str">
            <v>GMMIR1S2</v>
          </cell>
        </row>
        <row r="329">
          <cell r="D329" t="str">
            <v>AQU4518R9v06</v>
          </cell>
          <cell r="E329" t="str">
            <v>AQU4518R9v06</v>
          </cell>
          <cell r="F329" t="str">
            <v>AQU4518R9v06</v>
          </cell>
          <cell r="G329" t="str">
            <v>GMMIR1S3</v>
          </cell>
        </row>
        <row r="330">
          <cell r="D330" t="str"/>
          <cell r="E330" t="str">
            <v>AMB4519R6v06</v>
          </cell>
          <cell r="F330" t="str"/>
          <cell r="G330" t="str">
            <v>GMMIR2NA</v>
          </cell>
        </row>
        <row r="331">
          <cell r="D331" t="str">
            <v>AQU4518R9v06</v>
          </cell>
          <cell r="E331" t="str">
            <v>AQU4518R9v06</v>
          </cell>
          <cell r="F331" t="str">
            <v>AQU4518R9v06</v>
          </cell>
          <cell r="G331" t="str">
            <v>GMMIR2S1</v>
          </cell>
        </row>
        <row r="332">
          <cell r="D332" t="str">
            <v>AQU4518R9v06</v>
          </cell>
          <cell r="E332" t="str"/>
          <cell r="F332" t="str"/>
          <cell r="G332" t="str">
            <v>GMMIR2S2</v>
          </cell>
        </row>
        <row r="333">
          <cell r="D333" t="str">
            <v>AQU4518R9v06</v>
          </cell>
          <cell r="E333" t="str"/>
          <cell r="F333" t="str"/>
          <cell r="G333" t="str">
            <v>GMMIR2S3</v>
          </cell>
        </row>
        <row r="334">
          <cell r="D334" t="str"/>
          <cell r="E334" t="str">
            <v>APE4517R0v06</v>
          </cell>
          <cell r="F334" t="str"/>
          <cell r="G334" t="str">
            <v>GMMIR3S1</v>
          </cell>
        </row>
        <row r="335">
          <cell r="D335" t="str"/>
          <cell r="E335" t="str">
            <v>APE4517R0v06</v>
          </cell>
          <cell r="F335" t="str"/>
          <cell r="G335" t="str">
            <v>GMMIR4S2</v>
          </cell>
        </row>
        <row r="336">
          <cell r="D336" t="str"/>
          <cell r="E336" t="str">
            <v>APE4517R0v06</v>
          </cell>
          <cell r="F336" t="str"/>
          <cell r="G336" t="str">
            <v>GMMIR4S3</v>
          </cell>
        </row>
        <row r="337">
          <cell r="D337" t="str">
            <v>APE4517R0v06</v>
          </cell>
          <cell r="E337" t="str">
            <v>APE4517R0v06</v>
          </cell>
          <cell r="F337" t="str"/>
          <cell r="G337" t="str">
            <v>GMMIT1S3</v>
          </cell>
        </row>
        <row r="338">
          <cell r="D338" t="str">
            <v>ATR4518R7v07</v>
          </cell>
          <cell r="E338" t="str">
            <v>ATR4518R7v07</v>
          </cell>
          <cell r="F338" t="str">
            <v>ATR4518R7v07</v>
          </cell>
          <cell r="G338" t="str">
            <v>GMMKW1S1</v>
          </cell>
        </row>
        <row r="339">
          <cell r="D339" t="str">
            <v>ATR4518R7v07</v>
          </cell>
          <cell r="E339" t="str">
            <v>ATR4518R7v07</v>
          </cell>
          <cell r="F339" t="str">
            <v>ATR4518R7v07</v>
          </cell>
          <cell r="G339" t="str">
            <v>GMMKW1S2</v>
          </cell>
        </row>
        <row r="340">
          <cell r="D340" t="str">
            <v>ATR4518R7v07</v>
          </cell>
          <cell r="E340" t="str">
            <v>ATR4518R7v07</v>
          </cell>
          <cell r="F340" t="str">
            <v>ATR4518R7v07</v>
          </cell>
          <cell r="G340" t="str">
            <v>GMMKW1S3</v>
          </cell>
        </row>
        <row r="341">
          <cell r="D341" t="str">
            <v>AQU4518R9v06</v>
          </cell>
          <cell r="E341" t="str">
            <v>AQU4518R9v06</v>
          </cell>
          <cell r="F341" t="str">
            <v>AQU4518R9v06</v>
          </cell>
          <cell r="G341" t="str">
            <v>GMMRS1S1</v>
          </cell>
        </row>
        <row r="342">
          <cell r="D342" t="str">
            <v>AQU4518R9v06</v>
          </cell>
          <cell r="E342" t="str">
            <v>AQU4518R9v06</v>
          </cell>
          <cell r="F342" t="str">
            <v>AQU4518R9v06</v>
          </cell>
          <cell r="G342" t="str">
            <v>GMMRS1S2</v>
          </cell>
        </row>
        <row r="343">
          <cell r="D343" t="str">
            <v>AQU4518R9v06</v>
          </cell>
          <cell r="E343" t="str">
            <v>AQU4518R9v06</v>
          </cell>
          <cell r="F343" t="str">
            <v>AQU4518R9v06</v>
          </cell>
          <cell r="G343" t="str">
            <v>GMMRS1S3</v>
          </cell>
        </row>
        <row r="344">
          <cell r="D344" t="str">
            <v>AQU4518R9v06</v>
          </cell>
          <cell r="E344" t="str">
            <v>AQU4518R9v06</v>
          </cell>
          <cell r="F344" t="str">
            <v>AQU4518R9v06</v>
          </cell>
          <cell r="G344" t="str">
            <v>GMMSW1S2</v>
          </cell>
        </row>
        <row r="345">
          <cell r="D345" t="str">
            <v>AQU4518R9v06</v>
          </cell>
          <cell r="E345" t="str">
            <v>AQU4518R9v06</v>
          </cell>
          <cell r="F345" t="str">
            <v>AQU4518R9v06</v>
          </cell>
          <cell r="G345" t="str">
            <v>GMMSW1S3</v>
          </cell>
        </row>
        <row r="346">
          <cell r="D346" t="str">
            <v>AQU4518R9v06</v>
          </cell>
          <cell r="E346" t="str">
            <v>AQU4518R9v06</v>
          </cell>
          <cell r="F346" t="str">
            <v>AQU4518R9v06</v>
          </cell>
          <cell r="G346" t="str">
            <v>GMMUD1S1</v>
          </cell>
        </row>
        <row r="347">
          <cell r="D347" t="str">
            <v>AQU4518R9v06</v>
          </cell>
          <cell r="E347" t="str">
            <v>AQU4518R9v06</v>
          </cell>
          <cell r="F347" t="str">
            <v>AQU4518R9v06</v>
          </cell>
          <cell r="G347" t="str">
            <v>GMMUD1S2</v>
          </cell>
        </row>
        <row r="348">
          <cell r="D348" t="str">
            <v>AQU4518R9v06</v>
          </cell>
          <cell r="E348" t="str">
            <v>AQU4518R9v06</v>
          </cell>
          <cell r="F348" t="str">
            <v>AQU4518R9v06</v>
          </cell>
          <cell r="G348" t="str">
            <v>GMMUD1S3</v>
          </cell>
        </row>
        <row r="349">
          <cell r="D349" t="str">
            <v>ATR4518R7v07</v>
          </cell>
          <cell r="E349" t="str">
            <v>ATR4518R7v07</v>
          </cell>
          <cell r="F349" t="str">
            <v>ATR4518R7v07</v>
          </cell>
          <cell r="G349" t="str">
            <v>GMNAD1S1</v>
          </cell>
        </row>
        <row r="350">
          <cell r="D350" t="str">
            <v>ATR4518R7v07</v>
          </cell>
          <cell r="E350" t="str">
            <v>ATR4518R7v07</v>
          </cell>
          <cell r="F350" t="str">
            <v>ATR4518R7v07</v>
          </cell>
          <cell r="G350" t="str">
            <v>GMNAD1S2</v>
          </cell>
        </row>
        <row r="351">
          <cell r="D351" t="str">
            <v>A10244PD00v06</v>
          </cell>
          <cell r="E351" t="str">
            <v>A10244PD00v06</v>
          </cell>
          <cell r="F351" t="str">
            <v>A10244PD00v06</v>
          </cell>
          <cell r="G351" t="str">
            <v>GMNAI1S1</v>
          </cell>
        </row>
        <row r="352">
          <cell r="D352" t="str">
            <v>A10244PD00v06</v>
          </cell>
          <cell r="E352" t="str">
            <v>A10244PD00v06</v>
          </cell>
          <cell r="F352" t="str">
            <v>A10244PD00v06</v>
          </cell>
          <cell r="G352" t="str">
            <v>GMNAI1S2</v>
          </cell>
        </row>
        <row r="353">
          <cell r="D353" t="str">
            <v>A10244PD00v06</v>
          </cell>
          <cell r="E353" t="str">
            <v>A10244PD00v06</v>
          </cell>
          <cell r="F353" t="str">
            <v>A10244PD00v06</v>
          </cell>
          <cell r="G353" t="str">
            <v>GMNAI1S3</v>
          </cell>
        </row>
        <row r="354">
          <cell r="D354" t="str">
            <v>APE4517R0v06</v>
          </cell>
          <cell r="E354" t="str">
            <v>APE4517R0v06</v>
          </cell>
          <cell r="F354" t="str">
            <v>APE4517R0v06</v>
          </cell>
          <cell r="G354" t="str">
            <v>GMNAL1S2</v>
          </cell>
        </row>
        <row r="355">
          <cell r="D355" t="str">
            <v>ATR4517R0v06</v>
          </cell>
          <cell r="E355" t="str">
            <v>ATR4517R0v06</v>
          </cell>
          <cell r="F355" t="str"/>
          <cell r="G355" t="str">
            <v>GMNAL1S3</v>
          </cell>
        </row>
        <row r="356">
          <cell r="D356" t="str">
            <v>AQU4518R9v06</v>
          </cell>
          <cell r="E356" t="str">
            <v>AQU4518R9v06</v>
          </cell>
          <cell r="F356" t="str"/>
          <cell r="G356" t="str">
            <v>GMNEG1S1</v>
          </cell>
        </row>
        <row r="357">
          <cell r="D357" t="str">
            <v>AQU4518R9v06</v>
          </cell>
          <cell r="E357" t="str">
            <v>AQU4518R9v06</v>
          </cell>
          <cell r="F357" t="str"/>
          <cell r="G357" t="str">
            <v>GMNEG1S2</v>
          </cell>
        </row>
        <row r="358">
          <cell r="D358" t="str">
            <v>AMB4519R5v06</v>
          </cell>
          <cell r="E358" t="str">
            <v>AMB4519R5v06</v>
          </cell>
          <cell r="F358" t="str">
            <v>AMB4519R5v06</v>
          </cell>
          <cell r="G358" t="str">
            <v>GMNEG1S3</v>
          </cell>
        </row>
        <row r="359">
          <cell r="D359" t="str">
            <v>AQU4518R9v06</v>
          </cell>
          <cell r="E359" t="str">
            <v>AQU4518R9v06</v>
          </cell>
          <cell r="F359" t="str">
            <v>AQU4518R9v06</v>
          </cell>
          <cell r="G359" t="str">
            <v>GMNEG2S1</v>
          </cell>
        </row>
        <row r="360">
          <cell r="D360" t="str">
            <v>AQU4518R9v06</v>
          </cell>
          <cell r="E360" t="str">
            <v>AQU4518R9v06</v>
          </cell>
          <cell r="F360" t="str">
            <v>AQU4518R9v06</v>
          </cell>
          <cell r="G360" t="str">
            <v>GMNEG2S2</v>
          </cell>
        </row>
        <row r="361">
          <cell r="D361" t="str"/>
          <cell r="E361" t="str">
            <v>AQU4518R9v06</v>
          </cell>
          <cell r="F361" t="str">
            <v>AQU4518R9v06</v>
          </cell>
          <cell r="G361" t="str">
            <v>GMNEG2S3</v>
          </cell>
        </row>
        <row r="362">
          <cell r="D362" t="str">
            <v>AQU4518R9v06</v>
          </cell>
          <cell r="E362" t="str"/>
          <cell r="F362" t="str"/>
          <cell r="G362" t="str">
            <v>GMNEG2S6</v>
          </cell>
        </row>
        <row r="363">
          <cell r="D363" t="str"/>
          <cell r="E363" t="str">
            <v>AQU4518R9v06</v>
          </cell>
          <cell r="F363" t="str"/>
          <cell r="G363" t="str">
            <v>GMNEG3S1</v>
          </cell>
        </row>
        <row r="364">
          <cell r="D364" t="str"/>
          <cell r="E364" t="str">
            <v>AQU4518R9v06</v>
          </cell>
          <cell r="F364" t="str"/>
          <cell r="G364" t="str">
            <v>GMNEG3S2</v>
          </cell>
        </row>
        <row r="365">
          <cell r="D365" t="str"/>
          <cell r="E365" t="str">
            <v>AQU4518R9v06</v>
          </cell>
          <cell r="F365" t="str"/>
          <cell r="G365" t="str">
            <v>GMNEG3S3</v>
          </cell>
        </row>
        <row r="366">
          <cell r="D366" t="str">
            <v>AQU4518R9v06</v>
          </cell>
          <cell r="E366" t="str">
            <v>AQU4518R9v06</v>
          </cell>
          <cell r="F366" t="str">
            <v>AQU4518R9v06</v>
          </cell>
          <cell r="G366" t="str">
            <v>GMNEG3S1</v>
          </cell>
        </row>
        <row r="367">
          <cell r="D367" t="str">
            <v>AQU4518R9v06</v>
          </cell>
          <cell r="E367" t="str">
            <v>AQU4518R9v06</v>
          </cell>
          <cell r="F367" t="str">
            <v>AQU4518R9v06</v>
          </cell>
          <cell r="G367" t="str">
            <v>GMNEG3S2</v>
          </cell>
        </row>
        <row r="368">
          <cell r="D368" t="str">
            <v>AQU4518R9v06</v>
          </cell>
          <cell r="E368" t="str">
            <v>AQU4518R9v06</v>
          </cell>
          <cell r="F368" t="str">
            <v>AQU4518R9v06</v>
          </cell>
          <cell r="G368" t="str">
            <v>GMNEG3S3</v>
          </cell>
        </row>
        <row r="369">
          <cell r="D369" t="str">
            <v>AQU4518R9v06</v>
          </cell>
          <cell r="E369" t="str">
            <v>AQU4518R9v06</v>
          </cell>
          <cell r="F369" t="str">
            <v>AQU4518R9v06</v>
          </cell>
          <cell r="G369" t="str">
            <v>GMNEG4S1</v>
          </cell>
        </row>
        <row r="370">
          <cell r="D370" t="str">
            <v>AQU4518R9v06</v>
          </cell>
          <cell r="E370" t="str">
            <v>AQU4518R9v06</v>
          </cell>
          <cell r="F370" t="str">
            <v>AQU4518R9v06</v>
          </cell>
          <cell r="G370" t="str">
            <v>GMNEG4S2</v>
          </cell>
        </row>
        <row r="371">
          <cell r="D371" t="str">
            <v>AQU4518R9v06</v>
          </cell>
          <cell r="E371" t="str">
            <v>AQU4518R9v06</v>
          </cell>
          <cell r="F371" t="str">
            <v>AQU4518R9v06</v>
          </cell>
          <cell r="G371" t="str">
            <v>GMNEG4S3</v>
          </cell>
        </row>
        <row r="372">
          <cell r="D372" t="str"/>
          <cell r="E372" t="str">
            <v>AMB4519R6v06</v>
          </cell>
          <cell r="F372" t="str"/>
          <cell r="G372" t="str">
            <v>GMNEG7NA</v>
          </cell>
        </row>
        <row r="373">
          <cell r="D373" t="str">
            <v>AQU4518R9v06</v>
          </cell>
          <cell r="E373" t="str">
            <v>AQU4518R9v06</v>
          </cell>
          <cell r="F373" t="str">
            <v>AQU4518R9v06</v>
          </cell>
          <cell r="G373" t="str">
            <v>GMNEG7S1</v>
          </cell>
        </row>
        <row r="374">
          <cell r="D374" t="str">
            <v>AQU4518R9v06</v>
          </cell>
          <cell r="E374" t="str">
            <v>AMB4519R6v06</v>
          </cell>
          <cell r="F374" t="str">
            <v>AQU4518R9v06</v>
          </cell>
          <cell r="G374" t="str">
            <v>GMNEG7S2</v>
          </cell>
        </row>
        <row r="375">
          <cell r="D375" t="str">
            <v>AQU4518R9v06</v>
          </cell>
          <cell r="E375" t="str">
            <v>AQU4518R9v06</v>
          </cell>
          <cell r="F375" t="str">
            <v>AQU4518R9v06</v>
          </cell>
          <cell r="G375" t="str">
            <v>GMNEG7S3</v>
          </cell>
        </row>
        <row r="376">
          <cell r="D376" t="str">
            <v>AQU4518R9v06</v>
          </cell>
          <cell r="E376" t="str">
            <v>AQU4518R9v06</v>
          </cell>
          <cell r="F376" t="str">
            <v>AQU4518R9v06</v>
          </cell>
          <cell r="G376" t="str">
            <v>GMNEG9S3</v>
          </cell>
        </row>
        <row r="377">
          <cell r="D377" t="str">
            <v>AQU4518R9v06</v>
          </cell>
          <cell r="E377" t="str">
            <v>AQU4518R9v06</v>
          </cell>
          <cell r="F377" t="str">
            <v>AQU4518R9v06</v>
          </cell>
          <cell r="G377" t="str">
            <v>GMNIT1S1</v>
          </cell>
        </row>
        <row r="378">
          <cell r="D378" t="str">
            <v>AQU4518R9v06</v>
          </cell>
          <cell r="E378" t="str">
            <v>AQU4518R9v06</v>
          </cell>
          <cell r="F378" t="str"/>
          <cell r="G378" t="str">
            <v>GMNIT1S2</v>
          </cell>
        </row>
        <row r="379">
          <cell r="D379" t="str">
            <v>AQU4518R9v06</v>
          </cell>
          <cell r="E379" t="str">
            <v>AQU4518R9v06</v>
          </cell>
          <cell r="F379" t="str">
            <v>AQU4518R9v06</v>
          </cell>
          <cell r="G379" t="str">
            <v>GMNIT1S3</v>
          </cell>
        </row>
        <row r="380">
          <cell r="D380" t="str"/>
          <cell r="E380" t="str">
            <v>APE4517R0v06</v>
          </cell>
          <cell r="F380" t="str">
            <v>APE4517R0v06</v>
          </cell>
          <cell r="G380" t="str">
            <v>GMNLP1S1</v>
          </cell>
        </row>
        <row r="381">
          <cell r="D381" t="str"/>
          <cell r="E381" t="str">
            <v>APE4517R0v06</v>
          </cell>
          <cell r="F381" t="str">
            <v>APE4517R0v06</v>
          </cell>
          <cell r="G381" t="str">
            <v>GMNLP1S2</v>
          </cell>
        </row>
        <row r="382">
          <cell r="D382" t="str"/>
          <cell r="E382" t="str">
            <v>APE4517R0v06</v>
          </cell>
          <cell r="F382" t="str">
            <v>APE4517R0v06</v>
          </cell>
          <cell r="G382" t="str">
            <v>GMNLP1S3</v>
          </cell>
        </row>
        <row r="383">
          <cell r="D383" t="str">
            <v>APE4517R0v06</v>
          </cell>
          <cell r="E383" t="str">
            <v>APE4517R0v06</v>
          </cell>
          <cell r="F383" t="str">
            <v>APE4517R0v06</v>
          </cell>
          <cell r="G383" t="str">
            <v>GMNTN1S1</v>
          </cell>
        </row>
        <row r="384">
          <cell r="D384" t="str">
            <v>APE4517R0v06</v>
          </cell>
          <cell r="E384" t="str">
            <v>APE4517R0v06</v>
          </cell>
          <cell r="F384" t="str">
            <v>APE4517R0v06</v>
          </cell>
          <cell r="G384" t="str">
            <v>GMNTN1S2</v>
          </cell>
        </row>
        <row r="385">
          <cell r="D385" t="str">
            <v>APE4517R0v06</v>
          </cell>
          <cell r="E385" t="str">
            <v>APE4517R0v06</v>
          </cell>
          <cell r="F385" t="str">
            <v>APE4517R0v06</v>
          </cell>
          <cell r="G385" t="str">
            <v>GMNTN1S3</v>
          </cell>
        </row>
        <row r="386">
          <cell r="D386" t="str">
            <v>APE4517R0v06</v>
          </cell>
          <cell r="E386" t="str">
            <v>APE4517R0v06</v>
          </cell>
          <cell r="F386" t="str">
            <v>APE4517R0v06</v>
          </cell>
          <cell r="G386" t="str">
            <v>GMNTN2S1</v>
          </cell>
        </row>
        <row r="387">
          <cell r="D387" t="str">
            <v>APE4517R0v06</v>
          </cell>
          <cell r="E387" t="str">
            <v>APE4517R0v06</v>
          </cell>
          <cell r="F387" t="str">
            <v>APE4517R0v06</v>
          </cell>
          <cell r="G387" t="str">
            <v>GMNTN2S2</v>
          </cell>
        </row>
        <row r="388">
          <cell r="D388" t="str">
            <v>APE4517R0v06</v>
          </cell>
          <cell r="E388" t="str">
            <v>APE4517R0v06</v>
          </cell>
          <cell r="F388" t="str">
            <v>APE4517R0v06</v>
          </cell>
          <cell r="G388" t="str">
            <v>GMNTN2S3</v>
          </cell>
        </row>
        <row r="389">
          <cell r="D389" t="str">
            <v>AQU4518R9v06</v>
          </cell>
          <cell r="E389" t="str">
            <v>AQU4518R9v06</v>
          </cell>
          <cell r="F389" t="str">
            <v>AQU4518R9v06</v>
          </cell>
          <cell r="G389" t="str">
            <v>GMNTN3S1</v>
          </cell>
        </row>
        <row r="390">
          <cell r="D390" t="str">
            <v>AQU4518R9v06</v>
          </cell>
          <cell r="E390" t="str">
            <v>AQU4518R9v06</v>
          </cell>
          <cell r="F390" t="str">
            <v>AQU4518R9v06</v>
          </cell>
          <cell r="G390" t="str">
            <v>GMNTN3S2</v>
          </cell>
        </row>
        <row r="391">
          <cell r="D391" t="str">
            <v>AQU4518R9v06</v>
          </cell>
          <cell r="E391" t="str">
            <v>AQU4518R9v06</v>
          </cell>
          <cell r="F391" t="str">
            <v>AQU4518R9v06</v>
          </cell>
          <cell r="G391" t="str">
            <v>GMNTN3S3</v>
          </cell>
        </row>
        <row r="392">
          <cell r="D392" t="str">
            <v>APE4517R0v06</v>
          </cell>
          <cell r="E392" t="str">
            <v>APE4517R0v06</v>
          </cell>
          <cell r="F392" t="str">
            <v>APE4517R0v06</v>
          </cell>
          <cell r="G392" t="str">
            <v>GMORU1S2</v>
          </cell>
        </row>
        <row r="393">
          <cell r="D393" t="str">
            <v>AQU4518R9v06</v>
          </cell>
          <cell r="E393" t="str">
            <v>AQU4518R9v06</v>
          </cell>
          <cell r="F393" t="str">
            <v>AQU4518R9v06</v>
          </cell>
          <cell r="G393" t="str">
            <v>GMPAL1S1</v>
          </cell>
        </row>
        <row r="394">
          <cell r="D394" t="str">
            <v>AQU4518R9v06</v>
          </cell>
          <cell r="E394" t="str">
            <v>AQU4518R9v06</v>
          </cell>
          <cell r="F394" t="str">
            <v>AQU4518R9v06</v>
          </cell>
          <cell r="G394" t="str">
            <v>GMPAL1S2</v>
          </cell>
        </row>
        <row r="395">
          <cell r="D395" t="str">
            <v>AQU4518R9v06</v>
          </cell>
          <cell r="E395" t="str">
            <v>AQU4518R9v06</v>
          </cell>
          <cell r="F395" t="str">
            <v>AQU4518R9v06</v>
          </cell>
          <cell r="G395" t="str">
            <v>GMPAL1S3</v>
          </cell>
        </row>
        <row r="396">
          <cell r="D396" t="str"/>
          <cell r="E396" t="str">
            <v>AMB4519R6v06</v>
          </cell>
          <cell r="F396" t="str"/>
          <cell r="G396" t="str">
            <v>GMPAL2NA</v>
          </cell>
        </row>
        <row r="397">
          <cell r="D397" t="str">
            <v>AQU4518R9v06</v>
          </cell>
          <cell r="E397" t="str">
            <v>AQU4518R9v06</v>
          </cell>
          <cell r="F397" t="str">
            <v>AQU4518R9v06</v>
          </cell>
          <cell r="G397" t="str">
            <v>GMPAL2S1</v>
          </cell>
        </row>
        <row r="398">
          <cell r="D398" t="str">
            <v>AQU4518R9v06</v>
          </cell>
          <cell r="E398" t="str">
            <v>AQU4518R9v06</v>
          </cell>
          <cell r="F398" t="str">
            <v>AQU4518R9v06</v>
          </cell>
          <cell r="G398" t="str">
            <v>GMPAL2S2</v>
          </cell>
        </row>
        <row r="399">
          <cell r="D399" t="str">
            <v>AQU4518R9v06</v>
          </cell>
          <cell r="E399" t="str"/>
          <cell r="F399" t="str">
            <v>AQU4518R9v06</v>
          </cell>
          <cell r="G399" t="str">
            <v>GMPAL2S3</v>
          </cell>
        </row>
        <row r="400">
          <cell r="D400" t="str">
            <v>APE4517R0v06</v>
          </cell>
          <cell r="E400" t="str">
            <v>APE4517R0v06</v>
          </cell>
          <cell r="F400" t="str">
            <v>APE4517R0v06</v>
          </cell>
          <cell r="G400" t="str">
            <v>GMPAL4S1</v>
          </cell>
        </row>
        <row r="401">
          <cell r="D401" t="str">
            <v>APE4517R0v06</v>
          </cell>
          <cell r="E401" t="str">
            <v>APE4517R0v06</v>
          </cell>
          <cell r="F401" t="str">
            <v>APE4517R0v06</v>
          </cell>
          <cell r="G401" t="str">
            <v>GMPAL4S2</v>
          </cell>
        </row>
        <row r="402">
          <cell r="D402" t="str">
            <v>APE4517R0v06</v>
          </cell>
          <cell r="E402" t="str">
            <v>APE4517R0v06</v>
          </cell>
          <cell r="F402" t="str">
            <v>APE4517R0v06</v>
          </cell>
          <cell r="G402" t="str">
            <v>GMPAL4S3</v>
          </cell>
        </row>
        <row r="403">
          <cell r="D403" t="str">
            <v>AQU4518R9v06</v>
          </cell>
          <cell r="E403" t="str">
            <v>AQU4518R9v06</v>
          </cell>
          <cell r="F403" t="str">
            <v>AQU4518R9v06</v>
          </cell>
          <cell r="G403" t="str">
            <v>GMPAR1S1</v>
          </cell>
        </row>
        <row r="404">
          <cell r="D404" t="str">
            <v>AQU4518R9v06</v>
          </cell>
          <cell r="E404" t="str">
            <v>AQU4518R9v06</v>
          </cell>
          <cell r="F404" t="str">
            <v>AQU4518R9v06</v>
          </cell>
          <cell r="G404" t="str">
            <v>GMPAR1S2</v>
          </cell>
        </row>
        <row r="405">
          <cell r="D405" t="str">
            <v>AQU4518R9v06</v>
          </cell>
          <cell r="E405" t="str">
            <v>AQU4518R9v06</v>
          </cell>
          <cell r="F405" t="str">
            <v>AQU4518R9v06</v>
          </cell>
          <cell r="G405" t="str">
            <v>GMPAR1S3</v>
          </cell>
        </row>
        <row r="406">
          <cell r="D406" t="str">
            <v>APE4517R0v06</v>
          </cell>
          <cell r="E406" t="str">
            <v>APE4517R0v06</v>
          </cell>
          <cell r="F406" t="str">
            <v>APE4517R0v06</v>
          </cell>
          <cell r="G406" t="str">
            <v>GMPAR2S1</v>
          </cell>
        </row>
        <row r="407">
          <cell r="D407" t="str">
            <v>APE4517R0v06</v>
          </cell>
          <cell r="E407" t="str">
            <v>APE4517R0v06</v>
          </cell>
          <cell r="F407" t="str">
            <v>APE4517R0v06</v>
          </cell>
          <cell r="G407" t="str">
            <v>GMPAR2S2</v>
          </cell>
        </row>
        <row r="408">
          <cell r="D408" t="str">
            <v>APE4517R0v06</v>
          </cell>
          <cell r="E408" t="str">
            <v>APE4517R0v06</v>
          </cell>
          <cell r="F408" t="str">
            <v>APE4517R0v06</v>
          </cell>
          <cell r="G408" t="str">
            <v>GMPAR2S3</v>
          </cell>
        </row>
        <row r="409">
          <cell r="D409" t="str"/>
          <cell r="E409" t="str">
            <v>AMB4519R6v06</v>
          </cell>
          <cell r="F409" t="str"/>
          <cell r="G409" t="str">
            <v>GMPEE1NA</v>
          </cell>
        </row>
        <row r="410">
          <cell r="D410" t="str">
            <v>APE4517R0v06</v>
          </cell>
          <cell r="E410" t="str">
            <v>APE4517R0v06</v>
          </cell>
          <cell r="F410" t="str">
            <v>APE4517R0v06</v>
          </cell>
          <cell r="G410" t="str">
            <v>GMPEE1S2</v>
          </cell>
        </row>
        <row r="411">
          <cell r="D411" t="str"/>
          <cell r="E411" t="str">
            <v>ADU4521R0v06</v>
          </cell>
          <cell r="F411" t="str">
            <v>ADU4521R0v06</v>
          </cell>
          <cell r="G411" t="str">
            <v>GMPEE1S3</v>
          </cell>
        </row>
        <row r="412">
          <cell r="D412" t="str">
            <v>APE4517R0v06</v>
          </cell>
          <cell r="E412" t="str">
            <v>APE4517R0v06</v>
          </cell>
          <cell r="F412" t="str">
            <v>APE4517R0v06</v>
          </cell>
          <cell r="G412" t="str">
            <v>GMPER1S1</v>
          </cell>
        </row>
        <row r="413">
          <cell r="D413" t="str">
            <v>APE4517R0v06</v>
          </cell>
          <cell r="E413" t="str">
            <v>APE4517R0v06</v>
          </cell>
          <cell r="F413" t="str">
            <v>APE4517R0v06</v>
          </cell>
          <cell r="G413" t="str">
            <v>GMPER1S2</v>
          </cell>
        </row>
        <row r="414">
          <cell r="D414" t="str">
            <v>APE4517R0v06</v>
          </cell>
          <cell r="E414" t="str">
            <v>APE4517R0v06</v>
          </cell>
          <cell r="F414" t="str">
            <v>APE4517R0v06</v>
          </cell>
          <cell r="G414" t="str">
            <v>GMPER1S3</v>
          </cell>
        </row>
        <row r="415">
          <cell r="D415" t="str"/>
          <cell r="E415" t="str">
            <v>AMB4519R6v06</v>
          </cell>
          <cell r="F415" t="str"/>
          <cell r="G415" t="str">
            <v>GMPIT1NA</v>
          </cell>
        </row>
        <row r="416">
          <cell r="D416" t="str">
            <v>AQU4518R9v06</v>
          </cell>
          <cell r="E416" t="str">
            <v>AQU4518R9v06</v>
          </cell>
          <cell r="F416" t="str">
            <v>AQU4518R9v06</v>
          </cell>
          <cell r="G416" t="str">
            <v>GMPIT1S1</v>
          </cell>
        </row>
        <row r="417">
          <cell r="D417" t="str">
            <v>AQU4518R9v06</v>
          </cell>
          <cell r="E417" t="str"/>
          <cell r="F417" t="str">
            <v>AQU4518R9v06</v>
          </cell>
          <cell r="G417" t="str">
            <v>GMPIT1S2</v>
          </cell>
        </row>
        <row r="418">
          <cell r="D418" t="str">
            <v>AQU4518R9v06</v>
          </cell>
          <cell r="E418" t="str"/>
          <cell r="F418" t="str"/>
          <cell r="G418" t="str">
            <v>GMPIT1S3</v>
          </cell>
        </row>
        <row r="419">
          <cell r="D419" t="str">
            <v>ATR4517R0v06</v>
          </cell>
          <cell r="E419" t="str">
            <v>ATR4517R0v06</v>
          </cell>
          <cell r="F419" t="str">
            <v>ATR4517R0v06</v>
          </cell>
          <cell r="G419" t="str">
            <v>GMPLW1S1</v>
          </cell>
        </row>
        <row r="420">
          <cell r="D420" t="str">
            <v>ATR4517R0v06</v>
          </cell>
          <cell r="E420" t="str">
            <v>ATR4517R0v06</v>
          </cell>
          <cell r="F420" t="str">
            <v>ATR4517R0v06</v>
          </cell>
          <cell r="G420" t="str">
            <v>GMPLW1S2</v>
          </cell>
        </row>
        <row r="421">
          <cell r="D421" t="str">
            <v>ATR4517R0v06</v>
          </cell>
          <cell r="E421" t="str">
            <v>ATR4517R0v06</v>
          </cell>
          <cell r="F421" t="str">
            <v>ATR4517R0v06</v>
          </cell>
          <cell r="G421" t="str">
            <v>GMPLW1S3</v>
          </cell>
        </row>
        <row r="422">
          <cell r="D422" t="str"/>
          <cell r="E422" t="str"/>
          <cell r="F422" t="str">
            <v>AQU4518R9v06</v>
          </cell>
          <cell r="G422" t="str">
            <v>GMRAD1S1</v>
          </cell>
        </row>
        <row r="423">
          <cell r="D423" t="str"/>
          <cell r="E423" t="str"/>
          <cell r="F423" t="str">
            <v>AQU4518R9v06</v>
          </cell>
          <cell r="G423" t="str">
            <v>GMRAD1S2</v>
          </cell>
        </row>
        <row r="424">
          <cell r="D424" t="str"/>
          <cell r="E424" t="str"/>
          <cell r="F424" t="str">
            <v>AQU4518R9v06</v>
          </cell>
          <cell r="G424" t="str">
            <v>GMRAD1S3</v>
          </cell>
        </row>
        <row r="425">
          <cell r="D425" t="str">
            <v>AQU4518R9v06</v>
          </cell>
          <cell r="E425" t="str"/>
          <cell r="F425" t="str"/>
          <cell r="G425" t="str">
            <v>GMRAD1S1</v>
          </cell>
        </row>
        <row r="426">
          <cell r="D426" t="str">
            <v>AQU4518R9v06</v>
          </cell>
          <cell r="E426" t="str"/>
          <cell r="F426" t="str"/>
          <cell r="G426" t="str">
            <v>GMRAD1S2</v>
          </cell>
        </row>
        <row r="427">
          <cell r="D427" t="str">
            <v>AQU4518R9v06</v>
          </cell>
          <cell r="E427" t="str"/>
          <cell r="F427" t="str"/>
          <cell r="G427" t="str">
            <v>GMRAD1S3</v>
          </cell>
        </row>
        <row r="428">
          <cell r="D428" t="str"/>
          <cell r="E428" t="str">
            <v>AQU4518R9v06</v>
          </cell>
          <cell r="F428" t="str"/>
          <cell r="G428" t="str">
            <v>GMRAD1S1</v>
          </cell>
        </row>
        <row r="429">
          <cell r="D429" t="str"/>
          <cell r="E429" t="str">
            <v>AQU4518R9v06</v>
          </cell>
          <cell r="F429" t="str"/>
          <cell r="G429" t="str">
            <v>GMRAD1S2</v>
          </cell>
        </row>
        <row r="430">
          <cell r="D430" t="str"/>
          <cell r="E430" t="str">
            <v>AQU4518R9v06</v>
          </cell>
          <cell r="F430" t="str"/>
          <cell r="G430" t="str">
            <v>GMRAD1S3</v>
          </cell>
        </row>
        <row r="431">
          <cell r="D431" t="str"/>
          <cell r="E431" t="str">
            <v>A10244PD00v06</v>
          </cell>
          <cell r="F431" t="str"/>
          <cell r="G431" t="str">
            <v>GMRAD2S1</v>
          </cell>
        </row>
        <row r="432">
          <cell r="D432" t="str"/>
          <cell r="E432" t="str">
            <v>A10244PD00v06</v>
          </cell>
          <cell r="F432" t="str"/>
          <cell r="G432" t="str">
            <v>GMRAD2S2</v>
          </cell>
        </row>
        <row r="433">
          <cell r="D433" t="str"/>
          <cell r="E433" t="str">
            <v>A10244PD00v06</v>
          </cell>
          <cell r="F433" t="str"/>
          <cell r="G433" t="str">
            <v>GMRAD2S3</v>
          </cell>
        </row>
        <row r="434">
          <cell r="D434" t="str">
            <v>AQU4518R9v06</v>
          </cell>
          <cell r="E434" t="str">
            <v>AQU4518R9v06</v>
          </cell>
          <cell r="F434" t="str">
            <v>AQU4518R9v06</v>
          </cell>
          <cell r="G434" t="str">
            <v>GMRAN1S1</v>
          </cell>
        </row>
        <row r="435">
          <cell r="D435" t="str">
            <v>AQU4518R9v06</v>
          </cell>
          <cell r="E435" t="str">
            <v>AQU4518R9v06</v>
          </cell>
          <cell r="F435" t="str">
            <v>AQU4518R9v06</v>
          </cell>
          <cell r="G435" t="str">
            <v>GMRAN1S2</v>
          </cell>
        </row>
        <row r="436">
          <cell r="D436" t="str">
            <v>AQU4518R9v06</v>
          </cell>
          <cell r="E436" t="str">
            <v>AQU4518R9v06</v>
          </cell>
          <cell r="F436" t="str">
            <v>AQU4518R9v06</v>
          </cell>
          <cell r="G436" t="str">
            <v>GMRAN1S3</v>
          </cell>
        </row>
        <row r="437">
          <cell r="D437" t="str"/>
          <cell r="E437" t="str"/>
          <cell r="F437" t="str">
            <v>AQU4518R9v06</v>
          </cell>
          <cell r="G437" t="str">
            <v>GMRAT1S1</v>
          </cell>
        </row>
        <row r="438">
          <cell r="D438" t="str"/>
          <cell r="E438" t="str"/>
          <cell r="F438" t="str">
            <v>AQU4518R9v06</v>
          </cell>
          <cell r="G438" t="str">
            <v>GMRAT1NA</v>
          </cell>
        </row>
        <row r="439">
          <cell r="D439" t="str">
            <v>AQU4518R9v06</v>
          </cell>
          <cell r="E439" t="str">
            <v>AQU4518R9v06</v>
          </cell>
          <cell r="F439" t="str"/>
          <cell r="G439" t="str">
            <v>GMRAT1S1</v>
          </cell>
        </row>
        <row r="440">
          <cell r="D440" t="str">
            <v>AQU4518R9v06</v>
          </cell>
          <cell r="E440" t="str">
            <v>AQU4518R9v06</v>
          </cell>
          <cell r="F440" t="str"/>
          <cell r="G440" t="str">
            <v>GMRAT1S3</v>
          </cell>
        </row>
        <row r="441">
          <cell r="D441" t="str">
            <v>AQU4518R9v06</v>
          </cell>
          <cell r="E441" t="str">
            <v>AQU4518R9v06</v>
          </cell>
          <cell r="F441" t="str"/>
          <cell r="G441" t="str">
            <v>GMRTB3S2</v>
          </cell>
        </row>
        <row r="442">
          <cell r="D442" t="str">
            <v>AQU4518R9v06</v>
          </cell>
          <cell r="E442" t="str">
            <v>AQU4518R9v06</v>
          </cell>
          <cell r="F442" t="str"/>
          <cell r="G442" t="str">
            <v>GMRTB3S3</v>
          </cell>
        </row>
        <row r="443">
          <cell r="D443" t="str"/>
          <cell r="E443" t="str">
            <v>AMB4519R6v06</v>
          </cell>
          <cell r="F443" t="str"/>
          <cell r="G443" t="str">
            <v>GMSEE1NA</v>
          </cell>
        </row>
        <row r="444">
          <cell r="D444" t="str">
            <v>AQU4518R9v06</v>
          </cell>
          <cell r="E444" t="str">
            <v>AQU4518R9v06</v>
          </cell>
          <cell r="F444" t="str">
            <v>AQU4518R9v06</v>
          </cell>
          <cell r="G444" t="str">
            <v>GMSEE1S1</v>
          </cell>
        </row>
        <row r="445">
          <cell r="D445" t="str">
            <v>AQU4518R9v06</v>
          </cell>
          <cell r="E445" t="str"/>
          <cell r="F445" t="str">
            <v>AQU4518R9v06</v>
          </cell>
          <cell r="G445" t="str">
            <v>GMSEE1S2</v>
          </cell>
        </row>
        <row r="446">
          <cell r="D446" t="str">
            <v>AQU4518R9v06</v>
          </cell>
          <cell r="E446" t="str">
            <v>AQU4518R9v06</v>
          </cell>
          <cell r="F446" t="str">
            <v>AQU4518R9v06</v>
          </cell>
          <cell r="G446" t="str">
            <v>GMSEE1S3</v>
          </cell>
        </row>
        <row r="447">
          <cell r="D447" t="str"/>
          <cell r="E447" t="str">
            <v>A10244PD00v06</v>
          </cell>
          <cell r="F447" t="str"/>
          <cell r="G447" t="str">
            <v>GMSEE2NA</v>
          </cell>
        </row>
        <row r="448">
          <cell r="D448" t="str">
            <v>A10244PD00v06</v>
          </cell>
          <cell r="E448" t="str"/>
          <cell r="F448" t="str"/>
          <cell r="G448" t="str">
            <v>GMSEE2S1</v>
          </cell>
        </row>
        <row r="449">
          <cell r="D449" t="str">
            <v>AQU4518R9v06</v>
          </cell>
          <cell r="E449" t="str">
            <v>AQU4518R9v06</v>
          </cell>
          <cell r="F449" t="str">
            <v>AQU4518R9v06</v>
          </cell>
          <cell r="G449" t="str">
            <v>GMSEE2S2</v>
          </cell>
        </row>
        <row r="450">
          <cell r="D450" t="str">
            <v>AQU4518R9v06</v>
          </cell>
          <cell r="E450" t="str">
            <v>AQU4518R9v06</v>
          </cell>
          <cell r="F450" t="str"/>
          <cell r="G450" t="str">
            <v>GMSEE2S3</v>
          </cell>
        </row>
        <row r="451">
          <cell r="D451" t="str">
            <v>AQU4518R9v06</v>
          </cell>
          <cell r="E451" t="str">
            <v>AQU4518R9v06</v>
          </cell>
          <cell r="F451" t="str">
            <v>AQU4518R9v06</v>
          </cell>
          <cell r="G451" t="str">
            <v>GMSEE3S1</v>
          </cell>
        </row>
        <row r="452">
          <cell r="D452" t="str">
            <v>AQU4518R9v06</v>
          </cell>
          <cell r="E452" t="str">
            <v>AQU4518R9v06</v>
          </cell>
          <cell r="F452" t="str">
            <v>AQU4518R9v06</v>
          </cell>
          <cell r="G452" t="str">
            <v>GMSEE3S2</v>
          </cell>
        </row>
        <row r="453">
          <cell r="D453" t="str">
            <v>AQU4518R9v06</v>
          </cell>
          <cell r="E453" t="str">
            <v>AQU4518R9v06</v>
          </cell>
          <cell r="F453" t="str">
            <v>AQU4518R9v06</v>
          </cell>
          <cell r="G453" t="str">
            <v>GMSEE3S3</v>
          </cell>
        </row>
        <row r="454">
          <cell r="D454" t="str">
            <v>AQU4518R9v06</v>
          </cell>
          <cell r="E454" t="str">
            <v>AQU4518R9v06</v>
          </cell>
          <cell r="F454" t="str">
            <v>AQU4518R9v06</v>
          </cell>
          <cell r="G454" t="str">
            <v>GMTHA2S1</v>
          </cell>
        </row>
        <row r="455">
          <cell r="D455" t="str">
            <v>AQU4518R9v06</v>
          </cell>
          <cell r="E455" t="str">
            <v>AQU4518R9v06</v>
          </cell>
          <cell r="F455" t="str">
            <v>AQU4518R9v06</v>
          </cell>
          <cell r="G455" t="str">
            <v>GMTHA2S2</v>
          </cell>
        </row>
        <row r="456">
          <cell r="D456" t="str">
            <v>AQU4518R9v06</v>
          </cell>
          <cell r="E456" t="str">
            <v>AQU4518R9v06</v>
          </cell>
          <cell r="F456" t="str">
            <v>AQU4518R9v06</v>
          </cell>
          <cell r="G456" t="str">
            <v>GMTHA2S3</v>
          </cell>
        </row>
        <row r="457">
          <cell r="D457" t="str">
            <v>AQU4518R9v06</v>
          </cell>
          <cell r="E457" t="str">
            <v>AQU4518R9v06</v>
          </cell>
          <cell r="F457" t="str">
            <v>AQU4518R9v06</v>
          </cell>
          <cell r="G457" t="str">
            <v>GMTHI1S1</v>
          </cell>
        </row>
        <row r="458">
          <cell r="D458" t="str">
            <v>AQU4518R9v06</v>
          </cell>
          <cell r="E458" t="str">
            <v>AQU4518R9v06</v>
          </cell>
          <cell r="F458" t="str">
            <v>AQU4518R9v06</v>
          </cell>
          <cell r="G458" t="str">
            <v>GMTHI1S2</v>
          </cell>
        </row>
        <row r="459">
          <cell r="D459" t="str">
            <v>AQU4518R9v06</v>
          </cell>
          <cell r="E459" t="str">
            <v>AQU4518R9v06</v>
          </cell>
          <cell r="F459" t="str">
            <v>AQU4518R9v06</v>
          </cell>
          <cell r="G459" t="str">
            <v>GMTHI1S3</v>
          </cell>
        </row>
        <row r="460">
          <cell r="D460" t="str">
            <v>AQU4518R9v06</v>
          </cell>
          <cell r="E460" t="str">
            <v>AQU4518R9v06</v>
          </cell>
          <cell r="F460" t="str">
            <v>AQU4518R9v06</v>
          </cell>
          <cell r="G460" t="str">
            <v>GMTHI2S1</v>
          </cell>
        </row>
        <row r="461">
          <cell r="D461" t="str">
            <v>AQU4518R9v06</v>
          </cell>
          <cell r="E461" t="str">
            <v>AQU4518R9v06</v>
          </cell>
          <cell r="F461" t="str">
            <v>AQU4518R9v06</v>
          </cell>
          <cell r="G461" t="str">
            <v>GMTHI2S2</v>
          </cell>
        </row>
        <row r="462">
          <cell r="D462" t="str">
            <v>AQU4518R9v06</v>
          </cell>
          <cell r="E462" t="str">
            <v>AQU4518R9v06</v>
          </cell>
          <cell r="F462" t="str">
            <v>AQU4518R9v06</v>
          </cell>
          <cell r="G462" t="str">
            <v>GMTHI2S3</v>
          </cell>
        </row>
        <row r="463">
          <cell r="D463" t="str"/>
          <cell r="E463" t="str">
            <v>A10244PD00v06</v>
          </cell>
          <cell r="F463" t="str"/>
          <cell r="G463" t="str">
            <v>GMTIB1NA</v>
          </cell>
        </row>
        <row r="464">
          <cell r="D464" t="str">
            <v>AQU4518R9v06</v>
          </cell>
          <cell r="E464" t="str">
            <v>AQU4518R9v06</v>
          </cell>
          <cell r="F464" t="str">
            <v>AQU4518R9v06</v>
          </cell>
          <cell r="G464" t="str">
            <v>GMTRN1S1</v>
          </cell>
        </row>
        <row r="465">
          <cell r="D465" t="str"/>
          <cell r="E465" t="str">
            <v>AQU4518R9v06</v>
          </cell>
          <cell r="F465" t="str"/>
          <cell r="G465" t="str">
            <v>GMUDA2S1</v>
          </cell>
        </row>
        <row r="466">
          <cell r="D466" t="str"/>
          <cell r="E466" t="str">
            <v>AQU4518R9v06</v>
          </cell>
          <cell r="F466" t="str"/>
          <cell r="G466" t="str">
            <v>GMUDA2S2</v>
          </cell>
        </row>
        <row r="467">
          <cell r="D467" t="str"/>
          <cell r="E467" t="str">
            <v>AQU4518R9v06</v>
          </cell>
          <cell r="F467" t="str"/>
          <cell r="G467" t="str">
            <v>GMUDA2S3</v>
          </cell>
        </row>
        <row r="468">
          <cell r="D468" t="str"/>
          <cell r="E468" t="str"/>
          <cell r="F468" t="str">
            <v>AQU4518R9v06</v>
          </cell>
          <cell r="G468" t="str">
            <v>GMUDA2S1</v>
          </cell>
        </row>
        <row r="469">
          <cell r="D469" t="str"/>
          <cell r="E469" t="str"/>
          <cell r="F469" t="str">
            <v>AQU4518R9v06</v>
          </cell>
          <cell r="G469" t="str">
            <v>GMUDA2S2</v>
          </cell>
        </row>
        <row r="470">
          <cell r="D470" t="str"/>
          <cell r="E470" t="str"/>
          <cell r="F470" t="str">
            <v>AQU4518R9v06</v>
          </cell>
          <cell r="G470" t="str">
            <v>GMUDA2S3</v>
          </cell>
        </row>
        <row r="471">
          <cell r="D471" t="str">
            <v>AQU4518R9v06</v>
          </cell>
          <cell r="E471" t="str"/>
          <cell r="F471" t="str"/>
          <cell r="G471" t="str">
            <v>GMUDA2S1</v>
          </cell>
        </row>
        <row r="472">
          <cell r="D472" t="str">
            <v>AQU4518R9v06</v>
          </cell>
          <cell r="E472" t="str"/>
          <cell r="F472" t="str"/>
          <cell r="G472" t="str">
            <v>GMUDA2S2</v>
          </cell>
        </row>
        <row r="473">
          <cell r="D473" t="str">
            <v>AQU4518R9v06</v>
          </cell>
          <cell r="E473" t="str"/>
          <cell r="F473" t="str"/>
          <cell r="G473" t="str">
            <v>GMUDA2S3</v>
          </cell>
        </row>
        <row r="474">
          <cell r="D474" t="str"/>
          <cell r="E474" t="str">
            <v>AQU4518R9v06</v>
          </cell>
          <cell r="F474" t="str"/>
          <cell r="G474" t="str">
            <v>GMUDA2S1</v>
          </cell>
        </row>
        <row r="475">
          <cell r="D475" t="str"/>
          <cell r="E475" t="str">
            <v>AQU4518R9v06</v>
          </cell>
          <cell r="F475" t="str"/>
          <cell r="G475" t="str">
            <v>GMUDA2S2</v>
          </cell>
        </row>
        <row r="476">
          <cell r="D476" t="str"/>
          <cell r="E476" t="str">
            <v>AQU4518R9v06</v>
          </cell>
          <cell r="F476" t="str"/>
          <cell r="G476" t="str">
            <v>GMUDA2S3</v>
          </cell>
        </row>
        <row r="477">
          <cell r="D477" t="str">
            <v>AQU4518R9v06</v>
          </cell>
          <cell r="E477" t="str">
            <v>AQU4518R9v06</v>
          </cell>
          <cell r="F477" t="str">
            <v>AQU4518R9v06</v>
          </cell>
          <cell r="G477" t="str">
            <v>GMUDU2S1</v>
          </cell>
        </row>
        <row r="478">
          <cell r="D478" t="str">
            <v>AQU4518R9v06</v>
          </cell>
          <cell r="E478" t="str">
            <v>AQU4518R9v06</v>
          </cell>
          <cell r="F478" t="str">
            <v>AQU4518R9v06</v>
          </cell>
          <cell r="G478" t="str">
            <v>GMUDU2S2</v>
          </cell>
        </row>
        <row r="479">
          <cell r="D479" t="str">
            <v>AQU4518R9v06</v>
          </cell>
          <cell r="E479" t="str">
            <v>AQU4518R9v06</v>
          </cell>
          <cell r="F479" t="str">
            <v>AQU4518R9v06</v>
          </cell>
          <cell r="G479" t="str">
            <v>GMUDU2S3</v>
          </cell>
        </row>
        <row r="480">
          <cell r="D480" t="str"/>
          <cell r="E480" t="str">
            <v>ATR4517R0v06</v>
          </cell>
          <cell r="F480" t="str"/>
          <cell r="G480" t="str">
            <v>GMUGG1S1</v>
          </cell>
        </row>
        <row r="481">
          <cell r="D481" t="str"/>
          <cell r="E481" t="str">
            <v>APE4517R0v06</v>
          </cell>
          <cell r="F481" t="str"/>
          <cell r="G481" t="str">
            <v>GMUGG1S2</v>
          </cell>
        </row>
        <row r="482">
          <cell r="D482" t="str">
            <v>AQU4518R9v06</v>
          </cell>
          <cell r="E482" t="str">
            <v>AQU4518R9v06</v>
          </cell>
          <cell r="F482" t="str">
            <v>AQU4518R9v06</v>
          </cell>
          <cell r="G482" t="str">
            <v>GMURA1S1</v>
          </cell>
        </row>
        <row r="483">
          <cell r="D483" t="str">
            <v>AQU4518R9v06</v>
          </cell>
          <cell r="E483" t="str">
            <v>AQU4518R9v06</v>
          </cell>
          <cell r="F483" t="str">
            <v>AQU4518R9v06</v>
          </cell>
          <cell r="G483" t="str">
            <v>GMURA1S2</v>
          </cell>
        </row>
        <row r="484">
          <cell r="D484" t="str">
            <v>AQU4518R9v06</v>
          </cell>
          <cell r="E484" t="str">
            <v>AQU4518R9v06</v>
          </cell>
          <cell r="F484" t="str">
            <v>AQU4518R9v06</v>
          </cell>
          <cell r="G484" t="str">
            <v>GMURA1S3</v>
          </cell>
        </row>
        <row r="485">
          <cell r="D485" t="str"/>
          <cell r="E485" t="str">
            <v>AQU4518R9v06</v>
          </cell>
          <cell r="F485" t="str"/>
          <cell r="G485" t="str">
            <v>GMVEY1S1</v>
          </cell>
        </row>
        <row r="486">
          <cell r="D486" t="str"/>
          <cell r="E486" t="str"/>
          <cell r="F486" t="str">
            <v>AQU4518R9v06</v>
          </cell>
          <cell r="G486" t="str">
            <v>GMVEY1S1</v>
          </cell>
        </row>
        <row r="487">
          <cell r="D487" t="str">
            <v>AQU4518R9v06</v>
          </cell>
          <cell r="E487" t="str"/>
          <cell r="F487" t="str"/>
          <cell r="G487" t="str">
            <v>GMVEY1S1</v>
          </cell>
        </row>
        <row r="488">
          <cell r="D488" t="str"/>
          <cell r="E488" t="str">
            <v>AMB4519R6v06</v>
          </cell>
          <cell r="F488" t="str"/>
          <cell r="G488" t="str">
            <v>GMVEY1NA</v>
          </cell>
        </row>
        <row r="489">
          <cell r="D489" t="str">
            <v>AQU4518R9v06</v>
          </cell>
          <cell r="E489" t="str">
            <v>AQU4518R9v06</v>
          </cell>
          <cell r="F489" t="str"/>
          <cell r="G489" t="str">
            <v>GMVEY1S1</v>
          </cell>
        </row>
        <row r="490">
          <cell r="D490" t="str">
            <v>AQU4518R9v06</v>
          </cell>
          <cell r="E490" t="str"/>
          <cell r="F490" t="str">
            <v>AQU4518R9v06</v>
          </cell>
          <cell r="G490" t="str">
            <v>GMVEY1S2</v>
          </cell>
        </row>
        <row r="491">
          <cell r="D491" t="str">
            <v>AQU4518R9v06</v>
          </cell>
          <cell r="E491" t="str">
            <v>AQU4518R9v06</v>
          </cell>
          <cell r="F491" t="str">
            <v>AQU4518R9v06</v>
          </cell>
          <cell r="G491" t="str">
            <v>GMVEY1S3</v>
          </cell>
        </row>
        <row r="492">
          <cell r="D492" t="str">
            <v>AQU4518R9v06</v>
          </cell>
          <cell r="E492" t="str">
            <v>AQU4518R9v06</v>
          </cell>
          <cell r="F492" t="str">
            <v>AQU4518R9v06</v>
          </cell>
          <cell r="G492" t="str">
            <v>GMWAR1S1</v>
          </cell>
        </row>
        <row r="493">
          <cell r="D493" t="str">
            <v>AQU4518R9v06</v>
          </cell>
          <cell r="E493" t="str">
            <v>AQU4518R9v06</v>
          </cell>
          <cell r="F493" t="str">
            <v>AQU4518R9v06</v>
          </cell>
          <cell r="G493" t="str">
            <v>GMWAR1S2</v>
          </cell>
        </row>
        <row r="494">
          <cell r="D494" t="str">
            <v>AQU4518R9v06</v>
          </cell>
          <cell r="E494" t="str">
            <v>AQU4518R9v06</v>
          </cell>
          <cell r="F494" t="str">
            <v>AQU4518R9v06</v>
          </cell>
          <cell r="G494" t="str">
            <v>GMWAR1S3</v>
          </cell>
        </row>
        <row r="495">
          <cell r="D495" t="str">
            <v>AQU4518R9v06</v>
          </cell>
          <cell r="E495" t="str">
            <v>AQU4518R9v06</v>
          </cell>
          <cell r="F495" t="str">
            <v>AQU4518R9v06</v>
          </cell>
          <cell r="G495" t="str">
            <v>GMWAT1S1</v>
          </cell>
        </row>
        <row r="496">
          <cell r="D496" t="str">
            <v>AQU4518R9v06</v>
          </cell>
          <cell r="E496" t="str">
            <v>AQU4518R9v06</v>
          </cell>
          <cell r="F496" t="str">
            <v>AQU4518R9v06</v>
          </cell>
          <cell r="G496" t="str">
            <v>GMWAT1S2</v>
          </cell>
        </row>
        <row r="497">
          <cell r="D497" t="str">
            <v>AQU4518R9v06</v>
          </cell>
          <cell r="E497" t="str">
            <v>AQU4518R9v06</v>
          </cell>
          <cell r="F497" t="str">
            <v>AQU4518R9v06</v>
          </cell>
          <cell r="G497" t="str">
            <v>GMWAT1S3</v>
          </cell>
        </row>
        <row r="498">
          <cell r="D498" t="str">
            <v>AQU4518R9v06</v>
          </cell>
          <cell r="E498" t="str">
            <v>AQU4518R9v06</v>
          </cell>
          <cell r="F498" t="str">
            <v>AQU4518R9v06</v>
          </cell>
          <cell r="G498" t="str">
            <v>GMWEL1S1</v>
          </cell>
        </row>
        <row r="499">
          <cell r="D499" t="str">
            <v>AQU4518R9v06</v>
          </cell>
          <cell r="E499" t="str">
            <v>AQU4518R9v06</v>
          </cell>
          <cell r="F499" t="str">
            <v>AQU4518R9v06</v>
          </cell>
          <cell r="G499" t="str">
            <v>GMWEL1S2</v>
          </cell>
        </row>
        <row r="500">
          <cell r="D500" t="str">
            <v>AQU4518R9v06</v>
          </cell>
          <cell r="E500" t="str">
            <v>AQU4518R9v06</v>
          </cell>
          <cell r="F500" t="str">
            <v>AQU4518R9v06</v>
          </cell>
          <cell r="G500" t="str">
            <v>GMWEL1S3</v>
          </cell>
        </row>
        <row r="501">
          <cell r="D501" t="str"/>
          <cell r="E501" t="str">
            <v>ADU4518R6v06</v>
          </cell>
          <cell r="F501" t="str">
            <v>ADU4518R6v06</v>
          </cell>
          <cell r="G501" t="str">
            <v>GMWEL1S4</v>
          </cell>
        </row>
        <row r="502">
          <cell r="D502" t="str">
            <v>AQU4518R9v06</v>
          </cell>
          <cell r="E502" t="str">
            <v>AQU4518R9v06</v>
          </cell>
          <cell r="F502" t="str">
            <v>AQU4518R9v06</v>
          </cell>
          <cell r="G502" t="str">
            <v>GMWEL2S3</v>
          </cell>
        </row>
        <row r="503">
          <cell r="D503" t="str">
            <v>AQU4518R9v06</v>
          </cell>
          <cell r="E503" t="str">
            <v>AQU4518R9v06</v>
          </cell>
          <cell r="F503" t="str">
            <v>AQU4518R9v06</v>
          </cell>
          <cell r="G503" t="str">
            <v>GMWEL3S1</v>
          </cell>
        </row>
        <row r="504">
          <cell r="D504" t="str">
            <v>AQU4518R9v06</v>
          </cell>
          <cell r="E504" t="str">
            <v>AQU4518R9v06</v>
          </cell>
          <cell r="F504" t="str">
            <v>AQU4518R9v06</v>
          </cell>
          <cell r="G504" t="str">
            <v>GMWEL3S2</v>
          </cell>
        </row>
        <row r="505">
          <cell r="D505" t="str">
            <v>AQU4518R9v06</v>
          </cell>
          <cell r="E505" t="str">
            <v>AQU4518R9v06</v>
          </cell>
          <cell r="F505" t="str">
            <v>AQU4518R9v06</v>
          </cell>
          <cell r="G505" t="str">
            <v>GMWEL3S3</v>
          </cell>
        </row>
        <row r="506">
          <cell r="D506" t="str"/>
          <cell r="E506" t="str">
            <v>AMB4519R6v06</v>
          </cell>
          <cell r="F506" t="str"/>
          <cell r="G506" t="str">
            <v>GMWEL4NA</v>
          </cell>
        </row>
        <row r="507">
          <cell r="D507" t="str">
            <v>AQU4518R9v06</v>
          </cell>
          <cell r="E507" t="str">
            <v>AQU4518R9v06</v>
          </cell>
          <cell r="F507" t="str">
            <v>AQU4518R9v06</v>
          </cell>
          <cell r="G507" t="str">
            <v>GMWEL4S1</v>
          </cell>
        </row>
        <row r="508">
          <cell r="D508" t="str">
            <v>AQU4518R9v06</v>
          </cell>
          <cell r="E508" t="str"/>
          <cell r="F508" t="str">
            <v>AQU4518R9v06</v>
          </cell>
          <cell r="G508" t="str">
            <v>GMWEL4S2</v>
          </cell>
        </row>
        <row r="509">
          <cell r="D509" t="str">
            <v>AQU4518R9v06</v>
          </cell>
          <cell r="E509" t="str">
            <v>AQU4518R9v06</v>
          </cell>
          <cell r="F509" t="str">
            <v>AQU4518R9v06</v>
          </cell>
          <cell r="G509" t="str">
            <v>GMWEL4S3</v>
          </cell>
        </row>
        <row r="510">
          <cell r="D510" t="str">
            <v>AQU4518R9v06</v>
          </cell>
          <cell r="E510" t="str">
            <v>AQU4518R9v06</v>
          </cell>
          <cell r="F510" t="str">
            <v>AQU4518R9v06</v>
          </cell>
          <cell r="G510" t="str">
            <v>GMWER1S2</v>
          </cell>
        </row>
        <row r="511">
          <cell r="D511" t="str">
            <v>AQU4518R9v06</v>
          </cell>
          <cell r="E511" t="str">
            <v>AQU4518R9v06</v>
          </cell>
          <cell r="F511" t="str">
            <v>AQU4518R9v06</v>
          </cell>
          <cell r="G511" t="str">
            <v>GMWER1S3</v>
          </cell>
        </row>
        <row r="512">
          <cell r="D512" t="str"/>
          <cell r="E512" t="str">
            <v>A10244PD00v06</v>
          </cell>
          <cell r="F512" t="str"/>
          <cell r="G512" t="str">
            <v>GMWEW1S2_Beam2</v>
          </cell>
        </row>
        <row r="513">
          <cell r="D513" t="str">
            <v>AQU4518R9v06</v>
          </cell>
          <cell r="E513" t="str">
            <v>AQU4518R9v06</v>
          </cell>
          <cell r="F513" t="str">
            <v>AQU4518R9v06</v>
          </cell>
          <cell r="G513" t="str">
            <v>GMWEW1S1</v>
          </cell>
        </row>
        <row r="514">
          <cell r="D514" t="str">
            <v>AQU4518R9v06</v>
          </cell>
          <cell r="E514" t="str">
            <v>AQU4518R9v06</v>
          </cell>
          <cell r="F514" t="str">
            <v>AQU4518R9v06</v>
          </cell>
          <cell r="G514" t="str">
            <v>GMWEW1S2</v>
          </cell>
        </row>
        <row r="515">
          <cell r="D515" t="str">
            <v>A10244PD00v06</v>
          </cell>
          <cell r="E515" t="str">
            <v>A10244PD00v06</v>
          </cell>
          <cell r="F515" t="str">
            <v>A10244PD00v06</v>
          </cell>
          <cell r="G515" t="str">
            <v>GMWEW1S3</v>
          </cell>
        </row>
        <row r="516">
          <cell r="D516" t="str">
            <v>AQU4518R9v06</v>
          </cell>
          <cell r="E516" t="str">
            <v>AQU4518R9v06</v>
          </cell>
          <cell r="F516" t="str">
            <v>AQU4518R9v06</v>
          </cell>
          <cell r="G516" t="str">
            <v>GMWGM1S1</v>
          </cell>
        </row>
        <row r="517">
          <cell r="D517" t="str">
            <v>AQU4518R9v06</v>
          </cell>
          <cell r="E517" t="str">
            <v>AQU4518R9v06</v>
          </cell>
          <cell r="F517" t="str">
            <v>AQU4518R9v06</v>
          </cell>
          <cell r="G517" t="str">
            <v>GMWGM1S2</v>
          </cell>
        </row>
        <row r="518">
          <cell r="D518" t="str">
            <v>AQU4518R9v06</v>
          </cell>
          <cell r="E518" t="str">
            <v>AQU4518R9v06</v>
          </cell>
          <cell r="F518" t="str">
            <v>AQU4518R9v06</v>
          </cell>
          <cell r="G518" t="str">
            <v>GMWGM1S3</v>
          </cell>
        </row>
        <row r="519">
          <cell r="D519" t="str">
            <v>APE4517R0v06</v>
          </cell>
          <cell r="E519" t="str">
            <v>APE4517R0v06</v>
          </cell>
          <cell r="F519" t="str"/>
          <cell r="G519" t="str">
            <v>GMWIL1S1</v>
          </cell>
        </row>
        <row r="520">
          <cell r="D520" t="str">
            <v>APE4517R0v06</v>
          </cell>
          <cell r="E520" t="str">
            <v>APE4517R0v06</v>
          </cell>
          <cell r="F520" t="str"/>
          <cell r="G520" t="str">
            <v>GMWIL1S2</v>
          </cell>
        </row>
        <row r="521">
          <cell r="D521" t="str">
            <v>APE4517R0v06</v>
          </cell>
          <cell r="E521" t="str">
            <v>APE4517R0v06</v>
          </cell>
          <cell r="F521" t="str"/>
          <cell r="G521" t="str">
            <v>GMWIL1S3</v>
          </cell>
        </row>
        <row r="522">
          <cell r="D522" t="str">
            <v>APE4517R0v06</v>
          </cell>
          <cell r="E522" t="str">
            <v>APE4517R0v06</v>
          </cell>
          <cell r="F522" t="str">
            <v>APE4517R0v06</v>
          </cell>
          <cell r="G522" t="str">
            <v>GMWLN1S1</v>
          </cell>
        </row>
        <row r="523">
          <cell r="D523" t="str">
            <v>APE4517R0v06</v>
          </cell>
          <cell r="E523" t="str">
            <v>APE4517R0v06</v>
          </cell>
          <cell r="F523" t="str">
            <v>APE4517R0v06</v>
          </cell>
          <cell r="G523" t="str">
            <v>GMWLN1S2</v>
          </cell>
        </row>
        <row r="524">
          <cell r="D524" t="str">
            <v>APE4517R0v06</v>
          </cell>
          <cell r="E524" t="str">
            <v>APE4517R0v06</v>
          </cell>
          <cell r="F524" t="str">
            <v>APE4517R0v06</v>
          </cell>
          <cell r="G524" t="str">
            <v>GMWLN1S3</v>
          </cell>
        </row>
        <row r="525">
          <cell r="D525" t="str"/>
          <cell r="E525" t="str">
            <v>ADU4518R6v06</v>
          </cell>
          <cell r="F525" t="str"/>
          <cell r="G525" t="str">
            <v>GMWPM1S1</v>
          </cell>
        </row>
        <row r="526">
          <cell r="D526" t="str"/>
          <cell r="E526" t="str">
            <v>ADU4518R6v06</v>
          </cell>
          <cell r="F526" t="str"/>
          <cell r="G526" t="str">
            <v>GMWPM1S2</v>
          </cell>
        </row>
        <row r="527">
          <cell r="D527" t="str"/>
          <cell r="E527" t="str">
            <v>ADU4518R6v06</v>
          </cell>
          <cell r="F527" t="str"/>
          <cell r="G527" t="str">
            <v>GMWPM1S3</v>
          </cell>
        </row>
        <row r="528">
          <cell r="D528" t="str">
            <v>AQU4518R9v06</v>
          </cell>
          <cell r="E528" t="str">
            <v>AQU4518R9v06</v>
          </cell>
          <cell r="F528" t="str">
            <v>AQU4518R9v06</v>
          </cell>
          <cell r="G528" t="str">
            <v>GMWTP1S1</v>
          </cell>
        </row>
        <row r="529">
          <cell r="D529" t="str">
            <v>AQU4518R9v06</v>
          </cell>
          <cell r="E529" t="str">
            <v>AQU4518R9v06</v>
          </cell>
          <cell r="F529" t="str">
            <v>AQU4518R9v06</v>
          </cell>
          <cell r="G529" t="str">
            <v>GMWTP1S2</v>
          </cell>
        </row>
        <row r="530">
          <cell r="D530" t="str">
            <v>AQU4518R9v06</v>
          </cell>
          <cell r="E530" t="str">
            <v>AQU4518R9v06</v>
          </cell>
          <cell r="F530" t="str">
            <v>AQU4518R9v06</v>
          </cell>
          <cell r="G530" t="str">
            <v>GMWTP1S3</v>
          </cell>
        </row>
        <row r="531">
          <cell r="D531" t="str"/>
          <cell r="E531" t="str">
            <v>ATR4518R7v07</v>
          </cell>
          <cell r="F531" t="str"/>
          <cell r="G531" t="str">
            <v>GMWTP1S4</v>
          </cell>
        </row>
        <row r="532">
          <cell r="D532" t="str">
            <v>AQU4518R9v06</v>
          </cell>
          <cell r="E532" t="str">
            <v>AQU4518R9v06</v>
          </cell>
          <cell r="F532" t="str">
            <v>AQU4518R9v06</v>
          </cell>
          <cell r="G532" t="str">
            <v>GMYAG1S1</v>
          </cell>
        </row>
        <row r="533">
          <cell r="D533" t="str">
            <v>AQU4518R9v06</v>
          </cell>
          <cell r="E533" t="str">
            <v>AQU4518R9v06</v>
          </cell>
          <cell r="F533" t="str">
            <v>AQU4518R9v06</v>
          </cell>
          <cell r="G533" t="str">
            <v>GMYAG1S2</v>
          </cell>
        </row>
        <row r="534">
          <cell r="D534" t="str">
            <v>AQU4518R9v06</v>
          </cell>
          <cell r="E534" t="str">
            <v>AQU4518R9v06</v>
          </cell>
          <cell r="F534" t="str">
            <v>AQU4518R9v06</v>
          </cell>
          <cell r="G534" t="str">
            <v>GMYAG1S3</v>
          </cell>
        </row>
        <row r="535">
          <cell r="D535" t="str">
            <v>AQU4518R9v06</v>
          </cell>
          <cell r="E535" t="str">
            <v>AQU4518R9v06</v>
          </cell>
          <cell r="F535" t="str">
            <v>AQU4518R9v06</v>
          </cell>
          <cell r="G535" t="str">
            <v>GMYAK2S1</v>
          </cell>
        </row>
        <row r="536">
          <cell r="D536" t="str">
            <v>AQU4518R9v06</v>
          </cell>
          <cell r="E536" t="str">
            <v>AQU4518R9v06</v>
          </cell>
          <cell r="F536" t="str">
            <v>AQU4518R9v06</v>
          </cell>
          <cell r="G536" t="str">
            <v>GMYAK2S2</v>
          </cell>
        </row>
        <row r="537">
          <cell r="D537" t="str">
            <v>AQU4518R9v06</v>
          </cell>
          <cell r="E537" t="str">
            <v>AQU4518R9v06</v>
          </cell>
          <cell r="F537" t="str">
            <v>AQU4518R9v06</v>
          </cell>
          <cell r="G537" t="str">
            <v>GMYAK2S3</v>
          </cell>
        </row>
        <row r="538">
          <cell r="D538" t="str"/>
          <cell r="E538" t="str">
            <v>A10244PD00v06</v>
          </cell>
          <cell r="F538" t="str"/>
          <cell r="G538" t="str">
            <v>GMYAK3NA</v>
          </cell>
        </row>
        <row r="539">
          <cell r="D539" t="str">
            <v>AQU4518R9v06</v>
          </cell>
          <cell r="E539" t="str">
            <v>AQU4518R9v06</v>
          </cell>
          <cell r="F539" t="str">
            <v>AQU4518R9v06</v>
          </cell>
          <cell r="G539" t="str">
            <v>GMYAK3S1</v>
          </cell>
        </row>
        <row r="540">
          <cell r="D540" t="str">
            <v>AQU4518R9v06</v>
          </cell>
          <cell r="E540" t="str">
            <v>AQU4518R9v06</v>
          </cell>
          <cell r="F540" t="str"/>
          <cell r="G540" t="str">
            <v>GMYAK3S2</v>
          </cell>
        </row>
        <row r="541">
          <cell r="D541" t="str">
            <v>APE4517R0v06</v>
          </cell>
          <cell r="E541" t="str">
            <v>APE4517R0v06</v>
          </cell>
          <cell r="F541" t="str">
            <v>APE4517R0v06</v>
          </cell>
          <cell r="G541" t="str">
            <v>GMYAK4S1</v>
          </cell>
        </row>
        <row r="542">
          <cell r="D542" t="str">
            <v>APE4517R0v06</v>
          </cell>
          <cell r="E542" t="str">
            <v>APE4517R0v06</v>
          </cell>
          <cell r="F542" t="str">
            <v>APE4517R0v06</v>
          </cell>
          <cell r="G542" t="str">
            <v>GMYAK4S2</v>
          </cell>
        </row>
        <row r="543">
          <cell r="D543" t="str">
            <v>APE4517R0v06</v>
          </cell>
          <cell r="E543" t="str">
            <v>APE4517R0v06</v>
          </cell>
          <cell r="F543" t="str">
            <v>APE4517R0v06</v>
          </cell>
          <cell r="G543" t="str">
            <v>GMYAK4S3</v>
          </cell>
        </row>
        <row r="544">
          <cell r="D544" t="str"/>
          <cell r="E544" t="str">
            <v>AMB4519R6v06</v>
          </cell>
          <cell r="F544" t="str"/>
          <cell r="G544" t="str">
            <v>GMYAK5NA</v>
          </cell>
        </row>
        <row r="545">
          <cell r="D545" t="str">
            <v>AQU4518R9v06</v>
          </cell>
          <cell r="E545" t="str">
            <v>AQU4518R9v06</v>
          </cell>
          <cell r="F545" t="str">
            <v>AQU4518R9v06</v>
          </cell>
          <cell r="G545" t="str">
            <v>GMYAK5S1</v>
          </cell>
        </row>
        <row r="546">
          <cell r="D546" t="str">
            <v>AQU4518R9v06</v>
          </cell>
          <cell r="E546" t="str">
            <v>AQU4518R9v06</v>
          </cell>
          <cell r="F546" t="str">
            <v>AQU4518R9v06</v>
          </cell>
          <cell r="G546" t="str">
            <v>GMYAK5S2</v>
          </cell>
        </row>
        <row r="547">
          <cell r="D547" t="str">
            <v>AQU4518R9v06</v>
          </cell>
          <cell r="E547" t="str"/>
          <cell r="F547" t="str">
            <v>AQU4518R9v06</v>
          </cell>
          <cell r="G547" t="str">
            <v>GMYAK5S3</v>
          </cell>
        </row>
        <row r="548">
          <cell r="D548" t="str">
            <v>AQU4518R9v06</v>
          </cell>
          <cell r="E548" t="str">
            <v>AQU4518R9v06</v>
          </cell>
          <cell r="F548" t="str">
            <v>AQU4518R9v06</v>
          </cell>
          <cell r="G548" t="str">
            <v>GMYGD1S1</v>
          </cell>
        </row>
        <row r="549">
          <cell r="D549" t="str">
            <v>AQU4518R9v06</v>
          </cell>
          <cell r="E549" t="str">
            <v>AQU4518R9v06</v>
          </cell>
          <cell r="F549" t="str">
            <v>AQU4518R9v06</v>
          </cell>
          <cell r="G549" t="str">
            <v>GMYGD1S2</v>
          </cell>
        </row>
        <row r="550">
          <cell r="D550" t="str">
            <v>AQU4518R9v06</v>
          </cell>
          <cell r="E550" t="str">
            <v>AQU4518R9v06</v>
          </cell>
          <cell r="F550" t="str">
            <v>AQU4518R9v06</v>
          </cell>
          <cell r="G550" t="str">
            <v>GMYGD1S3</v>
          </cell>
        </row>
        <row r="551">
          <cell r="D551" t="str"/>
          <cell r="E551" t="str">
            <v>ADU4518R6v06</v>
          </cell>
          <cell r="F551" t="str">
            <v>ADU4518R6v06</v>
          </cell>
          <cell r="G551" t="str">
            <v>LGM044S1</v>
          </cell>
        </row>
        <row r="552">
          <cell r="D552" t="str"/>
          <cell r="E552" t="str">
            <v>ADU4518R6v06</v>
          </cell>
          <cell r="F552" t="str">
            <v>ADU4518R6v06</v>
          </cell>
          <cell r="G552" t="str">
            <v>LGM044S2</v>
          </cell>
        </row>
        <row r="553">
          <cell r="D553" t="str"/>
          <cell r="E553" t="str">
            <v>ADU4518R6v06</v>
          </cell>
          <cell r="F553" t="str">
            <v>ADU4518R6v06</v>
          </cell>
          <cell r="G553" t="str">
            <v>LGM044S3</v>
          </cell>
        </row>
        <row r="554">
          <cell r="D554" t="str"/>
          <cell r="E554" t="str">
            <v>ADU4518R6v06</v>
          </cell>
          <cell r="F554" t="str">
            <v>ADU4518R6v06</v>
          </cell>
          <cell r="G554" t="str">
            <v>LGM048S1</v>
          </cell>
        </row>
        <row r="555">
          <cell r="D555" t="str"/>
          <cell r="E555" t="str">
            <v>ADU4518R6v06</v>
          </cell>
          <cell r="F555" t="str">
            <v>ADU4518R6v06</v>
          </cell>
          <cell r="G555" t="str">
            <v>LGM048S2</v>
          </cell>
        </row>
        <row r="556">
          <cell r="D556" t="str"/>
          <cell r="E556" t="str">
            <v>ADU4518R6v06</v>
          </cell>
          <cell r="F556" t="str">
            <v>ADU4518R6v06</v>
          </cell>
          <cell r="G556" t="str">
            <v>LGM048S3</v>
          </cell>
        </row>
        <row r="557">
          <cell r="D557" t="str"/>
          <cell r="E557" t="str">
            <v>ADU4518R6v06</v>
          </cell>
          <cell r="F557" t="str">
            <v>ADU4518R6v06</v>
          </cell>
          <cell r="G557" t="str">
            <v>LGM050S1</v>
          </cell>
        </row>
        <row r="558">
          <cell r="D558" t="str"/>
          <cell r="E558" t="str">
            <v>ADU4518R6v06</v>
          </cell>
          <cell r="F558" t="str">
            <v>ADU4518R6v06</v>
          </cell>
          <cell r="G558" t="str">
            <v>LGM050S2</v>
          </cell>
        </row>
        <row r="559">
          <cell r="D559" t="str"/>
          <cell r="E559" t="str">
            <v>ADU4518R6v06</v>
          </cell>
          <cell r="F559" t="str">
            <v>ADU4518R6v06</v>
          </cell>
          <cell r="G559" t="str">
            <v>LGM050S3</v>
          </cell>
        </row>
        <row r="560">
          <cell r="D560" t="str"/>
          <cell r="E560" t="str">
            <v>ADU4518R6v06</v>
          </cell>
          <cell r="F560" t="str">
            <v>ADU4518R6v06</v>
          </cell>
          <cell r="G560" t="str">
            <v>LGM051S1</v>
          </cell>
        </row>
        <row r="561">
          <cell r="D561" t="str"/>
          <cell r="E561" t="str">
            <v>ADU4518R6v06</v>
          </cell>
          <cell r="F561" t="str">
            <v>ADU4518R6v06</v>
          </cell>
          <cell r="G561" t="str">
            <v>LGM051S2</v>
          </cell>
        </row>
        <row r="562">
          <cell r="D562" t="str"/>
          <cell r="E562" t="str">
            <v>ADU4518R6v06</v>
          </cell>
          <cell r="F562" t="str">
            <v>ADU4518R6v06</v>
          </cell>
          <cell r="G562" t="str">
            <v>LGZ013S1</v>
          </cell>
        </row>
        <row r="563">
          <cell r="D563" t="str"/>
          <cell r="E563" t="str">
            <v>ADU4518R6v06</v>
          </cell>
          <cell r="F563" t="str">
            <v>ADU4518R6v06</v>
          </cell>
          <cell r="G563" t="str">
            <v>LGZ013S3</v>
          </cell>
        </row>
        <row r="564">
          <cell r="D564" t="str"/>
          <cell r="E564" t="str">
            <v>ADU4518R6v06</v>
          </cell>
          <cell r="F564" t="str">
            <v>ADU4518R6v06</v>
          </cell>
          <cell r="G564" t="str">
            <v>LGZ014S1</v>
          </cell>
        </row>
        <row r="565">
          <cell r="D565" t="str"/>
          <cell r="E565" t="str">
            <v>ADU4518R6v06</v>
          </cell>
          <cell r="F565" t="str">
            <v>ADU4518R6v06</v>
          </cell>
          <cell r="G565" t="str">
            <v>LGZ014S2</v>
          </cell>
        </row>
        <row r="566">
          <cell r="D566" t="str"/>
          <cell r="E566" t="str">
            <v>ADU4518R6v06</v>
          </cell>
          <cell r="F566" t="str">
            <v>ADU4518R6v06</v>
          </cell>
          <cell r="G566" t="str">
            <v>LGZ014S3</v>
          </cell>
        </row>
        <row r="567">
          <cell r="D567" t="str"/>
          <cell r="E567" t="str">
            <v>ADU4518R6v06</v>
          </cell>
          <cell r="F567" t="str">
            <v>ADU4518R6v06</v>
          </cell>
          <cell r="G567" t="str">
            <v>LGZ020S1</v>
          </cell>
        </row>
        <row r="568">
          <cell r="D568" t="str"/>
          <cell r="E568" t="str">
            <v>ADU4518R6v06</v>
          </cell>
          <cell r="F568" t="str">
            <v>ADU4518R6v06</v>
          </cell>
          <cell r="G568" t="str">
            <v>LGZ020S3</v>
          </cell>
        </row>
        <row r="569">
          <cell r="D569" t="str">
            <v>AQU4518R9v06</v>
          </cell>
          <cell r="E569" t="str">
            <v>AQU4518R9v06</v>
          </cell>
          <cell r="F569" t="str">
            <v>AQU4518R9v06</v>
          </cell>
          <cell r="G569" t="str">
            <v>ZBIY01S1</v>
          </cell>
        </row>
        <row r="570">
          <cell r="D570" t="str">
            <v>AQU4518R9v06</v>
          </cell>
          <cell r="E570" t="str">
            <v>AQU4518R9v06</v>
          </cell>
          <cell r="F570" t="str">
            <v>AQU4518R9v06</v>
          </cell>
          <cell r="G570" t="str">
            <v>ZBIY01S2</v>
          </cell>
        </row>
        <row r="571">
          <cell r="D571" t="str">
            <v>AQU4518R9v06</v>
          </cell>
          <cell r="E571" t="str">
            <v>AQU4518R9v06</v>
          </cell>
          <cell r="F571" t="str">
            <v>AQU4518R9v06</v>
          </cell>
          <cell r="G571" t="str">
            <v>ZBIY02S1</v>
          </cell>
        </row>
        <row r="572">
          <cell r="D572" t="str">
            <v>AQU4518R9v06</v>
          </cell>
          <cell r="E572" t="str">
            <v>AQU4518R9v06</v>
          </cell>
          <cell r="F572" t="str">
            <v>AQU4518R9v06</v>
          </cell>
          <cell r="G572" t="str">
            <v>ZBIY02S2</v>
          </cell>
        </row>
        <row r="573">
          <cell r="D573" t="str">
            <v>AQU4518R9v06</v>
          </cell>
          <cell r="E573" t="str">
            <v>AQU4518R9v06</v>
          </cell>
          <cell r="F573" t="str">
            <v>AQU4518R9v06</v>
          </cell>
          <cell r="G573" t="str">
            <v>ZBIY02S3</v>
          </cell>
        </row>
        <row r="574">
          <cell r="D574" t="str"/>
          <cell r="E574" t="str"/>
          <cell r="F574" t="str"/>
          <cell r="G574" t="str">
            <v>ZBIY03None</v>
          </cell>
        </row>
        <row r="575">
          <cell r="D575" t="str">
            <v>SINGLE_RET</v>
          </cell>
          <cell r="E575" t="str">
            <v>SINGLE_RET</v>
          </cell>
          <cell r="F575" t="str">
            <v>SINGLE_RET</v>
          </cell>
          <cell r="G575" t="str">
            <v>ZBIY03S2</v>
          </cell>
        </row>
        <row r="576">
          <cell r="D576" t="str"/>
          <cell r="E576" t="str"/>
          <cell r="F576" t="str"/>
          <cell r="G576" t="str">
            <v>ZBIY03S1</v>
          </cell>
        </row>
        <row r="577">
          <cell r="D577" t="str">
            <v>AMB4519R6v06</v>
          </cell>
          <cell r="E577" t="str">
            <v>AMB4519R6v06</v>
          </cell>
          <cell r="F577" t="str">
            <v>AMB4519R6v06</v>
          </cell>
          <cell r="G577" t="str">
            <v>ZBIY03S3</v>
          </cell>
        </row>
        <row r="578">
          <cell r="D578" t="str"/>
          <cell r="E578" t="str">
            <v>AMB4519R6v06</v>
          </cell>
          <cell r="F578" t="str"/>
          <cell r="G578" t="str">
            <v>ZBIY04NA</v>
          </cell>
        </row>
        <row r="579">
          <cell r="D579" t="str">
            <v>AQU4518R9v06</v>
          </cell>
          <cell r="E579" t="str"/>
          <cell r="F579" t="str">
            <v>AQU4518R9v06</v>
          </cell>
          <cell r="G579" t="str">
            <v>ZBIY04S1</v>
          </cell>
        </row>
        <row r="580">
          <cell r="D580" t="str">
            <v>AQU4518R9v06</v>
          </cell>
          <cell r="E580" t="str">
            <v>AQU4518R9v06</v>
          </cell>
          <cell r="F580" t="str"/>
          <cell r="G580" t="str">
            <v>ZBIY04S2</v>
          </cell>
        </row>
        <row r="581">
          <cell r="D581" t="str">
            <v>ATR4517R0v06</v>
          </cell>
          <cell r="E581" t="str">
            <v>ATR4517R0v06</v>
          </cell>
          <cell r="F581" t="str">
            <v>ATR4517R0v06</v>
          </cell>
          <cell r="G581" t="str">
            <v>ZBIY04S3</v>
          </cell>
        </row>
        <row r="582">
          <cell r="D582" t="str">
            <v>AQU4518R9v06</v>
          </cell>
          <cell r="E582" t="str">
            <v>AQU4518R9v06</v>
          </cell>
          <cell r="F582" t="str">
            <v>AQU4518R9v06</v>
          </cell>
          <cell r="G582" t="str">
            <v>ZBIY05S1</v>
          </cell>
        </row>
        <row r="583">
          <cell r="D583" t="str">
            <v>AQU4518R9v06</v>
          </cell>
          <cell r="E583" t="str">
            <v>AQU4518R9v06</v>
          </cell>
          <cell r="F583" t="str">
            <v>AQU4518R9v06</v>
          </cell>
          <cell r="G583" t="str">
            <v>ZBIY05S2</v>
          </cell>
        </row>
        <row r="584">
          <cell r="D584" t="str">
            <v>AQU4518R9v06</v>
          </cell>
          <cell r="E584" t="str">
            <v>AQU4518R9v06</v>
          </cell>
          <cell r="F584" t="str">
            <v>AQU4518R9v06</v>
          </cell>
          <cell r="G584" t="str">
            <v>ZBIY05S3</v>
          </cell>
        </row>
        <row r="585">
          <cell r="D585" t="str">
            <v>AQU4518R9v06</v>
          </cell>
          <cell r="E585" t="str">
            <v>AQU4518R9v06</v>
          </cell>
          <cell r="F585" t="str">
            <v>AQU4518R9v06</v>
          </cell>
          <cell r="G585" t="str">
            <v>ZBIY06S1</v>
          </cell>
        </row>
        <row r="586">
          <cell r="D586" t="str">
            <v>AQU4518R9v06</v>
          </cell>
          <cell r="E586" t="str">
            <v>AQU4518R9v06</v>
          </cell>
          <cell r="F586" t="str">
            <v>AQU4518R9v06</v>
          </cell>
          <cell r="G586" t="str">
            <v>ZBIY06S2</v>
          </cell>
        </row>
        <row r="587">
          <cell r="D587" t="str">
            <v>AQU4518R9v06</v>
          </cell>
          <cell r="E587" t="str">
            <v>AQU4518R9v06</v>
          </cell>
          <cell r="F587" t="str">
            <v>AQU4518R9v06</v>
          </cell>
          <cell r="G587" t="str">
            <v>ZBIY06S3</v>
          </cell>
        </row>
        <row r="588">
          <cell r="D588" t="str"/>
          <cell r="E588" t="str">
            <v>AMB4519R6v06</v>
          </cell>
          <cell r="F588" t="str"/>
          <cell r="G588" t="str">
            <v>ZBIY07NA</v>
          </cell>
        </row>
        <row r="589">
          <cell r="D589" t="str">
            <v>AQU4518R9v06</v>
          </cell>
          <cell r="E589" t="str">
            <v>AQU4518R9v06</v>
          </cell>
          <cell r="F589" t="str">
            <v>AQU4518R9v06</v>
          </cell>
          <cell r="G589" t="str">
            <v>ZBIY07S1</v>
          </cell>
        </row>
        <row r="590">
          <cell r="D590" t="str">
            <v>AQU4518R9v06</v>
          </cell>
          <cell r="E590" t="str">
            <v>AQU4518R9v06</v>
          </cell>
          <cell r="F590" t="str">
            <v>AQU4518R9v06</v>
          </cell>
          <cell r="G590" t="str">
            <v>ZBIY07S2</v>
          </cell>
        </row>
        <row r="591">
          <cell r="D591" t="str">
            <v>AQU4518R9v06</v>
          </cell>
          <cell r="E591" t="str"/>
          <cell r="F591" t="str">
            <v>AQU4518R9v06</v>
          </cell>
          <cell r="G591" t="str">
            <v>ZBIY07S3</v>
          </cell>
        </row>
        <row r="592">
          <cell r="D592" t="str">
            <v>AQU4518R9v06</v>
          </cell>
          <cell r="E592" t="str">
            <v>AQU4518R9v06</v>
          </cell>
          <cell r="F592" t="str">
            <v>AQU4518R9v06</v>
          </cell>
          <cell r="G592" t="str">
            <v>ZBIY09S1</v>
          </cell>
        </row>
        <row r="593">
          <cell r="D593" t="str">
            <v>AQU4518R9v06</v>
          </cell>
          <cell r="E593" t="str">
            <v>AQU4518R9v06</v>
          </cell>
          <cell r="F593" t="str">
            <v>AQU4518R9v06</v>
          </cell>
          <cell r="G593" t="str">
            <v>ZBIY09S2</v>
          </cell>
        </row>
        <row r="594">
          <cell r="D594" t="str">
            <v>AQU4518R9v06</v>
          </cell>
          <cell r="E594" t="str">
            <v>AQU4518R9v06</v>
          </cell>
          <cell r="F594" t="str">
            <v>AQU4518R9v06</v>
          </cell>
          <cell r="G594" t="str">
            <v>ZBIY09S3</v>
          </cell>
        </row>
        <row r="595">
          <cell r="D595" t="str"/>
          <cell r="E595" t="str">
            <v>AQU4518R9v06</v>
          </cell>
          <cell r="F595" t="str">
            <v>AQU4518R9v06</v>
          </cell>
          <cell r="G595" t="str">
            <v>ZBIY10S1</v>
          </cell>
        </row>
        <row r="596">
          <cell r="D596" t="str"/>
          <cell r="E596" t="str">
            <v>AQU4518R9v06</v>
          </cell>
          <cell r="F596" t="str">
            <v>AQU4518R9v06</v>
          </cell>
          <cell r="G596" t="str">
            <v>ZBIY10S2</v>
          </cell>
        </row>
        <row r="597">
          <cell r="D597" t="str"/>
          <cell r="E597" t="str">
            <v>AQU4518R9v06</v>
          </cell>
          <cell r="F597" t="str">
            <v>AQU4518R9v06</v>
          </cell>
          <cell r="G597" t="str">
            <v>ZBIY10S3</v>
          </cell>
        </row>
        <row r="598">
          <cell r="D598" t="str">
            <v>AQU4518R9v06</v>
          </cell>
          <cell r="E598" t="str">
            <v>AQU4518R9v06</v>
          </cell>
          <cell r="F598" t="str">
            <v>AQU4518R9v06</v>
          </cell>
          <cell r="G598" t="str">
            <v>ZBIY11S1</v>
          </cell>
        </row>
        <row r="599">
          <cell r="D599" t="str">
            <v>AQU4518R9v06</v>
          </cell>
          <cell r="E599" t="str">
            <v>AQU4518R9v06</v>
          </cell>
          <cell r="F599" t="str">
            <v>AQU4518R9v06</v>
          </cell>
          <cell r="G599" t="str">
            <v>ZBIY11S2</v>
          </cell>
        </row>
        <row r="600">
          <cell r="D600" t="str">
            <v>AQU4518R9v06</v>
          </cell>
          <cell r="E600" t="str">
            <v>AQU4518R9v06</v>
          </cell>
          <cell r="F600" t="str"/>
          <cell r="G600" t="str">
            <v>ZBIY11S3</v>
          </cell>
        </row>
        <row r="601">
          <cell r="D601" t="str"/>
          <cell r="E601" t="str">
            <v>AMB4519R6v06</v>
          </cell>
          <cell r="F601" t="str"/>
          <cell r="G601" t="str">
            <v>ZBIY12NA</v>
          </cell>
        </row>
        <row r="602">
          <cell r="D602" t="str">
            <v>AQU4518R9v06</v>
          </cell>
          <cell r="E602" t="str">
            <v>AQU4518R9v06</v>
          </cell>
          <cell r="F602" t="str">
            <v>AQU4518R9v06</v>
          </cell>
          <cell r="G602" t="str">
            <v>ZBIY12S1</v>
          </cell>
        </row>
        <row r="603">
          <cell r="D603" t="str">
            <v>AQU4518R9v06</v>
          </cell>
          <cell r="E603" t="str">
            <v>AQU4518R9v06</v>
          </cell>
          <cell r="F603" t="str">
            <v>AQU4518R9v06</v>
          </cell>
          <cell r="G603" t="str">
            <v>ZBIY12S2</v>
          </cell>
        </row>
        <row r="604">
          <cell r="D604" t="str">
            <v>AQU4518R9v06</v>
          </cell>
          <cell r="E604" t="str"/>
          <cell r="F604" t="str">
            <v>AQU4518R9v06</v>
          </cell>
          <cell r="G604" t="str">
            <v>ZBIY12S3</v>
          </cell>
        </row>
        <row r="605">
          <cell r="D605" t="str">
            <v>AQU4518R9v06</v>
          </cell>
          <cell r="E605" t="str">
            <v>AQU4518R9v06</v>
          </cell>
          <cell r="F605" t="str">
            <v>AQU4518R9v06</v>
          </cell>
          <cell r="G605" t="str">
            <v>ZBIY13S1</v>
          </cell>
        </row>
        <row r="606">
          <cell r="D606" t="str">
            <v>AQU4518R9v06</v>
          </cell>
          <cell r="E606" t="str">
            <v>AQU4518R9v06</v>
          </cell>
          <cell r="F606" t="str">
            <v>AQU4518R9v06</v>
          </cell>
          <cell r="G606" t="str">
            <v>ZBIY13S2</v>
          </cell>
        </row>
        <row r="607">
          <cell r="D607" t="str">
            <v>AQU4518R9v06</v>
          </cell>
          <cell r="E607" t="str">
            <v>AQU4518R9v06</v>
          </cell>
          <cell r="F607" t="str">
            <v>AQU4518R9v06</v>
          </cell>
          <cell r="G607" t="str">
            <v>ZBIY13S3</v>
          </cell>
        </row>
        <row r="608">
          <cell r="D608" t="str">
            <v>AQU4518R9v06</v>
          </cell>
          <cell r="E608" t="str">
            <v>AQU4518R9v06</v>
          </cell>
          <cell r="F608" t="str">
            <v>AQU4518R9v06</v>
          </cell>
          <cell r="G608" t="str">
            <v>ZBIY14S1</v>
          </cell>
        </row>
        <row r="609">
          <cell r="D609" t="str">
            <v>AQU4518R9v06</v>
          </cell>
          <cell r="E609" t="str">
            <v>AQU4518R9v06</v>
          </cell>
          <cell r="F609" t="str">
            <v>AQU4518R9v06</v>
          </cell>
          <cell r="G609" t="str">
            <v>ZBIY14S2</v>
          </cell>
        </row>
        <row r="610">
          <cell r="D610" t="str">
            <v>AQU4518R9v06</v>
          </cell>
          <cell r="E610" t="str">
            <v>AQU4518R9v06</v>
          </cell>
          <cell r="F610" t="str">
            <v>AQU4518R9v06</v>
          </cell>
          <cell r="G610" t="str">
            <v>ZBIY16S1</v>
          </cell>
        </row>
        <row r="611">
          <cell r="D611" t="str">
            <v>AQU4518R9v06</v>
          </cell>
          <cell r="E611" t="str">
            <v>AQU4518R9v06</v>
          </cell>
          <cell r="F611" t="str">
            <v>AQU4518R9v06</v>
          </cell>
          <cell r="G611" t="str">
            <v>ZBIY16S2</v>
          </cell>
        </row>
        <row r="612">
          <cell r="D612" t="str">
            <v>AQU4518R9v06</v>
          </cell>
          <cell r="E612" t="str">
            <v>AMB4519R6v06</v>
          </cell>
          <cell r="F612" t="str">
            <v>AQU4518R9v06</v>
          </cell>
          <cell r="G612" t="str">
            <v>ZBIY16S3</v>
          </cell>
        </row>
        <row r="613">
          <cell r="D613" t="str"/>
          <cell r="E613" t="str"/>
          <cell r="F613" t="str">
            <v>AQU4518R9v06</v>
          </cell>
          <cell r="G613" t="str">
            <v>ZBIY17S1</v>
          </cell>
        </row>
        <row r="614">
          <cell r="D614" t="str"/>
          <cell r="E614" t="str"/>
          <cell r="F614" t="str">
            <v>AQU4518R9v06</v>
          </cell>
          <cell r="G614" t="str">
            <v>ZBIY17S3</v>
          </cell>
        </row>
        <row r="615">
          <cell r="D615" t="str">
            <v>AQU4518R9v06</v>
          </cell>
          <cell r="E615" t="str"/>
          <cell r="F615" t="str"/>
          <cell r="G615" t="str">
            <v>ZBIY17S1</v>
          </cell>
        </row>
        <row r="616">
          <cell r="D616" t="str">
            <v>AQU4518R9v06</v>
          </cell>
          <cell r="E616" t="str"/>
          <cell r="F616" t="str"/>
          <cell r="G616" t="str">
            <v>ZBIY17S3</v>
          </cell>
        </row>
        <row r="617">
          <cell r="D617" t="str"/>
          <cell r="E617" t="str">
            <v>AQU4518R9v06</v>
          </cell>
          <cell r="F617" t="str"/>
          <cell r="G617" t="str">
            <v>ZBIY17S1</v>
          </cell>
        </row>
        <row r="618">
          <cell r="D618" t="str"/>
          <cell r="E618" t="str">
            <v>AQU4518R9v06</v>
          </cell>
          <cell r="F618" t="str"/>
          <cell r="G618" t="str">
            <v>ZBIY17S3</v>
          </cell>
        </row>
        <row r="619">
          <cell r="D619" t="str">
            <v>AQU4518R9v06</v>
          </cell>
          <cell r="E619" t="str">
            <v>AQU4518R9v06</v>
          </cell>
          <cell r="F619" t="str">
            <v>AQU4518R9v06</v>
          </cell>
          <cell r="G619" t="str">
            <v>ZBIY19S2</v>
          </cell>
        </row>
        <row r="620">
          <cell r="D620" t="str">
            <v>AQU4518R9v06</v>
          </cell>
          <cell r="E620" t="str">
            <v>AQU4518R9v06</v>
          </cell>
          <cell r="F620" t="str">
            <v>AQU4518R9v06</v>
          </cell>
          <cell r="G620" t="str">
            <v>ZBIY19S3</v>
          </cell>
        </row>
        <row r="621">
          <cell r="D621" t="str">
            <v>AQU4518R9v06</v>
          </cell>
          <cell r="E621" t="str">
            <v>AQU4518R9v06</v>
          </cell>
          <cell r="F621" t="str">
            <v>AQU4518R9v06</v>
          </cell>
          <cell r="G621" t="str">
            <v>ZBIY20S1</v>
          </cell>
        </row>
        <row r="622">
          <cell r="D622" t="str">
            <v>AQU4518R9v06</v>
          </cell>
          <cell r="E622" t="str">
            <v>AQU4518R9v06</v>
          </cell>
          <cell r="F622" t="str">
            <v>AQU4518R9v06</v>
          </cell>
          <cell r="G622" t="str">
            <v>ZBIY20S2</v>
          </cell>
        </row>
        <row r="623">
          <cell r="D623" t="str">
            <v>AQU4518R9v06</v>
          </cell>
          <cell r="E623" t="str">
            <v>AQU4518R9v06</v>
          </cell>
          <cell r="F623" t="str">
            <v>AQU4518R9v06</v>
          </cell>
          <cell r="G623" t="str">
            <v>ZBIY20S3</v>
          </cell>
        </row>
        <row r="624">
          <cell r="D624" t="str">
            <v>AQU4518R9v06</v>
          </cell>
          <cell r="E624" t="str">
            <v>AQU4518R9v06</v>
          </cell>
          <cell r="F624" t="str">
            <v>AQU4518R9v06</v>
          </cell>
          <cell r="G624" t="str">
            <v>ZBIY21S1</v>
          </cell>
        </row>
        <row r="625">
          <cell r="D625" t="str">
            <v>AQU4518R9v06</v>
          </cell>
          <cell r="E625" t="str">
            <v>AQU4518R9v06</v>
          </cell>
          <cell r="F625" t="str">
            <v>AQU4518R9v06</v>
          </cell>
          <cell r="G625" t="str">
            <v>ZBIY21S2</v>
          </cell>
        </row>
        <row r="626">
          <cell r="D626" t="str">
            <v>AQU4518R9v06</v>
          </cell>
          <cell r="E626" t="str">
            <v>AQU4518R9v06</v>
          </cell>
          <cell r="F626" t="str">
            <v>AQU4518R9v06</v>
          </cell>
          <cell r="G626" t="str">
            <v>ZBIY21S3</v>
          </cell>
        </row>
        <row r="627">
          <cell r="D627" t="str"/>
          <cell r="E627" t="str"/>
          <cell r="F627" t="str">
            <v>AQU4518R9v06</v>
          </cell>
          <cell r="G627" t="str">
            <v>ZBIY22S1</v>
          </cell>
        </row>
        <row r="628">
          <cell r="D628" t="str"/>
          <cell r="E628" t="str"/>
          <cell r="F628" t="str">
            <v>AQU4518R9v06</v>
          </cell>
          <cell r="G628" t="str">
            <v>ZBIY22S2</v>
          </cell>
        </row>
        <row r="629">
          <cell r="D629" t="str">
            <v>AQU4518R9v06</v>
          </cell>
          <cell r="E629" t="str">
            <v>AQU4518R9v06</v>
          </cell>
          <cell r="F629" t="str"/>
          <cell r="G629" t="str">
            <v>ZBIY22S1</v>
          </cell>
        </row>
        <row r="630">
          <cell r="D630" t="str">
            <v>AQU4518R9v06</v>
          </cell>
          <cell r="E630" t="str">
            <v>AQU4518R9v06</v>
          </cell>
          <cell r="F630" t="str"/>
          <cell r="G630" t="str">
            <v>ZBIY22S2</v>
          </cell>
        </row>
        <row r="631">
          <cell r="D631" t="str">
            <v>AQU4518R9v06</v>
          </cell>
          <cell r="E631" t="str">
            <v>AQU4518R9v06</v>
          </cell>
          <cell r="F631" t="str">
            <v>AQU4518R9v06</v>
          </cell>
          <cell r="G631" t="str">
            <v>ZBIY22S3</v>
          </cell>
        </row>
        <row r="632">
          <cell r="D632" t="str">
            <v>AQU4518R9v06</v>
          </cell>
          <cell r="E632" t="str">
            <v>AQU4518R9v06</v>
          </cell>
          <cell r="F632" t="str">
            <v>AQU4518R9v06</v>
          </cell>
          <cell r="G632" t="str">
            <v>ZBIY23S1</v>
          </cell>
        </row>
        <row r="633">
          <cell r="D633" t="str">
            <v>AQU4518R9v06</v>
          </cell>
          <cell r="E633" t="str">
            <v>AQU4518R9v06</v>
          </cell>
          <cell r="F633" t="str">
            <v>AQU4518R9v06</v>
          </cell>
          <cell r="G633" t="str">
            <v>ZBIY23S2</v>
          </cell>
        </row>
        <row r="634">
          <cell r="D634" t="str">
            <v>AQU4518R9v06</v>
          </cell>
          <cell r="E634" t="str">
            <v>AQU4518R9v06</v>
          </cell>
          <cell r="F634" t="str">
            <v>AQU4518R9v06</v>
          </cell>
          <cell r="G634" t="str">
            <v>ZBIY23S3</v>
          </cell>
        </row>
        <row r="635">
          <cell r="D635" t="str"/>
          <cell r="E635" t="str">
            <v>AMB4519R6v06</v>
          </cell>
          <cell r="F635" t="str"/>
          <cell r="G635" t="str">
            <v>ZBIY24NA</v>
          </cell>
        </row>
        <row r="636">
          <cell r="D636" t="str">
            <v>A10244PD00v06</v>
          </cell>
          <cell r="E636" t="str">
            <v>A10244PD00v06</v>
          </cell>
          <cell r="F636" t="str">
            <v>A10244PD00v06</v>
          </cell>
          <cell r="G636" t="str">
            <v>ZBIY24S1</v>
          </cell>
        </row>
        <row r="637">
          <cell r="D637" t="str"/>
          <cell r="E637" t="str"/>
          <cell r="F637" t="str"/>
          <cell r="G637" t="str">
            <v>ZBIY29NA</v>
          </cell>
        </row>
        <row r="638">
          <cell r="D638" t="str">
            <v>A10244PD00v06</v>
          </cell>
          <cell r="E638" t="str">
            <v>A10244PD00v06</v>
          </cell>
          <cell r="F638" t="str">
            <v>A10244PD00v06</v>
          </cell>
          <cell r="G638" t="str">
            <v>ZBIY29S1</v>
          </cell>
        </row>
        <row r="639">
          <cell r="D639" t="str">
            <v>AQU4518R9v06</v>
          </cell>
          <cell r="E639" t="str">
            <v>AQU4518R9v06</v>
          </cell>
          <cell r="F639" t="str">
            <v>AQU4518R9v06</v>
          </cell>
          <cell r="G639" t="str">
            <v>ZBIY29S2</v>
          </cell>
        </row>
        <row r="640">
          <cell r="D640" t="str">
            <v>AQU4518R9v06</v>
          </cell>
          <cell r="E640" t="str">
            <v>AQU4518R9v06</v>
          </cell>
          <cell r="F640" t="str">
            <v>AQU4518R9v06</v>
          </cell>
          <cell r="G640" t="str">
            <v>ZBIY29S3</v>
          </cell>
        </row>
        <row r="641">
          <cell r="D641" t="str"/>
          <cell r="E641" t="str">
            <v>AMB4519R6v06</v>
          </cell>
          <cell r="F641" t="str"/>
          <cell r="G641" t="str">
            <v>ZBIY30NA</v>
          </cell>
        </row>
        <row r="642">
          <cell r="D642" t="str">
            <v>AQU4518R9v06</v>
          </cell>
          <cell r="E642" t="str">
            <v>AQU4518R9v06</v>
          </cell>
          <cell r="F642" t="str">
            <v>AQU4518R9v06</v>
          </cell>
          <cell r="G642" t="str">
            <v>ZBIY30S1</v>
          </cell>
        </row>
        <row r="643">
          <cell r="D643" t="str">
            <v>AQU4518R9v06</v>
          </cell>
          <cell r="E643" t="str">
            <v>AQU4518R9v06</v>
          </cell>
          <cell r="F643" t="str">
            <v>AQU4518R9v06</v>
          </cell>
          <cell r="G643" t="str">
            <v>ZBIY30S3</v>
          </cell>
        </row>
        <row r="644">
          <cell r="D644" t="str">
            <v>AQU4518R9v06</v>
          </cell>
          <cell r="E644" t="str">
            <v>AQU4518R9v06</v>
          </cell>
          <cell r="F644" t="str">
            <v>AQU4518R9v06</v>
          </cell>
          <cell r="G644" t="str">
            <v>ZBIY32S2</v>
          </cell>
        </row>
        <row r="645">
          <cell r="D645" t="str">
            <v>AQU4518R9v06</v>
          </cell>
          <cell r="E645" t="str">
            <v>AQU4518R9v06</v>
          </cell>
          <cell r="F645" t="str">
            <v>AQU4518R9v06</v>
          </cell>
          <cell r="G645" t="str">
            <v>ZBIY32S3</v>
          </cell>
        </row>
        <row r="646">
          <cell r="D646" t="str"/>
          <cell r="E646" t="str">
            <v>ADU4518R6v06</v>
          </cell>
          <cell r="F646" t="str">
            <v>ADU4518R6v06</v>
          </cell>
          <cell r="G646" t="str">
            <v>ZBIY32S4</v>
          </cell>
        </row>
        <row r="647">
          <cell r="D647" t="str">
            <v>APE4517R0v06</v>
          </cell>
          <cell r="E647" t="str">
            <v>APE4517R0v06</v>
          </cell>
          <cell r="F647" t="str">
            <v>APE4517R0v06</v>
          </cell>
          <cell r="G647" t="str">
            <v>ZBIY33S1</v>
          </cell>
        </row>
        <row r="648">
          <cell r="D648" t="str">
            <v>APE4517R0v06</v>
          </cell>
          <cell r="E648" t="str">
            <v>APE4517R0v06</v>
          </cell>
          <cell r="F648" t="str">
            <v>APE4517R0v06</v>
          </cell>
          <cell r="G648" t="str">
            <v>ZBIY33S2</v>
          </cell>
        </row>
        <row r="649">
          <cell r="D649" t="str">
            <v>APE4517R0v06</v>
          </cell>
          <cell r="E649" t="str">
            <v>APE4517R0v06</v>
          </cell>
          <cell r="F649" t="str">
            <v>APE4517R0v06</v>
          </cell>
          <cell r="G649" t="str">
            <v>ZBIY33S3</v>
          </cell>
        </row>
        <row r="650">
          <cell r="D650" t="str">
            <v>AQU4518R9v06</v>
          </cell>
          <cell r="E650" t="str">
            <v>AQU4518R9v06</v>
          </cell>
          <cell r="F650" t="str">
            <v>AQU4518R9v06</v>
          </cell>
          <cell r="G650" t="str">
            <v>ZBIY38S1</v>
          </cell>
        </row>
        <row r="651">
          <cell r="D651" t="str">
            <v>AQU4518R9v06</v>
          </cell>
          <cell r="E651" t="str">
            <v>AQU4518R9v06</v>
          </cell>
          <cell r="F651" t="str">
            <v>AQU4518R9v06</v>
          </cell>
          <cell r="G651" t="str">
            <v>ZBIY38S2</v>
          </cell>
        </row>
        <row r="652">
          <cell r="D652" t="str">
            <v>AQU4518R9v06</v>
          </cell>
          <cell r="E652" t="str">
            <v>AQU4518R9v06</v>
          </cell>
          <cell r="F652" t="str">
            <v>AQU4518R9v06</v>
          </cell>
          <cell r="G652" t="str">
            <v>ZBIY38S3</v>
          </cell>
        </row>
        <row r="653">
          <cell r="D653" t="str">
            <v>ATR4517R0v06</v>
          </cell>
          <cell r="E653" t="str">
            <v>ATR4517R0v06</v>
          </cell>
          <cell r="F653" t="str">
            <v>ATR4517R0v06</v>
          </cell>
          <cell r="G653" t="str">
            <v>ZBIY43S1</v>
          </cell>
        </row>
        <row r="654">
          <cell r="D654" t="str">
            <v>AMB4519R6v06</v>
          </cell>
          <cell r="E654" t="str">
            <v>AMB4519R6v06</v>
          </cell>
          <cell r="F654" t="str">
            <v>AMB4519R6v06</v>
          </cell>
          <cell r="G654" t="str">
            <v>ZBIY43S2</v>
          </cell>
        </row>
        <row r="655">
          <cell r="D655" t="str">
            <v>ATR4517R0v06</v>
          </cell>
          <cell r="E655" t="str">
            <v>ATR4517R0v06</v>
          </cell>
          <cell r="F655" t="str">
            <v>ATR4517R0v06</v>
          </cell>
          <cell r="G655" t="str">
            <v>ZBIY43S3</v>
          </cell>
        </row>
        <row r="656">
          <cell r="D656" t="str">
            <v>ATR4518R7v07</v>
          </cell>
          <cell r="E656" t="str">
            <v>ATR4518R7v07</v>
          </cell>
          <cell r="F656" t="str">
            <v>ATR4518R7v07</v>
          </cell>
          <cell r="G656" t="str">
            <v>ZBIY48S1</v>
          </cell>
        </row>
        <row r="657">
          <cell r="D657" t="str">
            <v>ATR4518R7v07</v>
          </cell>
          <cell r="E657" t="str">
            <v>ATR4518R7v07</v>
          </cell>
          <cell r="F657" t="str">
            <v>ATR4518R7v07</v>
          </cell>
          <cell r="G657" t="str">
            <v>ZBIY48S3</v>
          </cell>
        </row>
        <row r="658">
          <cell r="D658" t="str"/>
          <cell r="E658" t="str">
            <v>AQU4518R9v06</v>
          </cell>
          <cell r="F658" t="str"/>
          <cell r="G658" t="str">
            <v>ZBIY51S2</v>
          </cell>
        </row>
        <row r="659">
          <cell r="D659" t="str">
            <v>APE4517R0v06</v>
          </cell>
          <cell r="E659" t="str">
            <v>APE4517R0v06</v>
          </cell>
          <cell r="F659" t="str">
            <v>APE4517R0v06</v>
          </cell>
          <cell r="G659" t="str">
            <v>ZBIY54S1</v>
          </cell>
        </row>
        <row r="660">
          <cell r="D660" t="str">
            <v>APE4517R0v06</v>
          </cell>
          <cell r="E660" t="str">
            <v>APE4517R0v06</v>
          </cell>
          <cell r="F660" t="str">
            <v>APE4517R0v06</v>
          </cell>
          <cell r="G660" t="str">
            <v>ZBIY54S2</v>
          </cell>
        </row>
        <row r="661">
          <cell r="D661" t="str">
            <v>APE4517R0v06</v>
          </cell>
          <cell r="E661" t="str">
            <v>APE4517R0v06</v>
          </cell>
          <cell r="F661" t="str">
            <v>APE4517R0v06</v>
          </cell>
          <cell r="G661" t="str">
            <v>ZBIY54S3</v>
          </cell>
        </row>
        <row r="662">
          <cell r="D662" t="str"/>
          <cell r="E662" t="str">
            <v>APE4517R0v06</v>
          </cell>
          <cell r="F662" t="str"/>
          <cell r="G662" t="str">
            <v>ZBIY55S1</v>
          </cell>
        </row>
        <row r="663">
          <cell r="D663" t="str"/>
          <cell r="E663" t="str">
            <v>APE4517R0v06</v>
          </cell>
          <cell r="F663" t="str"/>
          <cell r="G663" t="str">
            <v>ZBIY55S2</v>
          </cell>
        </row>
        <row r="664">
          <cell r="D664" t="str"/>
          <cell r="E664" t="str">
            <v>APE4517R0v06</v>
          </cell>
          <cell r="F664" t="str"/>
          <cell r="G664" t="str">
            <v>ZBIY55S3</v>
          </cell>
        </row>
        <row r="665">
          <cell r="D665" t="str"/>
          <cell r="E665" t="str">
            <v>AMB4519R6v06</v>
          </cell>
          <cell r="F665" t="str"/>
          <cell r="G665" t="str">
            <v>ZDOM01NA</v>
          </cell>
        </row>
        <row r="666">
          <cell r="D666" t="str">
            <v>AQU4518R9v06</v>
          </cell>
          <cell r="E666" t="str"/>
          <cell r="F666" t="str">
            <v>AQU4518R9v06</v>
          </cell>
          <cell r="G666" t="str">
            <v>ZDOM01S1</v>
          </cell>
        </row>
        <row r="667">
          <cell r="D667" t="str">
            <v>AQU4518R9v06</v>
          </cell>
          <cell r="E667" t="str">
            <v>AQU4518R9v06</v>
          </cell>
          <cell r="F667" t="str">
            <v>AQU4518R9v06</v>
          </cell>
          <cell r="G667" t="str">
            <v>ZDOM01S2</v>
          </cell>
        </row>
        <row r="668">
          <cell r="D668" t="str">
            <v>AQU4518R9v06</v>
          </cell>
          <cell r="E668" t="str">
            <v>AQU4518R9v06</v>
          </cell>
          <cell r="F668" t="str">
            <v>AQU4518R9v06</v>
          </cell>
          <cell r="G668" t="str">
            <v>ZDOM01S3</v>
          </cell>
        </row>
        <row r="669">
          <cell r="D669" t="str"/>
          <cell r="E669" t="str"/>
          <cell r="F669" t="str"/>
          <cell r="G669" t="str">
            <v>ZDOM02NA</v>
          </cell>
        </row>
        <row r="670">
          <cell r="D670" t="str"/>
          <cell r="E670" t="str"/>
          <cell r="F670" t="str"/>
          <cell r="G670" t="str">
            <v>ZDOM02None</v>
          </cell>
        </row>
        <row r="671">
          <cell r="D671" t="str">
            <v>AQU4518R9v06</v>
          </cell>
          <cell r="E671" t="str">
            <v>AQU4518R9v06</v>
          </cell>
          <cell r="F671" t="str">
            <v>AQU4518R9v06</v>
          </cell>
          <cell r="G671" t="str">
            <v>ZDOM02S2</v>
          </cell>
        </row>
        <row r="672">
          <cell r="D672" t="str">
            <v>AQU4518R9v06</v>
          </cell>
          <cell r="E672" t="str"/>
          <cell r="F672" t="str">
            <v>AQU4518R9v06</v>
          </cell>
          <cell r="G672" t="str">
            <v>ZDOM02S3</v>
          </cell>
        </row>
        <row r="673">
          <cell r="D673" t="str"/>
          <cell r="E673" t="str">
            <v>AMB4519R6v06</v>
          </cell>
          <cell r="F673" t="str"/>
          <cell r="G673" t="str">
            <v>ZDOM03NA</v>
          </cell>
        </row>
        <row r="674">
          <cell r="D674" t="str"/>
          <cell r="E674" t="str">
            <v>AQU4518R9v06</v>
          </cell>
          <cell r="F674" t="str"/>
          <cell r="G674" t="str">
            <v>ZDOM04S1</v>
          </cell>
        </row>
        <row r="675">
          <cell r="D675" t="str"/>
          <cell r="E675" t="str">
            <v>AQU4518R9v06</v>
          </cell>
          <cell r="F675" t="str"/>
          <cell r="G675" t="str">
            <v>ZDOM04S2</v>
          </cell>
        </row>
        <row r="676">
          <cell r="D676" t="str"/>
          <cell r="E676" t="str"/>
          <cell r="F676" t="str">
            <v>AQU4518R9v06</v>
          </cell>
          <cell r="G676" t="str">
            <v>ZDOM04S1</v>
          </cell>
        </row>
        <row r="677">
          <cell r="D677" t="str"/>
          <cell r="E677" t="str"/>
          <cell r="F677" t="str">
            <v>AQU4518R9v06</v>
          </cell>
          <cell r="G677" t="str">
            <v>ZDOM04S2</v>
          </cell>
        </row>
        <row r="678">
          <cell r="D678" t="str">
            <v>AQU4518R9v06</v>
          </cell>
          <cell r="E678" t="str"/>
          <cell r="F678" t="str"/>
          <cell r="G678" t="str">
            <v>ZDOM04S1</v>
          </cell>
        </row>
        <row r="679">
          <cell r="D679" t="str">
            <v>AQU4518R9v06</v>
          </cell>
          <cell r="E679" t="str"/>
          <cell r="F679" t="str"/>
          <cell r="G679" t="str">
            <v>ZDOM04S2</v>
          </cell>
        </row>
        <row r="680">
          <cell r="D680" t="str"/>
          <cell r="E680" t="str">
            <v>AQU4518R9v06</v>
          </cell>
          <cell r="F680" t="str"/>
          <cell r="G680" t="str">
            <v>ZDOM04S1</v>
          </cell>
        </row>
        <row r="681">
          <cell r="D681" t="str"/>
          <cell r="E681" t="str">
            <v>AQU4518R9v06</v>
          </cell>
          <cell r="F681" t="str"/>
          <cell r="G681" t="str">
            <v>ZDOM04S2</v>
          </cell>
        </row>
        <row r="682">
          <cell r="D682" t="str">
            <v>AQU4518R9v06</v>
          </cell>
          <cell r="E682" t="str">
            <v>AQU4518R9v06</v>
          </cell>
          <cell r="F682" t="str"/>
          <cell r="G682" t="str">
            <v>ZDOM04S3</v>
          </cell>
        </row>
        <row r="683">
          <cell r="D683" t="str"/>
          <cell r="E683" t="str">
            <v>AMB4519R6v06</v>
          </cell>
          <cell r="F683" t="str"/>
          <cell r="G683" t="str">
            <v>ZDOM05NA</v>
          </cell>
        </row>
        <row r="684">
          <cell r="D684" t="str">
            <v>AQU4518R9v06</v>
          </cell>
          <cell r="E684" t="str">
            <v>AQU4518R9v06</v>
          </cell>
          <cell r="F684" t="str">
            <v>AQU4518R9v06</v>
          </cell>
          <cell r="G684" t="str">
            <v>ZDOM05S1</v>
          </cell>
        </row>
        <row r="685">
          <cell r="D685" t="str">
            <v>AQU4518R9v06</v>
          </cell>
          <cell r="E685" t="str">
            <v>AQU4518R9v06</v>
          </cell>
          <cell r="F685" t="str">
            <v>AQU4518R9v06</v>
          </cell>
          <cell r="G685" t="str">
            <v>ZDOM05S2</v>
          </cell>
        </row>
        <row r="686">
          <cell r="D686" t="str">
            <v>AQU4518R9v06</v>
          </cell>
          <cell r="E686" t="str">
            <v>AQU4518R9v06</v>
          </cell>
          <cell r="F686" t="str">
            <v>AQU4518R9v06</v>
          </cell>
          <cell r="G686" t="str">
            <v>ZDOM05S4</v>
          </cell>
        </row>
        <row r="687">
          <cell r="D687" t="str">
            <v>AQU4518R9v06</v>
          </cell>
          <cell r="E687" t="str">
            <v>AQU4518R9v06</v>
          </cell>
          <cell r="F687" t="str"/>
          <cell r="G687" t="str">
            <v>ZDOM06S1</v>
          </cell>
        </row>
        <row r="688">
          <cell r="D688" t="str">
            <v>AQU4518R9v06</v>
          </cell>
          <cell r="E688" t="str">
            <v>AQU4518R9v06</v>
          </cell>
          <cell r="F688" t="str">
            <v>AQU4518R9v06</v>
          </cell>
          <cell r="G688" t="str">
            <v>ZDOM08S1</v>
          </cell>
        </row>
        <row r="689">
          <cell r="D689" t="str">
            <v>AQU4518R9v06</v>
          </cell>
          <cell r="E689" t="str">
            <v>AQU4518R9v06</v>
          </cell>
          <cell r="F689" t="str">
            <v>AQU4518R9v06</v>
          </cell>
          <cell r="G689" t="str">
            <v>ZDOM08S2</v>
          </cell>
        </row>
        <row r="690">
          <cell r="D690" t="str">
            <v>AQU4518R9v06</v>
          </cell>
          <cell r="E690" t="str">
            <v>AQU4518R9v06</v>
          </cell>
          <cell r="F690" t="str">
            <v>AQU4518R9v06</v>
          </cell>
          <cell r="G690" t="str">
            <v>ZDOM08S3</v>
          </cell>
        </row>
        <row r="691">
          <cell r="D691" t="str">
            <v>AQU4518R9v06</v>
          </cell>
          <cell r="E691" t="str">
            <v>AQU4518R9v06</v>
          </cell>
          <cell r="F691" t="str">
            <v>AQU4518R9v06</v>
          </cell>
          <cell r="G691" t="str">
            <v>ZDOM09S1</v>
          </cell>
        </row>
        <row r="692">
          <cell r="D692" t="str">
            <v>AQU4518R9v06</v>
          </cell>
          <cell r="E692" t="str">
            <v>AQU4518R9v06</v>
          </cell>
          <cell r="F692" t="str">
            <v>AQU4518R9v06</v>
          </cell>
          <cell r="G692" t="str">
            <v>ZDOM09S2</v>
          </cell>
        </row>
        <row r="693">
          <cell r="D693" t="str">
            <v>AQU4518R9v06</v>
          </cell>
          <cell r="E693" t="str">
            <v>AQU4518R9v06</v>
          </cell>
          <cell r="F693" t="str">
            <v>AQU4518R9v06</v>
          </cell>
          <cell r="G693" t="str">
            <v>ZDOM09S3</v>
          </cell>
        </row>
        <row r="694">
          <cell r="D694" t="str">
            <v>AQU4518R9v06</v>
          </cell>
          <cell r="E694" t="str">
            <v>AQU4518R9v06</v>
          </cell>
          <cell r="F694" t="str">
            <v>AQU4518R9v06</v>
          </cell>
          <cell r="G694" t="str">
            <v>ZDOM11S1</v>
          </cell>
        </row>
        <row r="695">
          <cell r="D695" t="str">
            <v>AQU4518R9v06</v>
          </cell>
          <cell r="E695" t="str">
            <v>AQU4518R9v06</v>
          </cell>
          <cell r="F695" t="str">
            <v>AQU4518R9v06</v>
          </cell>
          <cell r="G695" t="str">
            <v>ZDOM11S3</v>
          </cell>
        </row>
        <row r="696">
          <cell r="D696" t="str">
            <v>AQU4518R9v06</v>
          </cell>
          <cell r="E696" t="str">
            <v>AQU4518R9v06</v>
          </cell>
          <cell r="F696" t="str">
            <v>AQU4518R9v06</v>
          </cell>
          <cell r="G696" t="str">
            <v>ZDOM12S1</v>
          </cell>
        </row>
        <row r="697">
          <cell r="D697" t="str">
            <v>AQU4518R9v06</v>
          </cell>
          <cell r="E697" t="str">
            <v>AQU4518R9v06</v>
          </cell>
          <cell r="F697" t="str">
            <v>AQU4518R9v06</v>
          </cell>
          <cell r="G697" t="str">
            <v>ZDOM12S2</v>
          </cell>
        </row>
        <row r="698">
          <cell r="D698" t="str"/>
          <cell r="E698" t="str">
            <v>AMB4519R6v06</v>
          </cell>
          <cell r="F698" t="str"/>
          <cell r="G698" t="str">
            <v>ZDOM13NA</v>
          </cell>
        </row>
        <row r="699">
          <cell r="D699" t="str">
            <v>AQU4518R9v06</v>
          </cell>
          <cell r="E699" t="str">
            <v>AQU4518R9v06</v>
          </cell>
          <cell r="F699" t="str">
            <v>AQU4518R9v06</v>
          </cell>
          <cell r="G699" t="str">
            <v>ZDOM13S1</v>
          </cell>
        </row>
        <row r="700">
          <cell r="D700" t="str">
            <v>AQU4518R9v06</v>
          </cell>
          <cell r="E700" t="str"/>
          <cell r="F700" t="str"/>
          <cell r="G700" t="str">
            <v>ZDOM13S2</v>
          </cell>
        </row>
        <row r="701">
          <cell r="D701" t="str">
            <v>AQU4518R9v06</v>
          </cell>
          <cell r="E701" t="str">
            <v>AQU4518R9v06</v>
          </cell>
          <cell r="F701" t="str">
            <v>AQU4518R9v06</v>
          </cell>
          <cell r="G701" t="str">
            <v>ZDOM13S3</v>
          </cell>
        </row>
        <row r="702">
          <cell r="D702" t="str">
            <v>AQU4518R9v06</v>
          </cell>
          <cell r="E702" t="str">
            <v>AQU4518R9v06</v>
          </cell>
          <cell r="F702" t="str">
            <v>AQU4518R9v06</v>
          </cell>
          <cell r="G702" t="str">
            <v>ZDOM14S1</v>
          </cell>
        </row>
        <row r="703">
          <cell r="D703" t="str">
            <v>AQU4518R9v06</v>
          </cell>
          <cell r="E703" t="str">
            <v>AQU4518R9v06</v>
          </cell>
          <cell r="F703" t="str">
            <v>AQU4518R9v06</v>
          </cell>
          <cell r="G703" t="str">
            <v>ZDOM14S2</v>
          </cell>
        </row>
        <row r="704">
          <cell r="D704" t="str">
            <v>AQU4518R9v06</v>
          </cell>
          <cell r="E704" t="str">
            <v>AQU4518R9v06</v>
          </cell>
          <cell r="F704" t="str">
            <v>AQU4518R9v06</v>
          </cell>
          <cell r="G704" t="str">
            <v>ZDOM14S3</v>
          </cell>
        </row>
        <row r="705">
          <cell r="D705" t="str">
            <v>AQU4518R9v06</v>
          </cell>
          <cell r="E705" t="str">
            <v>AQU4518R9v06</v>
          </cell>
          <cell r="F705" t="str">
            <v>AQU4518R9v06</v>
          </cell>
          <cell r="G705" t="str">
            <v>ZDOM19S1</v>
          </cell>
        </row>
        <row r="706">
          <cell r="D706" t="str">
            <v>AQU4518R9v06</v>
          </cell>
          <cell r="E706" t="str">
            <v>AQU4518R9v06</v>
          </cell>
          <cell r="F706" t="str">
            <v>AQU4518R9v06</v>
          </cell>
          <cell r="G706" t="str">
            <v>ZDOM19S2</v>
          </cell>
        </row>
        <row r="707">
          <cell r="D707" t="str">
            <v>AQU4518R9v06</v>
          </cell>
          <cell r="E707" t="str">
            <v>AQU4518R9v06</v>
          </cell>
          <cell r="F707" t="str">
            <v>AQU4518R9v06</v>
          </cell>
          <cell r="G707" t="str">
            <v>ZDOM19S3</v>
          </cell>
        </row>
        <row r="708">
          <cell r="D708" t="str">
            <v>ATR4518R7v07</v>
          </cell>
          <cell r="E708" t="str">
            <v>ATR4518R7v07</v>
          </cell>
          <cell r="F708" t="str">
            <v>ATR4518R7v07</v>
          </cell>
          <cell r="G708" t="str">
            <v>ZDOM20S1</v>
          </cell>
        </row>
        <row r="709">
          <cell r="D709" t="str">
            <v>ATR4518R7v07</v>
          </cell>
          <cell r="E709" t="str">
            <v>ATR4518R7v07</v>
          </cell>
          <cell r="F709" t="str">
            <v>ATR4518R7v07</v>
          </cell>
          <cell r="G709" t="str">
            <v>ZDOM20S2</v>
          </cell>
        </row>
        <row r="710">
          <cell r="D710" t="str">
            <v>ATR4518R7v07</v>
          </cell>
          <cell r="E710" t="str">
            <v>ATR4518R7v07</v>
          </cell>
          <cell r="F710" t="str">
            <v>ATR4518R7v07</v>
          </cell>
          <cell r="G710" t="str">
            <v>ZDOM20S3</v>
          </cell>
        </row>
        <row r="711">
          <cell r="D711" t="str"/>
          <cell r="E711" t="str">
            <v>ADU4518R6v06</v>
          </cell>
          <cell r="F711" t="str"/>
          <cell r="G711" t="str">
            <v>ZDOM22S1</v>
          </cell>
        </row>
        <row r="712">
          <cell r="D712" t="str"/>
          <cell r="E712" t="str">
            <v>ADU4518R6v06</v>
          </cell>
          <cell r="F712" t="str"/>
          <cell r="G712" t="str">
            <v>ZDOM22S2</v>
          </cell>
        </row>
        <row r="713">
          <cell r="D713" t="str"/>
          <cell r="E713" t="str">
            <v>ADU4518R6v06</v>
          </cell>
          <cell r="F713" t="str"/>
          <cell r="G713" t="str">
            <v>ZDOM22S3</v>
          </cell>
        </row>
        <row r="714">
          <cell r="D714" t="str"/>
          <cell r="E714" t="str">
            <v>ADU4518R6v06</v>
          </cell>
          <cell r="F714" t="str"/>
          <cell r="G714" t="str">
            <v>ZDOM24S1</v>
          </cell>
        </row>
        <row r="715">
          <cell r="D715" t="str"/>
          <cell r="E715" t="str">
            <v>ADU4518R6v06</v>
          </cell>
          <cell r="F715" t="str"/>
          <cell r="G715" t="str">
            <v>ZDOM24S2</v>
          </cell>
        </row>
        <row r="716">
          <cell r="D716" t="str"/>
          <cell r="E716" t="str">
            <v>ADU4518R6v06</v>
          </cell>
          <cell r="F716" t="str"/>
          <cell r="G716" t="str">
            <v>ZDOM24S3</v>
          </cell>
        </row>
        <row r="717">
          <cell r="D717" t="str"/>
          <cell r="E717" t="str">
            <v>AMB4519R6v06</v>
          </cell>
          <cell r="F717" t="str"/>
          <cell r="G717" t="str">
            <v>ZJAL01NA</v>
          </cell>
        </row>
        <row r="718">
          <cell r="D718" t="str">
            <v>AQU4518R9v06</v>
          </cell>
          <cell r="E718" t="str"/>
          <cell r="F718" t="str">
            <v>AQU4518R9v06</v>
          </cell>
          <cell r="G718" t="str">
            <v>ZJAL01S1</v>
          </cell>
        </row>
        <row r="719">
          <cell r="D719" t="str">
            <v>AQU4518R9v06</v>
          </cell>
          <cell r="E719" t="str"/>
          <cell r="F719" t="str">
            <v>AQU4518R9v06</v>
          </cell>
          <cell r="G719" t="str">
            <v>ZJAL01S2</v>
          </cell>
        </row>
        <row r="720">
          <cell r="D720" t="str">
            <v>AQU4518R9v06</v>
          </cell>
          <cell r="E720" t="str">
            <v>AQU4518R9v06</v>
          </cell>
          <cell r="F720" t="str">
            <v>AQU4518R9v06</v>
          </cell>
          <cell r="G720" t="str">
            <v>ZJAL01S3</v>
          </cell>
        </row>
        <row r="721">
          <cell r="D721" t="str">
            <v>A10244PD00v06</v>
          </cell>
          <cell r="E721" t="str">
            <v>A10244PD00v06</v>
          </cell>
          <cell r="F721" t="str">
            <v>A10244PD00v06</v>
          </cell>
          <cell r="G721" t="str">
            <v>ZJAL02S1</v>
          </cell>
        </row>
        <row r="722">
          <cell r="D722" t="str">
            <v>A10244PD00v06</v>
          </cell>
          <cell r="E722" t="str">
            <v>A10244PD00v06</v>
          </cell>
          <cell r="F722" t="str">
            <v>A10244PD00v06</v>
          </cell>
          <cell r="G722" t="str">
            <v>ZJAL02S2</v>
          </cell>
        </row>
        <row r="723">
          <cell r="D723" t="str">
            <v>A10244PD00v06</v>
          </cell>
          <cell r="E723" t="str">
            <v>A10244PD00v06</v>
          </cell>
          <cell r="F723" t="str">
            <v>A10244PD00v06</v>
          </cell>
          <cell r="G723" t="str">
            <v>ZJAL02S3</v>
          </cell>
        </row>
        <row r="724">
          <cell r="D724" t="str"/>
          <cell r="E724" t="str">
            <v>AMB4519R6v06</v>
          </cell>
          <cell r="F724" t="str"/>
          <cell r="G724" t="str">
            <v>ZJAL03NA</v>
          </cell>
        </row>
        <row r="725">
          <cell r="D725" t="str">
            <v>AQU4518R9v06</v>
          </cell>
          <cell r="E725" t="str">
            <v>AQU4518R9v06</v>
          </cell>
          <cell r="F725" t="str">
            <v>AQU4518R9v06</v>
          </cell>
          <cell r="G725" t="str">
            <v>ZJAL03S1</v>
          </cell>
        </row>
        <row r="726">
          <cell r="D726" t="str">
            <v>AQU4518R9v06</v>
          </cell>
          <cell r="E726" t="str">
            <v>AQU4518R9v06</v>
          </cell>
          <cell r="F726" t="str">
            <v>AQU4518R9v06</v>
          </cell>
          <cell r="G726" t="str">
            <v>ZJAL03S2</v>
          </cell>
        </row>
        <row r="727">
          <cell r="D727" t="str">
            <v>AQU4518R9v06</v>
          </cell>
          <cell r="E727" t="str"/>
          <cell r="F727" t="str">
            <v>AQU4518R9v06</v>
          </cell>
          <cell r="G727" t="str">
            <v>ZJAL03S3</v>
          </cell>
        </row>
        <row r="728">
          <cell r="D728" t="str">
            <v>AQU4518R9v06</v>
          </cell>
          <cell r="E728" t="str">
            <v>AQU4518R9v06</v>
          </cell>
          <cell r="F728" t="str">
            <v>AQU4518R9v06</v>
          </cell>
          <cell r="G728" t="str">
            <v>ZJAL04S1</v>
          </cell>
        </row>
        <row r="729">
          <cell r="D729" t="str">
            <v>AQU4518R9v06</v>
          </cell>
          <cell r="E729" t="str">
            <v>AMB4519R6v06</v>
          </cell>
          <cell r="F729" t="str">
            <v>AQU4518R9v06</v>
          </cell>
          <cell r="G729" t="str">
            <v>ZJAL04S2</v>
          </cell>
        </row>
        <row r="730">
          <cell r="D730" t="str">
            <v>AQU4518R9v06</v>
          </cell>
          <cell r="E730" t="str">
            <v>AQU4518R9v06</v>
          </cell>
          <cell r="F730" t="str">
            <v>AQU4518R9v06</v>
          </cell>
          <cell r="G730" t="str">
            <v>ZJAL04S3</v>
          </cell>
        </row>
        <row r="731">
          <cell r="D731" t="str">
            <v>AQU4518R9v06</v>
          </cell>
          <cell r="E731" t="str">
            <v>AQU4518R9v06</v>
          </cell>
          <cell r="F731" t="str">
            <v>AQU4518R9v06</v>
          </cell>
          <cell r="G731" t="str">
            <v>ZJAL05S1</v>
          </cell>
        </row>
        <row r="732">
          <cell r="D732" t="str">
            <v>AQU4518R9v06</v>
          </cell>
          <cell r="E732" t="str">
            <v>AQU4518R9v06</v>
          </cell>
          <cell r="F732" t="str">
            <v>AQU4518R9v06</v>
          </cell>
          <cell r="G732" t="str">
            <v>ZJAL05S2</v>
          </cell>
        </row>
        <row r="733">
          <cell r="D733" t="str">
            <v>AQU4518R9v06</v>
          </cell>
          <cell r="E733" t="str">
            <v>AQU4518R9v06</v>
          </cell>
          <cell r="F733" t="str">
            <v>AQU4518R9v06</v>
          </cell>
          <cell r="G733" t="str">
            <v>ZJAL05S3</v>
          </cell>
        </row>
        <row r="734">
          <cell r="D734" t="str">
            <v>AQU4518R9v06</v>
          </cell>
          <cell r="E734" t="str">
            <v>AQU4518R9v06</v>
          </cell>
          <cell r="F734" t="str">
            <v>AQU4518R9v06</v>
          </cell>
          <cell r="G734" t="str">
            <v>ZJAL06S1</v>
          </cell>
        </row>
        <row r="735">
          <cell r="D735" t="str">
            <v>AQU4518R9v06</v>
          </cell>
          <cell r="E735" t="str">
            <v>AQU4518R9v06</v>
          </cell>
          <cell r="F735" t="str">
            <v>AQU4518R9v06</v>
          </cell>
          <cell r="G735" t="str">
            <v>ZJAL07S1</v>
          </cell>
        </row>
        <row r="736">
          <cell r="D736" t="str">
            <v>AQU4518R9v06</v>
          </cell>
          <cell r="E736" t="str">
            <v>AQU4518R9v06</v>
          </cell>
          <cell r="F736" t="str">
            <v>AQU4518R9v06</v>
          </cell>
          <cell r="G736" t="str">
            <v>ZJAL07S2</v>
          </cell>
        </row>
        <row r="737">
          <cell r="D737" t="str">
            <v>AQU4518R9v06</v>
          </cell>
          <cell r="E737" t="str">
            <v>AQU4518R9v06</v>
          </cell>
          <cell r="F737" t="str">
            <v>AQU4518R9v06</v>
          </cell>
          <cell r="G737" t="str">
            <v>ZJAL07S3</v>
          </cell>
        </row>
        <row r="738">
          <cell r="D738" t="str">
            <v>APE4517R0v06</v>
          </cell>
          <cell r="E738" t="str">
            <v>APE4517R0v06</v>
          </cell>
          <cell r="F738" t="str">
            <v>APE4517R0v06</v>
          </cell>
          <cell r="G738" t="str">
            <v>ZJAL07S4</v>
          </cell>
        </row>
        <row r="739">
          <cell r="D739" t="str"/>
          <cell r="E739" t="str"/>
          <cell r="F739" t="str"/>
          <cell r="G739" t="str">
            <v>ZJAL08NA</v>
          </cell>
        </row>
        <row r="740">
          <cell r="D740" t="str"/>
          <cell r="E740" t="str"/>
          <cell r="F740" t="str"/>
          <cell r="G740" t="str">
            <v>ZJAL08None</v>
          </cell>
        </row>
        <row r="741">
          <cell r="D741" t="str">
            <v>AQU4518R9v06</v>
          </cell>
          <cell r="E741" t="str">
            <v>AQU4518R9v06</v>
          </cell>
          <cell r="F741" t="str">
            <v>AQU4518R9v06</v>
          </cell>
          <cell r="G741" t="str">
            <v>ZJAL08S1</v>
          </cell>
        </row>
        <row r="742">
          <cell r="D742" t="str">
            <v>AQU4518R9v06</v>
          </cell>
          <cell r="E742" t="str">
            <v>AQU4518R9v06</v>
          </cell>
          <cell r="F742" t="str">
            <v>AQU4518R9v06</v>
          </cell>
          <cell r="G742" t="str">
            <v>ZJAL08S2</v>
          </cell>
        </row>
        <row r="743">
          <cell r="D743" t="str">
            <v>AQU4518R9v06</v>
          </cell>
          <cell r="E743" t="str">
            <v>AQU4518R9v06</v>
          </cell>
          <cell r="F743" t="str">
            <v>AQU4518R9v06</v>
          </cell>
          <cell r="G743" t="str">
            <v>ZJAL09S1</v>
          </cell>
        </row>
        <row r="744">
          <cell r="D744" t="str">
            <v>AQU4518R9v06</v>
          </cell>
          <cell r="E744" t="str">
            <v>AQU4518R9v06</v>
          </cell>
          <cell r="F744" t="str">
            <v>AQU4518R9v06</v>
          </cell>
          <cell r="G744" t="str">
            <v>ZJAL09S2</v>
          </cell>
        </row>
        <row r="745">
          <cell r="D745" t="str">
            <v>AQU4518R9v06</v>
          </cell>
          <cell r="E745" t="str">
            <v>AMB4519R6v06</v>
          </cell>
          <cell r="F745" t="str">
            <v>AQU4518R9v06</v>
          </cell>
          <cell r="G745" t="str">
            <v>ZJAL09S3</v>
          </cell>
        </row>
        <row r="746">
          <cell r="D746" t="str"/>
          <cell r="E746" t="str">
            <v>AMB4519R6v06</v>
          </cell>
          <cell r="F746" t="str"/>
          <cell r="G746" t="str">
            <v>ZJAL10S3</v>
          </cell>
        </row>
        <row r="747">
          <cell r="D747" t="str">
            <v>AQU4518R9v06</v>
          </cell>
          <cell r="E747" t="str">
            <v>AQU4518R9v06</v>
          </cell>
          <cell r="F747" t="str">
            <v>AQU4518R9v06</v>
          </cell>
          <cell r="G747" t="str">
            <v>ZJAL11S1</v>
          </cell>
        </row>
        <row r="748">
          <cell r="D748" t="str">
            <v>AQU4518R9v06</v>
          </cell>
          <cell r="E748" t="str">
            <v>AQU4518R9v06</v>
          </cell>
          <cell r="F748" t="str">
            <v>AQU4518R9v06</v>
          </cell>
          <cell r="G748" t="str">
            <v>ZJAL11S2</v>
          </cell>
        </row>
        <row r="749">
          <cell r="D749" t="str">
            <v>AQU4518R9v06</v>
          </cell>
          <cell r="E749" t="str">
            <v>AQU4518R9v06</v>
          </cell>
          <cell r="F749" t="str">
            <v>AQU4518R9v06</v>
          </cell>
          <cell r="G749" t="str">
            <v>ZJAL11S3</v>
          </cell>
        </row>
        <row r="750">
          <cell r="D750" t="str">
            <v>AQU4518R9v06</v>
          </cell>
          <cell r="E750" t="str">
            <v>AQU4518R9v06</v>
          </cell>
          <cell r="F750" t="str">
            <v>AQU4518R9v06</v>
          </cell>
          <cell r="G750" t="str">
            <v>ZJAL12S1</v>
          </cell>
        </row>
        <row r="751">
          <cell r="D751" t="str">
            <v>AQU4518R9v06</v>
          </cell>
          <cell r="E751" t="str">
            <v>AQU4518R9v06</v>
          </cell>
          <cell r="F751" t="str">
            <v>AQU4518R9v06</v>
          </cell>
          <cell r="G751" t="str">
            <v>ZJAL12S2</v>
          </cell>
        </row>
        <row r="752">
          <cell r="D752" t="str">
            <v>AQU4518R9v06</v>
          </cell>
          <cell r="E752" t="str">
            <v>AQU4518R9v06</v>
          </cell>
          <cell r="F752" t="str">
            <v>AQU4518R9v06</v>
          </cell>
          <cell r="G752" t="str">
            <v>ZJAL12S3</v>
          </cell>
        </row>
        <row r="753">
          <cell r="D753" t="str">
            <v>AQU4518R9v06</v>
          </cell>
          <cell r="E753" t="str">
            <v>AQU4518R9v06</v>
          </cell>
          <cell r="F753" t="str">
            <v>AQU4518R9v06</v>
          </cell>
          <cell r="G753" t="str">
            <v>ZJAL13S1</v>
          </cell>
        </row>
        <row r="754">
          <cell r="D754" t="str">
            <v>AQU4518R9v06</v>
          </cell>
          <cell r="E754" t="str">
            <v>AQU4518R9v06</v>
          </cell>
          <cell r="F754" t="str">
            <v>AQU4518R9v06</v>
          </cell>
          <cell r="G754" t="str">
            <v>ZJAL13S2</v>
          </cell>
        </row>
        <row r="755">
          <cell r="D755" t="str">
            <v>AQU4518R9v06</v>
          </cell>
          <cell r="E755" t="str">
            <v>AQU4518R9v06</v>
          </cell>
          <cell r="F755" t="str">
            <v>AQU4518R9v06</v>
          </cell>
          <cell r="G755" t="str">
            <v>ZJAL13S3</v>
          </cell>
        </row>
        <row r="756">
          <cell r="D756" t="str">
            <v>AQU4518R9v06</v>
          </cell>
          <cell r="E756" t="str">
            <v>AQU4518R9v06</v>
          </cell>
          <cell r="F756" t="str">
            <v>AQU4518R9v06</v>
          </cell>
          <cell r="G756" t="str">
            <v>ZJAL14S1</v>
          </cell>
        </row>
        <row r="757">
          <cell r="D757" t="str">
            <v>AQU4518R9v06</v>
          </cell>
          <cell r="E757" t="str">
            <v>AQU4518R9v06</v>
          </cell>
          <cell r="F757" t="str">
            <v>AQU4518R9v06</v>
          </cell>
          <cell r="G757" t="str">
            <v>ZJAL14S2</v>
          </cell>
        </row>
        <row r="758">
          <cell r="D758" t="str">
            <v>AQU4518R9v06</v>
          </cell>
          <cell r="E758" t="str">
            <v>AMB4519R6v06</v>
          </cell>
          <cell r="F758" t="str">
            <v>AQU4518R9v06</v>
          </cell>
          <cell r="G758" t="str">
            <v>ZJAL14S3</v>
          </cell>
        </row>
        <row r="759">
          <cell r="D759" t="str">
            <v>APE4517R0v06</v>
          </cell>
          <cell r="E759" t="str">
            <v>APE4517R0v06</v>
          </cell>
          <cell r="F759" t="str">
            <v>APE4517R0v06</v>
          </cell>
          <cell r="G759" t="str">
            <v>ZJAL16S1</v>
          </cell>
        </row>
        <row r="760">
          <cell r="D760" t="str">
            <v>APE4517R0v06</v>
          </cell>
          <cell r="E760" t="str">
            <v>APE4517R0v06</v>
          </cell>
          <cell r="F760" t="str">
            <v>APE4517R0v06</v>
          </cell>
          <cell r="G760" t="str">
            <v>ZJAL16S2</v>
          </cell>
        </row>
        <row r="761">
          <cell r="D761" t="str">
            <v>APE4517R0v06</v>
          </cell>
          <cell r="E761" t="str">
            <v>APE4517R0v06</v>
          </cell>
          <cell r="F761" t="str">
            <v>APE4517R0v06</v>
          </cell>
          <cell r="G761" t="str">
            <v>ZJAL16S3</v>
          </cell>
        </row>
        <row r="762">
          <cell r="D762" t="str">
            <v>AQU4518R9v06</v>
          </cell>
          <cell r="E762" t="str">
            <v>AQU4518R9v06</v>
          </cell>
          <cell r="F762" t="str">
            <v>AQU4518R9v06</v>
          </cell>
          <cell r="G762" t="str">
            <v>ZJAL17S1</v>
          </cell>
        </row>
        <row r="763">
          <cell r="D763" t="str">
            <v>AQU4518R9v06</v>
          </cell>
          <cell r="E763" t="str">
            <v>AQU4518R9v06</v>
          </cell>
          <cell r="F763" t="str">
            <v>AQU4518R9v06</v>
          </cell>
          <cell r="G763" t="str">
            <v>ZJAL17S2</v>
          </cell>
        </row>
        <row r="764">
          <cell r="D764" t="str">
            <v>AQU4518R9v06</v>
          </cell>
          <cell r="E764" t="str">
            <v>AQU4518R9v06</v>
          </cell>
          <cell r="F764" t="str">
            <v>AQU4518R9v06</v>
          </cell>
          <cell r="G764" t="str">
            <v>ZJAL17S3</v>
          </cell>
        </row>
        <row r="765">
          <cell r="D765" t="str">
            <v>AQU4518R9v06</v>
          </cell>
          <cell r="E765" t="str">
            <v>AQU4518R9v06</v>
          </cell>
          <cell r="F765" t="str">
            <v>AQU4518R9v06</v>
          </cell>
          <cell r="G765" t="str">
            <v>ZJAL21S1</v>
          </cell>
        </row>
        <row r="766">
          <cell r="D766" t="str">
            <v>AQU4518R9v06</v>
          </cell>
          <cell r="E766" t="str">
            <v>AQU4518R9v06</v>
          </cell>
          <cell r="F766" t="str">
            <v>AQU4518R9v06</v>
          </cell>
          <cell r="G766" t="str">
            <v>ZJAL21S2</v>
          </cell>
        </row>
        <row r="767">
          <cell r="D767" t="str">
            <v>AQU4518R9v06</v>
          </cell>
          <cell r="E767" t="str">
            <v>AQU4518R9v06</v>
          </cell>
          <cell r="F767" t="str">
            <v>AQU4518R9v06</v>
          </cell>
          <cell r="G767" t="str">
            <v>ZJAL21S3</v>
          </cell>
        </row>
        <row r="768">
          <cell r="D768" t="str">
            <v>AQU4518R9v06</v>
          </cell>
          <cell r="E768" t="str">
            <v>AQU4518R9v06</v>
          </cell>
          <cell r="F768" t="str">
            <v>AQU4518R9v06</v>
          </cell>
          <cell r="G768" t="str">
            <v>ZJAL22S1</v>
          </cell>
        </row>
        <row r="769">
          <cell r="D769" t="str">
            <v>AQU4518R9v06</v>
          </cell>
          <cell r="E769" t="str">
            <v>AQU4518R9v06</v>
          </cell>
          <cell r="F769" t="str">
            <v>AQU4518R9v06</v>
          </cell>
          <cell r="G769" t="str">
            <v>ZJAL22S2</v>
          </cell>
        </row>
        <row r="770">
          <cell r="D770" t="str">
            <v>AQU4518R9v06</v>
          </cell>
          <cell r="E770" t="str">
            <v>AQU4518R9v06</v>
          </cell>
          <cell r="F770" t="str">
            <v>AQU4518R9v06</v>
          </cell>
          <cell r="G770" t="str">
            <v>ZJAL22S3</v>
          </cell>
        </row>
        <row r="771">
          <cell r="D771" t="str"/>
          <cell r="E771" t="str"/>
          <cell r="F771" t="str"/>
          <cell r="G771" t="str">
            <v>ZJAL232300_S1_1</v>
          </cell>
        </row>
        <row r="772">
          <cell r="D772" t="str"/>
          <cell r="E772" t="str">
            <v>AMB4519R6v06</v>
          </cell>
          <cell r="F772" t="str"/>
          <cell r="G772" t="str">
            <v>ZJAL23NA</v>
          </cell>
        </row>
        <row r="773">
          <cell r="D773" t="str">
            <v>ATR4518R7v07</v>
          </cell>
          <cell r="E773" t="str">
            <v>ATR4518R7v07</v>
          </cell>
          <cell r="F773" t="str">
            <v>ATR4518R7v07</v>
          </cell>
          <cell r="G773" t="str">
            <v>ZJAL23S1</v>
          </cell>
        </row>
        <row r="774">
          <cell r="D774" t="str">
            <v>AHP4521R0v06</v>
          </cell>
          <cell r="E774" t="str"/>
          <cell r="F774" t="str"/>
          <cell r="G774" t="str">
            <v>ZJAL23S2</v>
          </cell>
        </row>
        <row r="775">
          <cell r="D775" t="str">
            <v>ATR4518R7v07</v>
          </cell>
          <cell r="E775" t="str">
            <v>ATR4518R7v07</v>
          </cell>
          <cell r="F775" t="str">
            <v>ATR4518R7v07</v>
          </cell>
          <cell r="G775" t="str">
            <v>ZJAL23S3</v>
          </cell>
        </row>
        <row r="776">
          <cell r="D776" t="str"/>
          <cell r="E776" t="str">
            <v>ATR4518R7v07</v>
          </cell>
          <cell r="F776" t="str"/>
          <cell r="G776" t="str">
            <v>ZJAL26S1</v>
          </cell>
        </row>
        <row r="777">
          <cell r="D777" t="str"/>
          <cell r="E777" t="str">
            <v>ATR4518R7v07</v>
          </cell>
          <cell r="F777" t="str"/>
          <cell r="G777" t="str">
            <v>ZJAL26S3</v>
          </cell>
        </row>
        <row r="778">
          <cell r="D778" t="str">
            <v>APE4517R0v06</v>
          </cell>
          <cell r="E778" t="str">
            <v>APE4517R0v06</v>
          </cell>
          <cell r="F778" t="str">
            <v>APE4517R0v06</v>
          </cell>
          <cell r="G778" t="str">
            <v>ZJAL28S1</v>
          </cell>
        </row>
        <row r="779">
          <cell r="D779" t="str">
            <v>AMB4519R6v06</v>
          </cell>
          <cell r="E779" t="str">
            <v>AMB4519R6v06</v>
          </cell>
          <cell r="F779" t="str">
            <v>AMB4519R6v06</v>
          </cell>
          <cell r="G779" t="str">
            <v>ZJAL28S2</v>
          </cell>
        </row>
        <row r="780">
          <cell r="D780" t="str">
            <v>APE4517R0v06</v>
          </cell>
          <cell r="E780" t="str">
            <v>APE4517R0v06</v>
          </cell>
          <cell r="F780" t="str">
            <v>APE4517R0v06</v>
          </cell>
          <cell r="G780" t="str">
            <v>ZJAL28S3</v>
          </cell>
        </row>
        <row r="781">
          <cell r="D781" t="str">
            <v>ATR4518R7v07</v>
          </cell>
          <cell r="E781" t="str">
            <v>ATR4518R7v07</v>
          </cell>
          <cell r="F781" t="str">
            <v>ATR4518R7v07</v>
          </cell>
          <cell r="G781" t="str">
            <v>ZJAL29S1</v>
          </cell>
        </row>
        <row r="782">
          <cell r="D782" t="str">
            <v>ATR4518R7v07</v>
          </cell>
          <cell r="E782" t="str">
            <v>ATR4518R7v07</v>
          </cell>
          <cell r="F782" t="str">
            <v>ATR4518R7v07</v>
          </cell>
          <cell r="G782" t="str">
            <v>ZJAL29S2</v>
          </cell>
        </row>
        <row r="783">
          <cell r="D783" t="str">
            <v>ATR4518R7v07</v>
          </cell>
          <cell r="E783" t="str">
            <v>ATR4518R7v07</v>
          </cell>
          <cell r="F783" t="str">
            <v>ATR4518R7v07</v>
          </cell>
          <cell r="G783" t="str">
            <v>ZJAL29S3</v>
          </cell>
        </row>
        <row r="784">
          <cell r="D784" t="str"/>
          <cell r="E784" t="str">
            <v>ATR4518R7v07</v>
          </cell>
          <cell r="F784" t="str">
            <v>ATR4518R7v07</v>
          </cell>
          <cell r="G784" t="str">
            <v>ZJAL30S1</v>
          </cell>
        </row>
        <row r="785">
          <cell r="D785" t="str"/>
          <cell r="E785" t="str">
            <v>ATR4518R7v07</v>
          </cell>
          <cell r="F785" t="str">
            <v>ATR4518R7v07</v>
          </cell>
          <cell r="G785" t="str">
            <v>ZJAL30S2</v>
          </cell>
        </row>
        <row r="786">
          <cell r="D786" t="str"/>
          <cell r="E786" t="str">
            <v>ATR4518R7v07</v>
          </cell>
          <cell r="F786" t="str">
            <v>ATR4518R7v07</v>
          </cell>
          <cell r="G786" t="str">
            <v>ZJAL30S3</v>
          </cell>
        </row>
        <row r="787">
          <cell r="D787" t="str"/>
          <cell r="E787" t="str">
            <v>A10244PD00v06, AMB4519R6v06</v>
          </cell>
          <cell r="F787" t="str"/>
          <cell r="G787" t="str">
            <v>ZKAD01NA</v>
          </cell>
        </row>
        <row r="788">
          <cell r="D788" t="str">
            <v>AQU4518R9v06</v>
          </cell>
          <cell r="E788" t="str"/>
          <cell r="F788" t="str">
            <v>AQU4518R9v06</v>
          </cell>
          <cell r="G788" t="str">
            <v>ZKAD01S1</v>
          </cell>
        </row>
        <row r="789">
          <cell r="D789" t="str">
            <v>AQU4518R9v06</v>
          </cell>
          <cell r="E789" t="str"/>
          <cell r="F789" t="str">
            <v>AQU4518R9v06</v>
          </cell>
          <cell r="G789" t="str">
            <v>ZKAD01S2</v>
          </cell>
        </row>
        <row r="790">
          <cell r="D790" t="str">
            <v>AQU4518R9v06</v>
          </cell>
          <cell r="E790" t="str">
            <v>AQU4518R9v06</v>
          </cell>
          <cell r="F790" t="str">
            <v>AQU4518R9v06</v>
          </cell>
          <cell r="G790" t="str">
            <v>ZKAD02S1</v>
          </cell>
        </row>
        <row r="791">
          <cell r="D791" t="str">
            <v>AQU4518R9v06</v>
          </cell>
          <cell r="E791" t="str">
            <v>AQU4518R9v06</v>
          </cell>
          <cell r="F791" t="str">
            <v>AQU4518R9v06</v>
          </cell>
          <cell r="G791" t="str">
            <v>ZKAD02S2</v>
          </cell>
        </row>
        <row r="792">
          <cell r="D792" t="str">
            <v>AQU4518R9v06</v>
          </cell>
          <cell r="E792" t="str">
            <v>AQU4518R9v06</v>
          </cell>
          <cell r="F792" t="str">
            <v>AQU4518R9v06</v>
          </cell>
          <cell r="G792" t="str">
            <v>ZKAD02S3</v>
          </cell>
        </row>
        <row r="793">
          <cell r="D793" t="str">
            <v>ATR4517R0v06</v>
          </cell>
          <cell r="E793" t="str">
            <v>ATR4517R0v06</v>
          </cell>
          <cell r="F793" t="str"/>
          <cell r="G793" t="str">
            <v>ZKAD02S4</v>
          </cell>
        </row>
        <row r="794">
          <cell r="D794" t="str"/>
          <cell r="E794" t="str">
            <v>AMB4519R6v06</v>
          </cell>
          <cell r="F794" t="str"/>
          <cell r="G794" t="str">
            <v>ZKAD04NA</v>
          </cell>
        </row>
        <row r="795">
          <cell r="D795" t="str">
            <v>AMB4519R6v06</v>
          </cell>
          <cell r="E795" t="str">
            <v>AMB4519R6v06</v>
          </cell>
          <cell r="F795" t="str">
            <v>AMB4519R6v06</v>
          </cell>
          <cell r="G795" t="str">
            <v>ZKAD04S1</v>
          </cell>
        </row>
        <row r="796">
          <cell r="D796" t="str">
            <v>AQU4518R9v06</v>
          </cell>
          <cell r="E796" t="str"/>
          <cell r="F796" t="str"/>
          <cell r="G796" t="str">
            <v>ZKAD04S2</v>
          </cell>
        </row>
        <row r="797">
          <cell r="D797" t="str">
            <v>AQU4518R9v06</v>
          </cell>
          <cell r="E797" t="str">
            <v>AQU4518R9v06</v>
          </cell>
          <cell r="F797" t="str">
            <v>AQU4518R9v06</v>
          </cell>
          <cell r="G797" t="str">
            <v>ZKAD04S3</v>
          </cell>
        </row>
        <row r="798">
          <cell r="D798" t="str"/>
          <cell r="E798" t="str">
            <v>AMB4519R6v06</v>
          </cell>
          <cell r="F798" t="str"/>
          <cell r="G798" t="str">
            <v>ZKAD05NA</v>
          </cell>
        </row>
        <row r="799">
          <cell r="D799" t="str">
            <v>AQU4518R9v06</v>
          </cell>
          <cell r="E799" t="str">
            <v>AQU4518R9v06</v>
          </cell>
          <cell r="F799" t="str">
            <v>AQU4518R9v06</v>
          </cell>
          <cell r="G799" t="str">
            <v>ZKAD05S1</v>
          </cell>
        </row>
        <row r="800">
          <cell r="D800" t="str">
            <v>AQU4518R9v06</v>
          </cell>
          <cell r="E800" t="str"/>
          <cell r="F800" t="str"/>
          <cell r="G800" t="str">
            <v>ZKAD05S2</v>
          </cell>
        </row>
        <row r="801">
          <cell r="D801" t="str">
            <v>AQU4518R9v06</v>
          </cell>
          <cell r="E801" t="str">
            <v>AQU4518R9v06</v>
          </cell>
          <cell r="F801" t="str">
            <v>AQU4518R9v06</v>
          </cell>
          <cell r="G801" t="str">
            <v>ZKAD05S3</v>
          </cell>
        </row>
        <row r="802">
          <cell r="D802" t="str">
            <v>AQU4518R9v06</v>
          </cell>
          <cell r="E802" t="str">
            <v>AQU4518R9v06</v>
          </cell>
          <cell r="F802" t="str">
            <v>AQU4518R9v06</v>
          </cell>
          <cell r="G802" t="str">
            <v>ZKAD06S1</v>
          </cell>
        </row>
        <row r="803">
          <cell r="D803" t="str">
            <v>AQU4518R9v06</v>
          </cell>
          <cell r="E803" t="str">
            <v>AQU4518R9v06</v>
          </cell>
          <cell r="F803" t="str">
            <v>AQU4518R9v06</v>
          </cell>
          <cell r="G803" t="str">
            <v>ZKAD06S2</v>
          </cell>
        </row>
        <row r="804">
          <cell r="D804" t="str">
            <v>AQU4518R9v06</v>
          </cell>
          <cell r="E804" t="str">
            <v>AQU4518R9v06</v>
          </cell>
          <cell r="F804" t="str">
            <v>AQU4518R9v06</v>
          </cell>
          <cell r="G804" t="str">
            <v>ZKAD06S3</v>
          </cell>
        </row>
        <row r="805">
          <cell r="D805" t="str">
            <v>AQU4518R9v06</v>
          </cell>
          <cell r="E805" t="str">
            <v>AQU4518R9v06</v>
          </cell>
          <cell r="F805" t="str">
            <v>AQU4518R9v06</v>
          </cell>
          <cell r="G805" t="str">
            <v>ZKAD07S1</v>
          </cell>
        </row>
        <row r="806">
          <cell r="D806" t="str">
            <v>AQU4518R9v06</v>
          </cell>
          <cell r="E806" t="str">
            <v>AQU4518R9v06</v>
          </cell>
          <cell r="F806" t="str"/>
          <cell r="G806" t="str">
            <v>ZKAD07S2</v>
          </cell>
        </row>
        <row r="807">
          <cell r="D807" t="str">
            <v>AQU4518R9v06</v>
          </cell>
          <cell r="E807" t="str">
            <v>AQU4518R9v06</v>
          </cell>
          <cell r="F807" t="str">
            <v>AQU4518R9v06</v>
          </cell>
          <cell r="G807" t="str">
            <v>ZKAD07S3</v>
          </cell>
        </row>
        <row r="808">
          <cell r="D808" t="str">
            <v>AQU4518R9v06</v>
          </cell>
          <cell r="E808" t="str">
            <v>AQU4518R9v06</v>
          </cell>
          <cell r="F808" t="str">
            <v>AQU4518R9v06</v>
          </cell>
          <cell r="G808" t="str">
            <v>ZKAD08S1</v>
          </cell>
        </row>
        <row r="809">
          <cell r="D809" t="str">
            <v>AQU4518R9v06</v>
          </cell>
          <cell r="E809" t="str">
            <v>AQU4518R9v06</v>
          </cell>
          <cell r="F809" t="str">
            <v>AQU4518R9v06</v>
          </cell>
          <cell r="G809" t="str">
            <v>ZKAD08S2</v>
          </cell>
        </row>
        <row r="810">
          <cell r="D810" t="str">
            <v>AMB4519R6v06</v>
          </cell>
          <cell r="E810" t="str">
            <v>AMB4519R6v06</v>
          </cell>
          <cell r="F810" t="str">
            <v>AMB4519R6v06</v>
          </cell>
          <cell r="G810" t="str">
            <v>ZKAD08S3</v>
          </cell>
        </row>
        <row r="811">
          <cell r="D811" t="str"/>
          <cell r="E811" t="str"/>
          <cell r="F811" t="str"/>
          <cell r="G811" t="str">
            <v>ZKAD09NA</v>
          </cell>
        </row>
        <row r="812">
          <cell r="D812" t="str"/>
          <cell r="E812" t="str"/>
          <cell r="F812" t="str"/>
          <cell r="G812" t="str">
            <v>ZKAD09None</v>
          </cell>
        </row>
        <row r="813">
          <cell r="D813" t="str">
            <v>AQU4518R9v06</v>
          </cell>
          <cell r="E813" t="str">
            <v>AQU4518R9v06</v>
          </cell>
          <cell r="F813" t="str">
            <v>AQU4518R9v06</v>
          </cell>
          <cell r="G813" t="str">
            <v>ZKAD09S2</v>
          </cell>
        </row>
        <row r="814">
          <cell r="D814" t="str"/>
          <cell r="E814" t="str">
            <v>AMB4519R6v06</v>
          </cell>
          <cell r="F814" t="str"/>
          <cell r="G814" t="str">
            <v>ZKAD10NA</v>
          </cell>
        </row>
        <row r="815">
          <cell r="D815" t="str">
            <v>AQU4518R9v06</v>
          </cell>
          <cell r="E815" t="str">
            <v>AQU4518R9v06</v>
          </cell>
          <cell r="F815" t="str">
            <v>AQU4518R9v06</v>
          </cell>
          <cell r="G815" t="str">
            <v>ZKAD10S1</v>
          </cell>
        </row>
        <row r="816">
          <cell r="D816" t="str">
            <v>AQU4518R9v06</v>
          </cell>
          <cell r="E816" t="str">
            <v>AQU4518R9v06</v>
          </cell>
          <cell r="F816" t="str">
            <v>AQU4518R9v06</v>
          </cell>
          <cell r="G816" t="str">
            <v>ZKAD10S2</v>
          </cell>
        </row>
        <row r="817">
          <cell r="D817" t="str">
            <v>AQU4518R9v06</v>
          </cell>
          <cell r="E817" t="str"/>
          <cell r="F817" t="str">
            <v>AQU4518R9v06</v>
          </cell>
          <cell r="G817" t="str">
            <v>ZKAD10S3</v>
          </cell>
        </row>
        <row r="818">
          <cell r="D818" t="str">
            <v>AQU4518R9v06</v>
          </cell>
          <cell r="E818" t="str">
            <v>AQU4518R9v06</v>
          </cell>
          <cell r="F818" t="str">
            <v>AQU4518R9v06</v>
          </cell>
          <cell r="G818" t="str">
            <v>ZKAD11S1</v>
          </cell>
        </row>
        <row r="819">
          <cell r="D819" t="str">
            <v>AQU4518R9v06</v>
          </cell>
          <cell r="E819" t="str">
            <v>AQU4518R9v06</v>
          </cell>
          <cell r="F819" t="str">
            <v>AQU4518R9v06</v>
          </cell>
          <cell r="G819" t="str">
            <v>ZKAD11S3</v>
          </cell>
        </row>
        <row r="820">
          <cell r="D820" t="str"/>
          <cell r="E820" t="str"/>
          <cell r="F820" t="str"/>
          <cell r="G820" t="str">
            <v>ZKAD12NA</v>
          </cell>
        </row>
        <row r="821">
          <cell r="D821" t="str"/>
          <cell r="E821" t="str"/>
          <cell r="F821" t="str"/>
          <cell r="G821" t="str">
            <v>ZKAD12None</v>
          </cell>
        </row>
        <row r="822">
          <cell r="D822" t="str">
            <v>AQU4518R9v06</v>
          </cell>
          <cell r="E822" t="str">
            <v>AQU4518R9v06</v>
          </cell>
          <cell r="F822" t="str">
            <v>AQU4518R9v06</v>
          </cell>
          <cell r="G822" t="str">
            <v>ZKAD12S2</v>
          </cell>
        </row>
        <row r="823">
          <cell r="D823" t="str">
            <v>AQU4518R9v06</v>
          </cell>
          <cell r="E823" t="str">
            <v>AQU4518R9v06</v>
          </cell>
          <cell r="F823" t="str">
            <v>AQU4518R9v06</v>
          </cell>
          <cell r="G823" t="str">
            <v>ZKAD12S3</v>
          </cell>
        </row>
        <row r="824">
          <cell r="D824" t="str">
            <v>AQU4518R9v06</v>
          </cell>
          <cell r="E824" t="str">
            <v>AQU4518R9v06</v>
          </cell>
          <cell r="F824" t="str">
            <v>AQU4518R9v06</v>
          </cell>
          <cell r="G824" t="str">
            <v>ZKAD14S1</v>
          </cell>
        </row>
        <row r="825">
          <cell r="D825" t="str">
            <v>AQU4518R9v06</v>
          </cell>
          <cell r="E825" t="str">
            <v>AQU4518R9v06</v>
          </cell>
          <cell r="F825" t="str">
            <v>AQU4518R9v06</v>
          </cell>
          <cell r="G825" t="str">
            <v>ZKAD14S2</v>
          </cell>
        </row>
        <row r="826">
          <cell r="D826" t="str">
            <v>AQU4518R9v06</v>
          </cell>
          <cell r="E826" t="str">
            <v>AQU4518R9v06</v>
          </cell>
          <cell r="F826" t="str">
            <v>AQU4518R9v06</v>
          </cell>
          <cell r="G826" t="str">
            <v>ZKAD14S3</v>
          </cell>
        </row>
        <row r="827">
          <cell r="D827" t="str">
            <v>AQU4518R9v06</v>
          </cell>
          <cell r="E827" t="str">
            <v>AQU4518R9v06</v>
          </cell>
          <cell r="F827" t="str">
            <v>AQU4518R9v06</v>
          </cell>
          <cell r="G827" t="str">
            <v>ZKAD15S2</v>
          </cell>
        </row>
        <row r="828">
          <cell r="D828" t="str">
            <v>AQU4518R9v06</v>
          </cell>
          <cell r="E828" t="str">
            <v>AQU4518R9v06</v>
          </cell>
          <cell r="F828" t="str">
            <v>AQU4518R9v06</v>
          </cell>
          <cell r="G828" t="str">
            <v>ZKAD15S3</v>
          </cell>
        </row>
        <row r="829">
          <cell r="D829" t="str"/>
          <cell r="E829" t="str">
            <v>A10244PD00v06</v>
          </cell>
          <cell r="F829" t="str"/>
          <cell r="G829" t="str">
            <v>ZKAD16NA</v>
          </cell>
        </row>
        <row r="830">
          <cell r="D830" t="str">
            <v>A10244PD00v06</v>
          </cell>
          <cell r="E830" t="str">
            <v>A10244PD00v06</v>
          </cell>
          <cell r="F830" t="str">
            <v>A10244PD00v06</v>
          </cell>
          <cell r="G830" t="str">
            <v>ZKAD16S1</v>
          </cell>
        </row>
        <row r="831">
          <cell r="D831" t="str">
            <v>A10244PD00v06</v>
          </cell>
          <cell r="E831" t="str">
            <v>A10244PD00v06</v>
          </cell>
          <cell r="F831" t="str"/>
          <cell r="G831" t="str">
            <v>ZKAD16S3</v>
          </cell>
        </row>
        <row r="832">
          <cell r="D832" t="str">
            <v>AQU4518R9v06</v>
          </cell>
          <cell r="E832" t="str">
            <v>AQU4518R9v06</v>
          </cell>
          <cell r="F832" t="str">
            <v>AQU4518R9v06</v>
          </cell>
          <cell r="G832" t="str">
            <v>ZKAD17S1</v>
          </cell>
        </row>
        <row r="833">
          <cell r="D833" t="str">
            <v>AQU4518R9v06</v>
          </cell>
          <cell r="E833" t="str">
            <v>AQU4518R9v06</v>
          </cell>
          <cell r="F833" t="str">
            <v>AQU4518R9v06</v>
          </cell>
          <cell r="G833" t="str">
            <v>ZKAD17S2</v>
          </cell>
        </row>
        <row r="834">
          <cell r="D834" t="str">
            <v>AQU4518R9v06</v>
          </cell>
          <cell r="E834" t="str">
            <v>AQU4518R9v06</v>
          </cell>
          <cell r="F834" t="str">
            <v>AQU4518R9v06</v>
          </cell>
          <cell r="G834" t="str">
            <v>ZKAD17S3</v>
          </cell>
        </row>
        <row r="835">
          <cell r="D835" t="str">
            <v>A10244PD00v06</v>
          </cell>
          <cell r="E835" t="str">
            <v>A10244PD00v06</v>
          </cell>
          <cell r="F835" t="str">
            <v>A10244PD00v06</v>
          </cell>
          <cell r="G835" t="str">
            <v>ZKAD19S1</v>
          </cell>
        </row>
        <row r="836">
          <cell r="D836" t="str">
            <v>A10244PD00v06</v>
          </cell>
          <cell r="E836" t="str">
            <v>A10244PD00v06</v>
          </cell>
          <cell r="F836" t="str">
            <v>A10244PD00v06</v>
          </cell>
          <cell r="G836" t="str">
            <v>ZKAD19S2</v>
          </cell>
        </row>
        <row r="837">
          <cell r="D837" t="str">
            <v>A10244PD00v06</v>
          </cell>
          <cell r="E837" t="str">
            <v>A10244PD00v06</v>
          </cell>
          <cell r="F837" t="str">
            <v>A10244PD00v06</v>
          </cell>
          <cell r="G837" t="str">
            <v>ZKAD19S3</v>
          </cell>
        </row>
        <row r="838">
          <cell r="D838" t="str">
            <v>APE4517R0v06</v>
          </cell>
          <cell r="E838" t="str">
            <v>APE4517R0v06</v>
          </cell>
          <cell r="F838" t="str">
            <v>APE4517R0v06</v>
          </cell>
          <cell r="G838" t="str">
            <v>ZKAD21S2</v>
          </cell>
        </row>
        <row r="839">
          <cell r="D839" t="str">
            <v>AQU4518R9v06</v>
          </cell>
          <cell r="E839" t="str">
            <v>AQU4518R9v06</v>
          </cell>
          <cell r="F839" t="str">
            <v>AQU4518R9v06</v>
          </cell>
          <cell r="G839" t="str">
            <v>ZKAD22S1</v>
          </cell>
        </row>
        <row r="840">
          <cell r="D840" t="str">
            <v>AQU4518R9v06</v>
          </cell>
          <cell r="E840" t="str">
            <v>AQU4518R9v06</v>
          </cell>
          <cell r="F840" t="str">
            <v>AQU4518R9v06</v>
          </cell>
          <cell r="G840" t="str">
            <v>ZKAD22S2</v>
          </cell>
        </row>
        <row r="841">
          <cell r="D841" t="str">
            <v>AQU4518R9v06</v>
          </cell>
          <cell r="E841" t="str">
            <v>AQU4518R9v06</v>
          </cell>
          <cell r="F841" t="str">
            <v>AQU4518R9v06</v>
          </cell>
          <cell r="G841" t="str">
            <v>ZKAD22S3</v>
          </cell>
        </row>
        <row r="842">
          <cell r="D842" t="str"/>
          <cell r="E842" t="str"/>
          <cell r="F842" t="str">
            <v>ATR4518R7v07</v>
          </cell>
          <cell r="G842" t="str">
            <v>ZKAD25S1</v>
          </cell>
        </row>
        <row r="843">
          <cell r="D843" t="str"/>
          <cell r="E843" t="str"/>
          <cell r="F843" t="str">
            <v>ATR4518R7v07</v>
          </cell>
          <cell r="G843" t="str">
            <v>ZKAD25S2</v>
          </cell>
        </row>
        <row r="844">
          <cell r="D844" t="str"/>
          <cell r="E844" t="str"/>
          <cell r="F844" t="str">
            <v>ATR4518R7v07</v>
          </cell>
          <cell r="G844" t="str">
            <v>ZKAD25S3</v>
          </cell>
        </row>
        <row r="845">
          <cell r="D845" t="str">
            <v>ATR4518R7v07</v>
          </cell>
          <cell r="E845" t="str"/>
          <cell r="F845" t="str"/>
          <cell r="G845" t="str">
            <v>ZKAD25S1</v>
          </cell>
        </row>
        <row r="846">
          <cell r="D846" t="str">
            <v>ATR4518R7v07</v>
          </cell>
          <cell r="E846" t="str"/>
          <cell r="F846" t="str"/>
          <cell r="G846" t="str">
            <v>ZKAD25S2</v>
          </cell>
        </row>
        <row r="847">
          <cell r="D847" t="str">
            <v>ATR4518R7v07</v>
          </cell>
          <cell r="E847" t="str"/>
          <cell r="F847" t="str"/>
          <cell r="G847" t="str">
            <v>ZKAD25S3</v>
          </cell>
        </row>
        <row r="848">
          <cell r="D848" t="str"/>
          <cell r="E848" t="str">
            <v>ATR4518R7v07</v>
          </cell>
          <cell r="F848" t="str"/>
          <cell r="G848" t="str">
            <v>ZKAD25S1</v>
          </cell>
        </row>
        <row r="849">
          <cell r="D849" t="str"/>
          <cell r="E849" t="str">
            <v>ATR4518R7v07</v>
          </cell>
          <cell r="F849" t="str"/>
          <cell r="G849" t="str">
            <v>ZKAD25S2</v>
          </cell>
        </row>
        <row r="850">
          <cell r="D850" t="str"/>
          <cell r="E850" t="str">
            <v>ATR4518R7v07</v>
          </cell>
          <cell r="F850" t="str"/>
          <cell r="G850" t="str">
            <v>ZKAD25S3</v>
          </cell>
        </row>
        <row r="851">
          <cell r="D851" t="str">
            <v>APE4517R0v06</v>
          </cell>
          <cell r="E851" t="str">
            <v>APE4517R0v06</v>
          </cell>
          <cell r="F851" t="str">
            <v>APE4517R0v06</v>
          </cell>
          <cell r="G851" t="str">
            <v>ZKAD26S1</v>
          </cell>
        </row>
        <row r="852">
          <cell r="D852" t="str">
            <v>APE4517R0v06</v>
          </cell>
          <cell r="E852" t="str">
            <v>APE4517R0v06</v>
          </cell>
          <cell r="F852" t="str">
            <v>APE4517R0v06</v>
          </cell>
          <cell r="G852" t="str">
            <v>ZKAD26S2</v>
          </cell>
        </row>
        <row r="853">
          <cell r="D853" t="str">
            <v>APE4517R0v06</v>
          </cell>
          <cell r="E853" t="str">
            <v>APE4517R0v06</v>
          </cell>
          <cell r="F853" t="str">
            <v>APE4517R0v06</v>
          </cell>
          <cell r="G853" t="str">
            <v>ZKAD26S3</v>
          </cell>
        </row>
        <row r="854">
          <cell r="D854" t="str"/>
          <cell r="E854" t="str">
            <v>ATR4518R7v07</v>
          </cell>
          <cell r="F854" t="str"/>
          <cell r="G854" t="str">
            <v>ZKAD28S1</v>
          </cell>
        </row>
        <row r="855">
          <cell r="D855" t="str"/>
          <cell r="E855" t="str">
            <v>ATR4518R7v07</v>
          </cell>
          <cell r="F855" t="str"/>
          <cell r="G855" t="str">
            <v>ZKAD28S2</v>
          </cell>
        </row>
        <row r="856">
          <cell r="D856" t="str"/>
          <cell r="E856" t="str">
            <v>ATR4518R7v07</v>
          </cell>
          <cell r="F856" t="str"/>
          <cell r="G856" t="str">
            <v>ZKAD28S3</v>
          </cell>
        </row>
        <row r="857">
          <cell r="D857" t="str">
            <v>ATR4518R7v07</v>
          </cell>
          <cell r="E857" t="str">
            <v>ATR4518R7v07</v>
          </cell>
          <cell r="F857" t="str">
            <v>ATR4518R7v07</v>
          </cell>
          <cell r="G857" t="str">
            <v>ZKAD39S1</v>
          </cell>
        </row>
        <row r="858">
          <cell r="D858" t="str">
            <v>ATR4518R7v07</v>
          </cell>
          <cell r="E858" t="str">
            <v>ATR4518R7v07</v>
          </cell>
          <cell r="F858" t="str">
            <v>ATR4518R7v07</v>
          </cell>
          <cell r="G858" t="str">
            <v>ZKAD39S2</v>
          </cell>
        </row>
        <row r="859">
          <cell r="D859" t="str">
            <v>ATR4518R7v07</v>
          </cell>
          <cell r="E859" t="str">
            <v>ATR4518R7v07</v>
          </cell>
          <cell r="F859" t="str">
            <v>ATR4518R7v07</v>
          </cell>
          <cell r="G859" t="str">
            <v>ZKAD39S3</v>
          </cell>
        </row>
        <row r="860">
          <cell r="D860" t="str"/>
          <cell r="E860" t="str">
            <v>AMB4519R6v06</v>
          </cell>
          <cell r="F860" t="str"/>
          <cell r="G860" t="str">
            <v>ZKEL01NA</v>
          </cell>
        </row>
        <row r="861">
          <cell r="D861" t="str">
            <v>AQU4518R9v06</v>
          </cell>
          <cell r="E861" t="str"/>
          <cell r="F861" t="str">
            <v>AQU4518R9v06</v>
          </cell>
          <cell r="G861" t="str">
            <v>ZKEL01S2</v>
          </cell>
        </row>
        <row r="862">
          <cell r="D862" t="str">
            <v>AQU4518R9v06</v>
          </cell>
          <cell r="E862" t="str"/>
          <cell r="F862" t="str">
            <v>AQU4518R9v06</v>
          </cell>
          <cell r="G862" t="str">
            <v>ZKEL01S3</v>
          </cell>
        </row>
        <row r="863">
          <cell r="D863" t="str">
            <v>AQU4518R9v06</v>
          </cell>
          <cell r="E863" t="str">
            <v>AQU4518R9v06</v>
          </cell>
          <cell r="F863" t="str">
            <v>AQU4518R9v06</v>
          </cell>
          <cell r="G863" t="str">
            <v>ZKEL02S2</v>
          </cell>
        </row>
        <row r="864">
          <cell r="D864" t="str">
            <v>AQU4518R9v06</v>
          </cell>
          <cell r="E864" t="str">
            <v>AQU4518R9v06</v>
          </cell>
          <cell r="F864" t="str">
            <v>AQU4518R9v06</v>
          </cell>
          <cell r="G864" t="str">
            <v>ZKEL02S3</v>
          </cell>
        </row>
        <row r="865">
          <cell r="D865" t="str"/>
          <cell r="E865" t="str">
            <v>AMB4519R6v06</v>
          </cell>
          <cell r="F865" t="str"/>
          <cell r="G865" t="str">
            <v>ZKEL03NA</v>
          </cell>
        </row>
        <row r="866">
          <cell r="D866" t="str">
            <v>AQU4518R9v06</v>
          </cell>
          <cell r="E866" t="str"/>
          <cell r="F866" t="str">
            <v>AQU4518R9v06</v>
          </cell>
          <cell r="G866" t="str">
            <v>ZKEL03S1</v>
          </cell>
        </row>
        <row r="867">
          <cell r="D867" t="str">
            <v>AQU4518R9v06</v>
          </cell>
          <cell r="E867" t="str">
            <v>AQU4518R9v06</v>
          </cell>
          <cell r="F867" t="str"/>
          <cell r="G867" t="str">
            <v>ZKEL03S2</v>
          </cell>
        </row>
        <row r="868">
          <cell r="D868" t="str">
            <v>AQU4518R9v06</v>
          </cell>
          <cell r="E868" t="str">
            <v>AQU4518R9v06</v>
          </cell>
          <cell r="F868" t="str">
            <v>AQU4518R9v06</v>
          </cell>
          <cell r="G868" t="str">
            <v>ZKEL03S3</v>
          </cell>
        </row>
        <row r="869">
          <cell r="D869" t="str">
            <v>AQU4518R9v06</v>
          </cell>
          <cell r="E869" t="str"/>
          <cell r="F869" t="str"/>
          <cell r="G869" t="str">
            <v>ZKEL04S1</v>
          </cell>
        </row>
        <row r="870">
          <cell r="D870" t="str">
            <v>AQU4518R9v06</v>
          </cell>
          <cell r="E870" t="str"/>
          <cell r="F870" t="str"/>
          <cell r="G870" t="str">
            <v>ZKEL04S2</v>
          </cell>
        </row>
        <row r="871">
          <cell r="D871" t="str">
            <v>AQU4518R9v06</v>
          </cell>
          <cell r="E871" t="str"/>
          <cell r="F871" t="str"/>
          <cell r="G871" t="str">
            <v>ZKEL04S3</v>
          </cell>
        </row>
        <row r="872">
          <cell r="D872" t="str"/>
          <cell r="E872" t="str">
            <v>AQU4518R9v06</v>
          </cell>
          <cell r="F872" t="str">
            <v>AQU4518R9v06</v>
          </cell>
          <cell r="G872" t="str">
            <v>ZKEL04S1</v>
          </cell>
        </row>
        <row r="873">
          <cell r="D873" t="str"/>
          <cell r="E873" t="str">
            <v>AQU4518R9v06</v>
          </cell>
          <cell r="F873" t="str">
            <v>AQU4518R9v06</v>
          </cell>
          <cell r="G873" t="str">
            <v>ZKEL04S2</v>
          </cell>
        </row>
        <row r="874">
          <cell r="D874" t="str"/>
          <cell r="E874" t="str">
            <v>AQU4518R9v06</v>
          </cell>
          <cell r="F874" t="str">
            <v>AQU4518R9v06</v>
          </cell>
          <cell r="G874" t="str">
            <v>ZKEL04S3</v>
          </cell>
        </row>
        <row r="875">
          <cell r="D875" t="str">
            <v>AQU4518R9v06</v>
          </cell>
          <cell r="E875" t="str">
            <v>AQU4518R9v06</v>
          </cell>
          <cell r="F875" t="str">
            <v>AQU4518R9v06</v>
          </cell>
          <cell r="G875" t="str">
            <v>ZKEL05S1</v>
          </cell>
        </row>
        <row r="876">
          <cell r="D876" t="str">
            <v>AQU4518R9v06</v>
          </cell>
          <cell r="E876" t="str">
            <v>AQU4518R9v06</v>
          </cell>
          <cell r="F876" t="str">
            <v>AQU4518R9v06</v>
          </cell>
          <cell r="G876" t="str">
            <v>ZKEL05S3</v>
          </cell>
        </row>
        <row r="877">
          <cell r="D877" t="str">
            <v>AQU4518R9v06</v>
          </cell>
          <cell r="E877" t="str"/>
          <cell r="F877" t="str"/>
          <cell r="G877" t="str">
            <v>ZKEL06S1</v>
          </cell>
        </row>
        <row r="878">
          <cell r="D878" t="str">
            <v>AQU4518R9v06</v>
          </cell>
          <cell r="E878" t="str"/>
          <cell r="F878" t="str"/>
          <cell r="G878" t="str">
            <v>ZKEL06S2</v>
          </cell>
        </row>
        <row r="879">
          <cell r="D879" t="str">
            <v>AQU4518R9v06</v>
          </cell>
          <cell r="E879" t="str"/>
          <cell r="F879" t="str"/>
          <cell r="G879" t="str">
            <v>ZKEL06S3</v>
          </cell>
        </row>
        <row r="880">
          <cell r="D880" t="str"/>
          <cell r="E880" t="str">
            <v>AQU4518R9v06</v>
          </cell>
          <cell r="F880" t="str">
            <v>AQU4518R9v06</v>
          </cell>
          <cell r="G880" t="str">
            <v>ZKEL06S1</v>
          </cell>
        </row>
        <row r="881">
          <cell r="D881" t="str"/>
          <cell r="E881" t="str">
            <v>AQU4518R9v06</v>
          </cell>
          <cell r="F881" t="str">
            <v>AQU4518R9v06</v>
          </cell>
          <cell r="G881" t="str">
            <v>ZKEL06S2</v>
          </cell>
        </row>
        <row r="882">
          <cell r="D882" t="str"/>
          <cell r="E882" t="str">
            <v>AQU4518R9v06</v>
          </cell>
          <cell r="F882" t="str">
            <v>AQU4518R9v06</v>
          </cell>
          <cell r="G882" t="str">
            <v>ZKEL06S3</v>
          </cell>
        </row>
        <row r="883">
          <cell r="D883" t="str">
            <v>AQU4518R9v06</v>
          </cell>
          <cell r="E883" t="str">
            <v>AQU4518R9v06</v>
          </cell>
          <cell r="F883" t="str">
            <v>AQU4518R9v06</v>
          </cell>
          <cell r="G883" t="str">
            <v>ZKEL07S1</v>
          </cell>
        </row>
        <row r="884">
          <cell r="D884" t="str">
            <v>ATR4517R0v06</v>
          </cell>
          <cell r="E884" t="str">
            <v>ATR4517R0v06</v>
          </cell>
          <cell r="F884" t="str"/>
          <cell r="G884" t="str">
            <v>ZKEL07S2</v>
          </cell>
        </row>
        <row r="885">
          <cell r="D885" t="str">
            <v>AQU4518R9v06</v>
          </cell>
          <cell r="E885" t="str">
            <v>AQU4518R9v06</v>
          </cell>
          <cell r="F885" t="str"/>
          <cell r="G885" t="str">
            <v>ZKEL07S3</v>
          </cell>
        </row>
        <row r="886">
          <cell r="D886" t="str"/>
          <cell r="E886" t="str">
            <v>AQU4518R9v06</v>
          </cell>
          <cell r="F886" t="str">
            <v>AQU4518R9v06</v>
          </cell>
          <cell r="G886" t="str">
            <v>ZKEL08S1</v>
          </cell>
        </row>
        <row r="887">
          <cell r="D887" t="str"/>
          <cell r="E887" t="str">
            <v>AQU4518R9v06</v>
          </cell>
          <cell r="F887" t="str">
            <v>AQU4518R9v06</v>
          </cell>
          <cell r="G887" t="str">
            <v>ZKEL08S2</v>
          </cell>
        </row>
        <row r="888">
          <cell r="D888" t="str"/>
          <cell r="E888" t="str">
            <v>AQU4518R9v06</v>
          </cell>
          <cell r="F888" t="str">
            <v>AQU4518R9v06</v>
          </cell>
          <cell r="G888" t="str">
            <v>ZKEL08S3</v>
          </cell>
        </row>
        <row r="889">
          <cell r="D889" t="str">
            <v>AQU4518R9v06</v>
          </cell>
          <cell r="E889" t="str">
            <v>AQU4518R9v06</v>
          </cell>
          <cell r="F889" t="str">
            <v>AQU4518R9v06</v>
          </cell>
          <cell r="G889" t="str">
            <v>ZKEL09S1</v>
          </cell>
        </row>
        <row r="890">
          <cell r="D890" t="str">
            <v>AQU4518R9v06</v>
          </cell>
          <cell r="E890" t="str">
            <v>AQU4518R9v06</v>
          </cell>
          <cell r="F890" t="str">
            <v>AQU4518R9v06</v>
          </cell>
          <cell r="G890" t="str">
            <v>ZKEL09S2</v>
          </cell>
        </row>
        <row r="891">
          <cell r="D891" t="str">
            <v>AQU4518R9v06</v>
          </cell>
          <cell r="E891" t="str">
            <v>AQU4518R9v06</v>
          </cell>
          <cell r="F891" t="str">
            <v>AQU4518R9v06</v>
          </cell>
          <cell r="G891" t="str">
            <v>ZKEL09S3</v>
          </cell>
        </row>
        <row r="892">
          <cell r="D892" t="str">
            <v>AQU4518R9v06</v>
          </cell>
          <cell r="E892" t="str">
            <v>AQU4518R9v06</v>
          </cell>
          <cell r="F892" t="str">
            <v>AQU4518R9v06</v>
          </cell>
          <cell r="G892" t="str">
            <v>ZKEL10S1</v>
          </cell>
        </row>
        <row r="893">
          <cell r="D893" t="str">
            <v>AQU4518R9v06</v>
          </cell>
          <cell r="E893" t="str">
            <v>AQU4518R9v06</v>
          </cell>
          <cell r="F893" t="str">
            <v>AQU4518R9v06</v>
          </cell>
          <cell r="G893" t="str">
            <v>ZKEL10S2</v>
          </cell>
        </row>
        <row r="894">
          <cell r="D894" t="str">
            <v>AQU4518R9v06</v>
          </cell>
          <cell r="E894" t="str">
            <v>AQU4518R9v06</v>
          </cell>
          <cell r="F894" t="str">
            <v>AQU4518R9v06</v>
          </cell>
          <cell r="G894" t="str">
            <v>ZKEL10S3</v>
          </cell>
        </row>
        <row r="895">
          <cell r="D895" t="str">
            <v>AQU4518R9v06</v>
          </cell>
          <cell r="E895" t="str">
            <v>AQU4518R9v06</v>
          </cell>
          <cell r="F895" t="str">
            <v>AQU4518R9v06</v>
          </cell>
          <cell r="G895" t="str">
            <v>ZKEL12S1</v>
          </cell>
        </row>
        <row r="896">
          <cell r="D896" t="str">
            <v>AMB4519R6v06</v>
          </cell>
          <cell r="E896" t="str">
            <v>AMB4519R6v06</v>
          </cell>
          <cell r="F896" t="str">
            <v>AMB4519R6v06</v>
          </cell>
          <cell r="G896" t="str">
            <v>ZKEL12S2</v>
          </cell>
        </row>
        <row r="897">
          <cell r="D897" t="str">
            <v>AQU4518R9v06</v>
          </cell>
          <cell r="E897" t="str">
            <v>AQU4518R9v06</v>
          </cell>
          <cell r="F897" t="str">
            <v>AQU4518R9v06</v>
          </cell>
          <cell r="G897" t="str">
            <v>ZKEL12S3</v>
          </cell>
        </row>
        <row r="898">
          <cell r="D898" t="str">
            <v>APE4517R0v06</v>
          </cell>
          <cell r="E898" t="str">
            <v>APE4517R0v06</v>
          </cell>
          <cell r="F898" t="str">
            <v>APE4517R0v06</v>
          </cell>
          <cell r="G898" t="str">
            <v>ZKEL13S1</v>
          </cell>
        </row>
        <row r="899">
          <cell r="D899" t="str">
            <v>APE4517R0v06</v>
          </cell>
          <cell r="E899" t="str">
            <v>APE4517R0v06</v>
          </cell>
          <cell r="F899" t="str">
            <v>APE4517R0v06</v>
          </cell>
          <cell r="G899" t="str">
            <v>ZKEL13S2</v>
          </cell>
        </row>
        <row r="900">
          <cell r="D900" t="str">
            <v>APE4517R0v06</v>
          </cell>
          <cell r="E900" t="str">
            <v>APE4517R0v06</v>
          </cell>
          <cell r="F900" t="str">
            <v>APE4517R0v06</v>
          </cell>
          <cell r="G900" t="str">
            <v>ZKEL13S3</v>
          </cell>
        </row>
        <row r="901">
          <cell r="D901" t="str">
            <v>AQU4518R9v06</v>
          </cell>
          <cell r="E901" t="str">
            <v>AQU4518R9v06</v>
          </cell>
          <cell r="F901" t="str">
            <v>AQU4518R9v06</v>
          </cell>
          <cell r="G901" t="str">
            <v>ZKEL14S1</v>
          </cell>
        </row>
        <row r="902">
          <cell r="D902" t="str">
            <v>AQU4518R9v06</v>
          </cell>
          <cell r="E902" t="str">
            <v>AQU4518R9v06</v>
          </cell>
          <cell r="F902" t="str">
            <v>AQU4518R9v06</v>
          </cell>
          <cell r="G902" t="str">
            <v>ZKEL14S2</v>
          </cell>
        </row>
        <row r="903">
          <cell r="D903" t="str">
            <v>AQU4518R9v06</v>
          </cell>
          <cell r="E903" t="str">
            <v>AQU4518R9v06</v>
          </cell>
          <cell r="F903" t="str">
            <v>AQU4518R9v06</v>
          </cell>
          <cell r="G903" t="str">
            <v>ZKEL14S3</v>
          </cell>
        </row>
        <row r="904">
          <cell r="D904" t="str">
            <v>APE4517R0v06</v>
          </cell>
          <cell r="E904" t="str">
            <v>APE4517R0v06</v>
          </cell>
          <cell r="F904" t="str">
            <v>APE4517R0v06</v>
          </cell>
          <cell r="G904" t="str">
            <v>ZKEL18S1</v>
          </cell>
        </row>
        <row r="905">
          <cell r="D905" t="str">
            <v>APE4517R0v06</v>
          </cell>
          <cell r="E905" t="str">
            <v>APE4517R0v06</v>
          </cell>
          <cell r="F905" t="str">
            <v>APE4517R0v06</v>
          </cell>
          <cell r="G905" t="str">
            <v>ZKEL19S2</v>
          </cell>
        </row>
        <row r="906">
          <cell r="D906" t="str">
            <v>APE4517R0v06</v>
          </cell>
          <cell r="E906" t="str">
            <v>APE4517R0v06</v>
          </cell>
          <cell r="F906" t="str">
            <v>APE4517R0v06</v>
          </cell>
          <cell r="G906" t="str">
            <v>ZKEL19S3</v>
          </cell>
        </row>
        <row r="907">
          <cell r="D907" t="str"/>
          <cell r="E907" t="str">
            <v>AQU4518R9v06</v>
          </cell>
          <cell r="F907" t="str">
            <v>AQU4518R9v06</v>
          </cell>
          <cell r="G907" t="str">
            <v>ZKEL20S1</v>
          </cell>
        </row>
        <row r="908">
          <cell r="D908" t="str"/>
          <cell r="E908" t="str">
            <v>AQU4518R9v06</v>
          </cell>
          <cell r="F908" t="str">
            <v>AQU4518R9v06</v>
          </cell>
          <cell r="G908" t="str">
            <v>ZKEL20S2</v>
          </cell>
        </row>
        <row r="909">
          <cell r="D909" t="str"/>
          <cell r="E909" t="str">
            <v>AQU4518R9v06</v>
          </cell>
          <cell r="F909" t="str">
            <v>AQU4518R9v06</v>
          </cell>
          <cell r="G909" t="str">
            <v>ZKEL20S3</v>
          </cell>
        </row>
        <row r="910">
          <cell r="D910" t="str">
            <v>APE4517R0v06</v>
          </cell>
          <cell r="E910" t="str">
            <v>APE4517R0v06</v>
          </cell>
          <cell r="F910" t="str">
            <v>APE4517R0v06</v>
          </cell>
          <cell r="G910" t="str">
            <v>ZKEL28S1</v>
          </cell>
        </row>
        <row r="911">
          <cell r="D911" t="str">
            <v>APE4517R0v06</v>
          </cell>
          <cell r="E911" t="str">
            <v>APE4517R0v06</v>
          </cell>
          <cell r="F911" t="str">
            <v>APE4517R0v06</v>
          </cell>
          <cell r="G911" t="str">
            <v>ZKEL28S2</v>
          </cell>
        </row>
        <row r="912">
          <cell r="D912" t="str">
            <v>APE4517R0v06</v>
          </cell>
          <cell r="E912" t="str">
            <v>APE4517R0v06</v>
          </cell>
          <cell r="F912" t="str">
            <v>APE4517R0v06</v>
          </cell>
          <cell r="G912" t="str">
            <v>ZKEL28S3</v>
          </cell>
        </row>
        <row r="913">
          <cell r="D913" t="str">
            <v>APE4517R0v06</v>
          </cell>
          <cell r="E913" t="str">
            <v>APE4517R0v06</v>
          </cell>
          <cell r="F913" t="str">
            <v>APE4517R0v06</v>
          </cell>
          <cell r="G913" t="str">
            <v>ZKEL29S1</v>
          </cell>
        </row>
        <row r="914">
          <cell r="D914" t="str">
            <v>APE4517R0v06</v>
          </cell>
          <cell r="E914" t="str">
            <v>APE4517R0v06</v>
          </cell>
          <cell r="F914" t="str">
            <v>APE4517R0v06</v>
          </cell>
          <cell r="G914" t="str">
            <v>ZKEL29S2</v>
          </cell>
        </row>
        <row r="915">
          <cell r="D915" t="str"/>
          <cell r="E915" t="str">
            <v>APE4517R0v06</v>
          </cell>
          <cell r="F915" t="str">
            <v>APE4517R0v06</v>
          </cell>
          <cell r="G915" t="str">
            <v>ZKEL29S3</v>
          </cell>
        </row>
        <row r="916">
          <cell r="D916" t="str">
            <v>APE4517R0v06</v>
          </cell>
          <cell r="E916" t="str"/>
          <cell r="F916" t="str"/>
          <cell r="G916" t="str">
            <v>ZKEL29S6</v>
          </cell>
        </row>
        <row r="917">
          <cell r="D917" t="str">
            <v>AQU4518R9v06</v>
          </cell>
          <cell r="E917" t="str">
            <v>AQU4518R9v06</v>
          </cell>
          <cell r="F917" t="str">
            <v>AQU4518R9v06</v>
          </cell>
          <cell r="G917" t="str">
            <v>ZKEL30S1</v>
          </cell>
        </row>
        <row r="918">
          <cell r="D918" t="str">
            <v>AQU4518R9v06</v>
          </cell>
          <cell r="E918" t="str">
            <v>AQU4518R9v06</v>
          </cell>
          <cell r="F918" t="str">
            <v>AQU4518R9v06</v>
          </cell>
          <cell r="G918" t="str">
            <v>ZKEL30S2</v>
          </cell>
        </row>
        <row r="919">
          <cell r="D919" t="str">
            <v>AQU4518R9v06</v>
          </cell>
          <cell r="E919" t="str">
            <v>AQU4518R9v06</v>
          </cell>
          <cell r="F919" t="str">
            <v>AQU4518R9v06</v>
          </cell>
          <cell r="G919" t="str">
            <v>ZKEL30S3</v>
          </cell>
        </row>
        <row r="920">
          <cell r="D920" t="str">
            <v>AMB4519R6v06</v>
          </cell>
          <cell r="E920" t="str">
            <v>AMB4519R6v06</v>
          </cell>
          <cell r="F920" t="str">
            <v>AMB4519R6v06</v>
          </cell>
          <cell r="G920" t="str">
            <v>ZKEL32S1</v>
          </cell>
        </row>
        <row r="921">
          <cell r="D921" t="str">
            <v>APE4517R0v06</v>
          </cell>
          <cell r="E921" t="str">
            <v>APE4517R0v06</v>
          </cell>
          <cell r="F921" t="str">
            <v>APE4517R0v06</v>
          </cell>
          <cell r="G921" t="str">
            <v>ZKEL32S2</v>
          </cell>
        </row>
        <row r="922">
          <cell r="D922" t="str">
            <v>APE4517R0v06</v>
          </cell>
          <cell r="E922" t="str">
            <v>APE4517R0v06</v>
          </cell>
          <cell r="F922" t="str">
            <v>APE4517R0v06</v>
          </cell>
          <cell r="G922" t="str">
            <v>ZKEL32S3</v>
          </cell>
        </row>
        <row r="923">
          <cell r="D923" t="str">
            <v>ATR4517R0v06</v>
          </cell>
          <cell r="E923" t="str">
            <v>ATR4517R0v06</v>
          </cell>
          <cell r="F923" t="str"/>
          <cell r="G923" t="str">
            <v>ZKEL38S1</v>
          </cell>
        </row>
        <row r="924">
          <cell r="D924" t="str">
            <v>ATR4517R0v06</v>
          </cell>
          <cell r="E924" t="str">
            <v>ATR4517R0v06</v>
          </cell>
          <cell r="F924" t="str"/>
          <cell r="G924" t="str">
            <v>ZKEL38S2</v>
          </cell>
        </row>
        <row r="925">
          <cell r="D925" t="str">
            <v>ATR4517R0v06</v>
          </cell>
          <cell r="E925" t="str">
            <v>ATR4517R0v06</v>
          </cell>
          <cell r="F925" t="str"/>
          <cell r="G925" t="str">
            <v>ZKEL38S3</v>
          </cell>
        </row>
        <row r="926">
          <cell r="D926" t="str">
            <v>AQU4518R9v06</v>
          </cell>
          <cell r="E926" t="str">
            <v>AQU4518R9v06</v>
          </cell>
          <cell r="F926" t="str">
            <v>AQU4518R9v06</v>
          </cell>
          <cell r="G926" t="str">
            <v>ZWAT01S1</v>
          </cell>
        </row>
        <row r="927">
          <cell r="D927" t="str">
            <v>AQU4518R9v06</v>
          </cell>
          <cell r="E927" t="str">
            <v>AQU4518R9v06</v>
          </cell>
          <cell r="F927" t="str">
            <v>AQU4518R9v06</v>
          </cell>
          <cell r="G927" t="str">
            <v>ZWAT01S2</v>
          </cell>
        </row>
        <row r="928">
          <cell r="D928" t="str">
            <v>AQU4518R9v06</v>
          </cell>
          <cell r="E928" t="str">
            <v>AQU4518R9v06</v>
          </cell>
          <cell r="F928" t="str">
            <v>AQU4518R9v06</v>
          </cell>
          <cell r="G928" t="str">
            <v>ZWAT01S3</v>
          </cell>
        </row>
        <row r="929">
          <cell r="D929" t="str">
            <v>AQU4518R9v06</v>
          </cell>
          <cell r="E929" t="str">
            <v>AQU4518R9v06</v>
          </cell>
          <cell r="F929" t="str">
            <v>AQU4518R9v06</v>
          </cell>
          <cell r="G929" t="str">
            <v>ZWAT02S1</v>
          </cell>
        </row>
        <row r="930">
          <cell r="D930" t="str">
            <v>AQU4518R9v06</v>
          </cell>
          <cell r="E930" t="str">
            <v>AQU4518R9v06</v>
          </cell>
          <cell r="F930" t="str">
            <v>AQU4518R9v06</v>
          </cell>
          <cell r="G930" t="str">
            <v>ZWAT02S2</v>
          </cell>
        </row>
        <row r="931">
          <cell r="D931" t="str">
            <v>AQU4518R9v06</v>
          </cell>
          <cell r="E931" t="str">
            <v>AQU4518R9v06</v>
          </cell>
          <cell r="F931" t="str">
            <v>AQU4518R9v06</v>
          </cell>
          <cell r="G931" t="str">
            <v>ZWAT02S3</v>
          </cell>
        </row>
        <row r="932">
          <cell r="D932" t="str"/>
          <cell r="E932" t="str">
            <v>AMB4519R6v06</v>
          </cell>
          <cell r="F932" t="str"/>
          <cell r="G932" t="str">
            <v>ZWAT03NA</v>
          </cell>
        </row>
        <row r="933">
          <cell r="D933" t="str">
            <v>AQU4518R9v06</v>
          </cell>
          <cell r="E933" t="str"/>
          <cell r="F933" t="str">
            <v>AQU4518R9v06</v>
          </cell>
          <cell r="G933" t="str">
            <v>ZWAT03S1</v>
          </cell>
        </row>
        <row r="934">
          <cell r="D934" t="str">
            <v>AQU4518R9v06</v>
          </cell>
          <cell r="E934" t="str">
            <v>AQU4518R9v06</v>
          </cell>
          <cell r="F934" t="str">
            <v>AQU4518R9v06</v>
          </cell>
          <cell r="G934" t="str">
            <v>ZWAT03S3</v>
          </cell>
        </row>
        <row r="935">
          <cell r="D935" t="str">
            <v>AQU4518R9v06</v>
          </cell>
          <cell r="E935" t="str">
            <v>AQU4518R9v06</v>
          </cell>
          <cell r="F935" t="str">
            <v>AQU4518R9v06</v>
          </cell>
          <cell r="G935" t="str">
            <v>ZWAT04S1</v>
          </cell>
        </row>
        <row r="936">
          <cell r="D936" t="str">
            <v>AQU4518R9v06</v>
          </cell>
          <cell r="E936" t="str">
            <v>AQU4518R9v06</v>
          </cell>
          <cell r="F936" t="str">
            <v>AQU4518R9v06</v>
          </cell>
          <cell r="G936" t="str">
            <v>ZWAT04S2</v>
          </cell>
        </row>
        <row r="937">
          <cell r="D937" t="str">
            <v>AQU4518R9v06</v>
          </cell>
          <cell r="E937" t="str">
            <v>AQU4518R9v06</v>
          </cell>
          <cell r="F937" t="str">
            <v>AQU4518R9v06</v>
          </cell>
          <cell r="G937" t="str">
            <v>ZWAT04S3</v>
          </cell>
        </row>
        <row r="938">
          <cell r="D938" t="str"/>
          <cell r="E938" t="str">
            <v>AMB4519R6v06</v>
          </cell>
          <cell r="F938" t="str"/>
          <cell r="G938" t="str">
            <v>ZWAT05NA</v>
          </cell>
        </row>
        <row r="939">
          <cell r="D939" t="str">
            <v>AQU4518R9v06</v>
          </cell>
          <cell r="E939" t="str">
            <v>AQU4518R9v06</v>
          </cell>
          <cell r="F939" t="str">
            <v>AQU4518R9v06</v>
          </cell>
          <cell r="G939" t="str">
            <v>ZWAT05S1</v>
          </cell>
        </row>
        <row r="940">
          <cell r="D940" t="str">
            <v>AQU4518R9v06</v>
          </cell>
          <cell r="E940" t="str"/>
          <cell r="F940" t="str">
            <v>AQU4518R9v06</v>
          </cell>
          <cell r="G940" t="str">
            <v>ZWAT05S2</v>
          </cell>
        </row>
        <row r="941">
          <cell r="D941" t="str">
            <v>AQU4518R9v06</v>
          </cell>
          <cell r="E941" t="str">
            <v>AQU4518R9v06</v>
          </cell>
          <cell r="F941" t="str">
            <v>AQU4518R9v06</v>
          </cell>
          <cell r="G941" t="str">
            <v>ZWAT05S3</v>
          </cell>
        </row>
        <row r="942">
          <cell r="D942" t="str">
            <v>AQU4518R9v06</v>
          </cell>
          <cell r="E942" t="str">
            <v>AMB4519R6v06</v>
          </cell>
          <cell r="F942" t="str">
            <v>AQU4518R9v06</v>
          </cell>
          <cell r="G942" t="str">
            <v>ZWAT06S1</v>
          </cell>
        </row>
        <row r="943">
          <cell r="D943" t="str">
            <v>AQU4518R9v06</v>
          </cell>
          <cell r="E943" t="str">
            <v>AMB4519R6v06</v>
          </cell>
          <cell r="F943" t="str">
            <v>AQU4518R9v06</v>
          </cell>
          <cell r="G943" t="str">
            <v>ZWAT06S2</v>
          </cell>
        </row>
        <row r="944">
          <cell r="D944" t="str">
            <v>AQU4518R9v06</v>
          </cell>
          <cell r="E944" t="str">
            <v>AQU4518R9v06</v>
          </cell>
          <cell r="F944" t="str">
            <v>AQU4518R9v06</v>
          </cell>
          <cell r="G944" t="str">
            <v>ZWAT06S3</v>
          </cell>
        </row>
        <row r="945">
          <cell r="D945" t="str">
            <v>AQU4518R9v06</v>
          </cell>
          <cell r="E945" t="str">
            <v>AQU4518R9v06</v>
          </cell>
          <cell r="F945" t="str">
            <v>AQU4518R9v06</v>
          </cell>
          <cell r="G945" t="str">
            <v>ZWAT08S1</v>
          </cell>
        </row>
        <row r="946">
          <cell r="D946" t="str">
            <v>AQU4518R9v06</v>
          </cell>
          <cell r="E946" t="str">
            <v>AQU4518R9v06</v>
          </cell>
          <cell r="F946" t="str">
            <v>AQU4518R9v06</v>
          </cell>
          <cell r="G946" t="str">
            <v>ZWAT08S2</v>
          </cell>
        </row>
        <row r="947">
          <cell r="D947" t="str">
            <v>AQU4518R9v06</v>
          </cell>
          <cell r="E947" t="str">
            <v>AQU4518R9v06</v>
          </cell>
          <cell r="F947" t="str">
            <v>AQU4518R9v06</v>
          </cell>
          <cell r="G947" t="str">
            <v>ZWAT08S3</v>
          </cell>
        </row>
        <row r="948">
          <cell r="D948" t="str"/>
          <cell r="E948" t="str"/>
          <cell r="F948" t="str">
            <v>AQU4518R9v06</v>
          </cell>
          <cell r="G948" t="str">
            <v>ZWAT09S1</v>
          </cell>
        </row>
        <row r="949">
          <cell r="D949" t="str"/>
          <cell r="E949" t="str"/>
          <cell r="F949" t="str">
            <v>AQU4518R9v06</v>
          </cell>
          <cell r="G949" t="str">
            <v>ZWAT09S2</v>
          </cell>
        </row>
        <row r="950">
          <cell r="D950" t="str"/>
          <cell r="E950" t="str"/>
          <cell r="F950" t="str">
            <v>AQU4518R9v06</v>
          </cell>
          <cell r="G950" t="str">
            <v>ZWAT09S3</v>
          </cell>
        </row>
        <row r="951">
          <cell r="D951" t="str">
            <v>AQU4518R9v06</v>
          </cell>
          <cell r="E951" t="str">
            <v>AQU4518R9v06</v>
          </cell>
          <cell r="F951" t="str"/>
          <cell r="G951" t="str">
            <v>ZWAT09S1</v>
          </cell>
        </row>
        <row r="952">
          <cell r="D952" t="str">
            <v>AQU4518R9v06</v>
          </cell>
          <cell r="E952" t="str">
            <v>AQU4518R9v06</v>
          </cell>
          <cell r="F952" t="str"/>
          <cell r="G952" t="str">
            <v>ZWAT09S2</v>
          </cell>
        </row>
        <row r="953">
          <cell r="D953" t="str">
            <v>AQU4518R9v06</v>
          </cell>
          <cell r="E953" t="str">
            <v>AQU4518R9v06</v>
          </cell>
          <cell r="F953" t="str"/>
          <cell r="G953" t="str">
            <v>ZWAT09S3</v>
          </cell>
        </row>
        <row r="954">
          <cell r="D954" t="str">
            <v>AQU4518R9v06</v>
          </cell>
          <cell r="E954" t="str">
            <v>AQU4518R9v06</v>
          </cell>
          <cell r="F954" t="str">
            <v>AQU4518R9v06</v>
          </cell>
          <cell r="G954" t="str">
            <v>ZWAT11S1</v>
          </cell>
        </row>
        <row r="955">
          <cell r="D955" t="str">
            <v>AQU4518R9v06</v>
          </cell>
          <cell r="E955" t="str">
            <v>AQU4518R9v06</v>
          </cell>
          <cell r="F955" t="str">
            <v>AQU4518R9v06</v>
          </cell>
          <cell r="G955" t="str">
            <v>ZWAT11S2</v>
          </cell>
        </row>
        <row r="956">
          <cell r="D956" t="str">
            <v>AQU4518R9v06</v>
          </cell>
          <cell r="E956" t="str">
            <v>AQU4518R9v06</v>
          </cell>
          <cell r="F956" t="str">
            <v>AQU4518R9v06</v>
          </cell>
          <cell r="G956" t="str">
            <v>ZWAT11S3</v>
          </cell>
        </row>
        <row r="957">
          <cell r="D957" t="str">
            <v>AQU4518R9v06</v>
          </cell>
          <cell r="E957" t="str">
            <v>AQU4518R9v06</v>
          </cell>
          <cell r="F957" t="str">
            <v>AQU4518R9v06</v>
          </cell>
          <cell r="G957" t="str">
            <v>ZWAT11S4</v>
          </cell>
        </row>
        <row r="958">
          <cell r="D958" t="str">
            <v>AQU4518R9v06</v>
          </cell>
          <cell r="E958" t="str">
            <v>AQU4518R9v06</v>
          </cell>
          <cell r="F958" t="str">
            <v>AQU4518R9v06</v>
          </cell>
          <cell r="G958" t="str">
            <v>ZWAT12S1</v>
          </cell>
        </row>
        <row r="959">
          <cell r="D959" t="str">
            <v>AQU4518R9v06</v>
          </cell>
          <cell r="E959" t="str">
            <v>AQU4518R9v06</v>
          </cell>
          <cell r="F959" t="str">
            <v>AQU4518R9v06</v>
          </cell>
          <cell r="G959" t="str">
            <v>ZWAT12S2</v>
          </cell>
        </row>
        <row r="960">
          <cell r="D960" t="str">
            <v>AQU4518R9v06</v>
          </cell>
          <cell r="E960" t="str">
            <v>AQU4518R9v06</v>
          </cell>
          <cell r="F960" t="str">
            <v>AQU4518R9v06</v>
          </cell>
          <cell r="G960" t="str">
            <v>ZWAT12S3</v>
          </cell>
        </row>
        <row r="961">
          <cell r="D961" t="str">
            <v>AQU4518R9v06</v>
          </cell>
          <cell r="E961" t="str">
            <v>AQU4518R9v06</v>
          </cell>
          <cell r="F961" t="str">
            <v>AQU4518R9v06</v>
          </cell>
          <cell r="G961" t="str">
            <v>ZWAT12S4</v>
          </cell>
        </row>
        <row r="962">
          <cell r="D962" t="str"/>
          <cell r="E962" t="str">
            <v>AQU4518R9v06</v>
          </cell>
          <cell r="F962" t="str"/>
          <cell r="G962" t="str">
            <v>ZWAT13S2</v>
          </cell>
        </row>
        <row r="963">
          <cell r="D963" t="str"/>
          <cell r="E963" t="str"/>
          <cell r="F963" t="str">
            <v>AQU4518R9v06</v>
          </cell>
          <cell r="G963" t="str">
            <v>ZWAT13S2</v>
          </cell>
        </row>
        <row r="964">
          <cell r="D964" t="str">
            <v>AQU4518R9v06</v>
          </cell>
          <cell r="E964" t="str"/>
          <cell r="F964" t="str"/>
          <cell r="G964" t="str">
            <v>ZWAT13S2</v>
          </cell>
        </row>
        <row r="965">
          <cell r="D965" t="str">
            <v>AQU4518R9v06</v>
          </cell>
          <cell r="E965" t="str">
            <v>AQU4518R9v06</v>
          </cell>
          <cell r="F965" t="str">
            <v>AQU4518R9v06</v>
          </cell>
          <cell r="G965" t="str">
            <v>ZWAT13S1</v>
          </cell>
        </row>
        <row r="966">
          <cell r="D966" t="str"/>
          <cell r="E966" t="str">
            <v>AQU4518R9v06</v>
          </cell>
          <cell r="F966" t="str"/>
          <cell r="G966" t="str">
            <v>ZWAT13S2</v>
          </cell>
        </row>
        <row r="967">
          <cell r="D967" t="str">
            <v>AQU4518R9v06</v>
          </cell>
          <cell r="E967" t="str">
            <v>AQU4518R9v06</v>
          </cell>
          <cell r="F967" t="str">
            <v>AQU4518R9v06</v>
          </cell>
          <cell r="G967" t="str">
            <v>ZWAT13S3</v>
          </cell>
        </row>
        <row r="968">
          <cell r="D968" t="str">
            <v>AQU4518R9v06</v>
          </cell>
          <cell r="E968" t="str">
            <v>AQU4518R9v06</v>
          </cell>
          <cell r="F968" t="str">
            <v>AQU4518R9v06</v>
          </cell>
          <cell r="G968" t="str">
            <v>ZWAT13S4</v>
          </cell>
        </row>
        <row r="969">
          <cell r="D969" t="str">
            <v>AQU4518R9v06</v>
          </cell>
          <cell r="E969" t="str">
            <v>AQU4518R9v06</v>
          </cell>
          <cell r="F969" t="str">
            <v>AQU4518R9v06</v>
          </cell>
          <cell r="G969" t="str">
            <v>ZWAT14S1</v>
          </cell>
        </row>
        <row r="970">
          <cell r="D970" t="str">
            <v>AQU4518R9v06</v>
          </cell>
          <cell r="E970" t="str">
            <v>AQU4518R9v06</v>
          </cell>
          <cell r="F970" t="str">
            <v>AQU4518R9v06</v>
          </cell>
          <cell r="G970" t="str">
            <v>ZWAT14S2</v>
          </cell>
        </row>
        <row r="971">
          <cell r="D971" t="str">
            <v>AQU4518R9v06</v>
          </cell>
          <cell r="E971" t="str">
            <v>AQU4518R9v06</v>
          </cell>
          <cell r="F971" t="str">
            <v>AQU4518R9v06</v>
          </cell>
          <cell r="G971" t="str">
            <v>ZWAT14S3</v>
          </cell>
        </row>
        <row r="972">
          <cell r="D972" t="str">
            <v>APE4517R0v06</v>
          </cell>
          <cell r="E972" t="str">
            <v>APE4517R0v06</v>
          </cell>
          <cell r="F972" t="str">
            <v>APE4517R0v06</v>
          </cell>
          <cell r="G972" t="str">
            <v>ZWAT15S1</v>
          </cell>
        </row>
        <row r="973">
          <cell r="D973" t="str">
            <v>AQU4518R9v06</v>
          </cell>
          <cell r="E973" t="str">
            <v>AQU4518R9v06</v>
          </cell>
          <cell r="F973" t="str">
            <v>AQU4518R9v06</v>
          </cell>
          <cell r="G973" t="str">
            <v>ZWAT16S1</v>
          </cell>
        </row>
        <row r="974">
          <cell r="D974" t="str">
            <v>AQU4518R9v06</v>
          </cell>
          <cell r="E974" t="str">
            <v>AQU4518R9v06</v>
          </cell>
          <cell r="F974" t="str">
            <v>AQU4518R9v06</v>
          </cell>
          <cell r="G974" t="str">
            <v>ZWAT16S2</v>
          </cell>
        </row>
        <row r="975">
          <cell r="D975" t="str">
            <v>AQU4518R9v06</v>
          </cell>
          <cell r="E975" t="str">
            <v>AQU4518R9v06</v>
          </cell>
          <cell r="F975" t="str">
            <v>AQU4518R9v06</v>
          </cell>
          <cell r="G975" t="str">
            <v>ZWAT16S4</v>
          </cell>
        </row>
        <row r="976">
          <cell r="D976" t="str">
            <v>AQU4518R9v06</v>
          </cell>
          <cell r="E976" t="str">
            <v>AQU4518R9v06</v>
          </cell>
          <cell r="F976" t="str">
            <v>AQU4518R9v06</v>
          </cell>
          <cell r="G976" t="str">
            <v>ZWAT17S1</v>
          </cell>
        </row>
        <row r="977">
          <cell r="D977" t="str">
            <v>AQU4518R9v06</v>
          </cell>
          <cell r="E977" t="str">
            <v>AQU4518R9v06</v>
          </cell>
          <cell r="F977" t="str">
            <v>AQU4518R9v06</v>
          </cell>
          <cell r="G977" t="str">
            <v>ZWAT17S2</v>
          </cell>
        </row>
        <row r="978">
          <cell r="D978" t="str">
            <v>APE4517R0v06</v>
          </cell>
          <cell r="E978" t="str">
            <v>APE4517R0v06</v>
          </cell>
          <cell r="F978" t="str">
            <v>APE4517R0v06</v>
          </cell>
          <cell r="G978" t="str">
            <v>ZWAT17S3</v>
          </cell>
        </row>
        <row r="979">
          <cell r="D979" t="str">
            <v>AQU4518R9v06</v>
          </cell>
          <cell r="E979" t="str">
            <v>AQU4518R9v06</v>
          </cell>
          <cell r="F979" t="str">
            <v>AQU4518R9v06</v>
          </cell>
          <cell r="G979" t="str">
            <v>ZWAT18S2</v>
          </cell>
        </row>
        <row r="980">
          <cell r="D980" t="str">
            <v>AQU4518R9v06</v>
          </cell>
          <cell r="E980" t="str">
            <v>AQU4518R9v06</v>
          </cell>
          <cell r="F980" t="str">
            <v>AQU4518R9v06</v>
          </cell>
          <cell r="G980" t="str">
            <v>ZWAT18S3</v>
          </cell>
        </row>
        <row r="981">
          <cell r="D981" t="str">
            <v>AQU4518R9v06</v>
          </cell>
          <cell r="E981" t="str">
            <v>AQU4518R9v06</v>
          </cell>
          <cell r="F981" t="str">
            <v>AQU4518R9v06</v>
          </cell>
          <cell r="G981" t="str">
            <v>ZWAT19S1</v>
          </cell>
        </row>
        <row r="982">
          <cell r="D982" t="str">
            <v>AQU4518R9v06</v>
          </cell>
          <cell r="E982" t="str">
            <v>AQU4518R9v06</v>
          </cell>
          <cell r="F982" t="str">
            <v>AQU4518R9v06</v>
          </cell>
          <cell r="G982" t="str">
            <v>ZWAT19S2</v>
          </cell>
        </row>
        <row r="983">
          <cell r="D983" t="str">
            <v>AQU4518R9v06</v>
          </cell>
          <cell r="E983" t="str">
            <v>AQU4518R9v06</v>
          </cell>
          <cell r="F983" t="str">
            <v>AQU4518R9v06</v>
          </cell>
          <cell r="G983" t="str">
            <v>ZWAT19S3</v>
          </cell>
        </row>
        <row r="984">
          <cell r="D984" t="str">
            <v>AQU4518R9v06</v>
          </cell>
          <cell r="E984" t="str">
            <v>AQU4518R9v06</v>
          </cell>
          <cell r="F984" t="str">
            <v>AQU4518R9v06</v>
          </cell>
          <cell r="G984" t="str">
            <v>ZWAT20S1</v>
          </cell>
        </row>
        <row r="985">
          <cell r="D985" t="str">
            <v>AQU4518R9v06</v>
          </cell>
          <cell r="E985" t="str">
            <v>AQU4518R9v06</v>
          </cell>
          <cell r="F985" t="str">
            <v>AQU4518R9v06</v>
          </cell>
          <cell r="G985" t="str">
            <v>ZWAT20S2</v>
          </cell>
        </row>
        <row r="986">
          <cell r="D986" t="str">
            <v>AQU4518R9v06</v>
          </cell>
          <cell r="E986" t="str">
            <v>AQU4518R9v06</v>
          </cell>
          <cell r="F986" t="str">
            <v>AQU4518R9v06</v>
          </cell>
          <cell r="G986" t="str">
            <v>ZWAT20S3</v>
          </cell>
        </row>
        <row r="987">
          <cell r="D987" t="str">
            <v>AQU4518R9v06</v>
          </cell>
          <cell r="E987" t="str">
            <v>AQU4518R9v06</v>
          </cell>
          <cell r="F987" t="str">
            <v>AQU4518R9v06</v>
          </cell>
          <cell r="G987" t="str">
            <v>ZWAT21S1</v>
          </cell>
        </row>
        <row r="988">
          <cell r="D988" t="str">
            <v>AQU4518R9v06</v>
          </cell>
          <cell r="E988" t="str">
            <v>AQU4518R9v06</v>
          </cell>
          <cell r="F988" t="str">
            <v>AQU4518R9v06</v>
          </cell>
          <cell r="G988" t="str">
            <v>ZWAT21S2</v>
          </cell>
        </row>
        <row r="989">
          <cell r="D989" t="str">
            <v>AQU4518R9v06</v>
          </cell>
          <cell r="E989" t="str">
            <v>AQU4518R9v06</v>
          </cell>
          <cell r="F989" t="str">
            <v>AQU4518R9v06</v>
          </cell>
          <cell r="G989" t="str">
            <v>ZWAT21S3</v>
          </cell>
        </row>
        <row r="990">
          <cell r="D990" t="str"/>
          <cell r="E990" t="str"/>
          <cell r="F990" t="str"/>
          <cell r="G990" t="str">
            <v>ZWAT24NA</v>
          </cell>
        </row>
        <row r="991">
          <cell r="D991" t="str"/>
          <cell r="E991" t="str"/>
          <cell r="F991" t="str"/>
          <cell r="G991" t="str">
            <v>ZWAT24None</v>
          </cell>
        </row>
        <row r="992">
          <cell r="D992" t="str"/>
          <cell r="E992" t="str"/>
          <cell r="F992" t="str"/>
          <cell r="G992" t="str">
            <v>ZWAT24S1</v>
          </cell>
        </row>
        <row r="993">
          <cell r="D993" t="str"/>
          <cell r="E993" t="str">
            <v>AQU4518R9v06</v>
          </cell>
          <cell r="F993" t="str">
            <v>AQU4518R9v06</v>
          </cell>
          <cell r="G993" t="str">
            <v>ZWAT24S2</v>
          </cell>
        </row>
        <row r="994">
          <cell r="D994" t="str"/>
          <cell r="E994" t="str">
            <v>AQU4518R9v06</v>
          </cell>
          <cell r="F994" t="str">
            <v>AQU4518R9v06</v>
          </cell>
          <cell r="G994" t="str">
            <v>ZWAT24S3</v>
          </cell>
        </row>
        <row r="995">
          <cell r="D995" t="str"/>
          <cell r="E995" t="str">
            <v>AQU4518R9v06</v>
          </cell>
          <cell r="F995" t="str">
            <v>AQU4518R9v06</v>
          </cell>
          <cell r="G995" t="str">
            <v>ZWAT25S1</v>
          </cell>
        </row>
        <row r="996">
          <cell r="D996" t="str"/>
          <cell r="E996" t="str">
            <v>AQU4518R25v06</v>
          </cell>
          <cell r="F996" t="str">
            <v>AQU4518R25v06</v>
          </cell>
          <cell r="G996" t="str">
            <v>ZWAT25S2</v>
          </cell>
        </row>
        <row r="997">
          <cell r="D997" t="str"/>
          <cell r="E997" t="str">
            <v>AQU4518R25v06</v>
          </cell>
          <cell r="F997" t="str">
            <v>AQU4518R25v06</v>
          </cell>
          <cell r="G997" t="str">
            <v>ZWAT25S3</v>
          </cell>
        </row>
        <row r="998">
          <cell r="D998" t="str">
            <v>AQU4518R9v06</v>
          </cell>
          <cell r="E998" t="str"/>
          <cell r="F998" t="str"/>
          <cell r="G998" t="str">
            <v>ZWAT28S1</v>
          </cell>
        </row>
        <row r="999">
          <cell r="D999" t="str">
            <v>AQU4518R9v06</v>
          </cell>
          <cell r="E999" t="str"/>
          <cell r="F999" t="str"/>
          <cell r="G999" t="str">
            <v>ZWAT28S2</v>
          </cell>
        </row>
        <row r="1000">
          <cell r="D1000" t="str">
            <v>AQU4518R9v06</v>
          </cell>
          <cell r="E1000" t="str"/>
          <cell r="F1000" t="str"/>
          <cell r="G1000" t="str">
            <v>ZWAT28S3</v>
          </cell>
        </row>
        <row r="1001">
          <cell r="D1001" t="str"/>
          <cell r="E1001" t="str">
            <v>AQU4518R9v06</v>
          </cell>
          <cell r="F1001" t="str">
            <v>AQU4518R9v06</v>
          </cell>
          <cell r="G1001" t="str">
            <v>ZWAT28S1</v>
          </cell>
        </row>
        <row r="1002">
          <cell r="D1002" t="str"/>
          <cell r="E1002" t="str">
            <v>AQU4518R9v06</v>
          </cell>
          <cell r="F1002" t="str">
            <v>AQU4518R9v06</v>
          </cell>
          <cell r="G1002" t="str">
            <v>ZWAT28S2</v>
          </cell>
        </row>
        <row r="1003">
          <cell r="D1003" t="str"/>
          <cell r="E1003" t="str">
            <v>AQU4518R9v06</v>
          </cell>
          <cell r="F1003" t="str">
            <v>AQU4518R9v06</v>
          </cell>
          <cell r="G1003" t="str">
            <v>ZWAT28S3</v>
          </cell>
        </row>
        <row r="1004">
          <cell r="D1004" t="str">
            <v>APE4517R0v06</v>
          </cell>
          <cell r="E1004" t="str">
            <v>APE4517R0v06</v>
          </cell>
          <cell r="F1004" t="str"/>
          <cell r="G1004" t="str">
            <v>ZWAT33S1</v>
          </cell>
        </row>
        <row r="1005">
          <cell r="D1005" t="str">
            <v>APE4517R0v06</v>
          </cell>
          <cell r="E1005" t="str">
            <v>APE4517R0v06</v>
          </cell>
          <cell r="F1005" t="str"/>
          <cell r="G1005" t="str">
            <v>ZWAT33S2</v>
          </cell>
        </row>
        <row r="1006">
          <cell r="D1006" t="str">
            <v>APE4517R0v06</v>
          </cell>
          <cell r="E1006" t="str">
            <v>APE4517R0v06</v>
          </cell>
          <cell r="F1006" t="str"/>
          <cell r="G1006" t="str">
            <v>ZWAT33S3</v>
          </cell>
        </row>
        <row r="1007">
          <cell r="D1007" t="str"/>
          <cell r="E1007" t="str">
            <v>AMB4519R6v06</v>
          </cell>
          <cell r="F1007" t="str"/>
          <cell r="G1007" t="str">
            <v>ZWAT36NA</v>
          </cell>
        </row>
        <row r="1008">
          <cell r="D1008" t="str">
            <v>AQU4518R9v06</v>
          </cell>
          <cell r="E1008" t="str">
            <v>AQU4518R9v06</v>
          </cell>
          <cell r="F1008" t="str">
            <v>AQU4518R9v06</v>
          </cell>
          <cell r="G1008" t="str">
            <v>ZWAT37S1</v>
          </cell>
        </row>
        <row r="1009">
          <cell r="D1009" t="str">
            <v>AQU4518R9v06</v>
          </cell>
          <cell r="E1009" t="str">
            <v>AQU4518R9v06</v>
          </cell>
          <cell r="F1009" t="str">
            <v>AQU4518R9v06</v>
          </cell>
          <cell r="G1009" t="str">
            <v>ZWAT37S2</v>
          </cell>
        </row>
        <row r="1010">
          <cell r="D1010" t="str">
            <v>AQU4518R9v06</v>
          </cell>
          <cell r="E1010" t="str">
            <v>AQU4518R9v06</v>
          </cell>
          <cell r="F1010" t="str">
            <v>AQU4518R9v06</v>
          </cell>
          <cell r="G1010" t="str">
            <v>ZWAT37S3</v>
          </cell>
        </row>
        <row r="1011">
          <cell r="D1011" t="str">
            <v>AQU4518R9v06</v>
          </cell>
          <cell r="E1011" t="str">
            <v>AQU4518R9v06</v>
          </cell>
          <cell r="F1011" t="str">
            <v>AQU4518R9v06</v>
          </cell>
          <cell r="G1011" t="str">
            <v>ZWAT38S1</v>
          </cell>
        </row>
        <row r="1012">
          <cell r="D1012" t="str">
            <v>AQU4518R9v06</v>
          </cell>
          <cell r="E1012" t="str">
            <v>AQU4518R9v06</v>
          </cell>
          <cell r="F1012" t="str">
            <v>AQU4518R9v06</v>
          </cell>
          <cell r="G1012" t="str">
            <v>ZWAT38S2</v>
          </cell>
        </row>
        <row r="1013">
          <cell r="D1013" t="str">
            <v>AQU4518R9v06</v>
          </cell>
          <cell r="E1013" t="str">
            <v>AQU4518R9v06</v>
          </cell>
          <cell r="F1013" t="str">
            <v>AQU4518R9v06</v>
          </cell>
          <cell r="G1013" t="str">
            <v>ZWAT38S3</v>
          </cell>
        </row>
        <row r="1014">
          <cell r="D1014" t="str">
            <v>AQU4518R9v06</v>
          </cell>
          <cell r="E1014" t="str">
            <v>AQU4518R9v06</v>
          </cell>
          <cell r="F1014" t="str">
            <v>AQU4518R9v06</v>
          </cell>
          <cell r="G1014" t="str">
            <v>ZWAT39S1</v>
          </cell>
        </row>
        <row r="1015">
          <cell r="D1015" t="str">
            <v>AQU4518R9v06</v>
          </cell>
          <cell r="E1015" t="str">
            <v>AQU4518R9v06</v>
          </cell>
          <cell r="F1015" t="str">
            <v>AQU4518R9v06</v>
          </cell>
          <cell r="G1015" t="str">
            <v>ZWAT39S2</v>
          </cell>
        </row>
        <row r="1016">
          <cell r="D1016" t="str">
            <v>AQU4518R9v06</v>
          </cell>
          <cell r="E1016" t="str">
            <v>AQU4518R9v06</v>
          </cell>
          <cell r="F1016" t="str">
            <v>AQU4518R9v06</v>
          </cell>
          <cell r="G1016" t="str">
            <v>ZWAT39S3</v>
          </cell>
        </row>
        <row r="1017">
          <cell r="D1017" t="str">
            <v>AQU4518R9v06</v>
          </cell>
          <cell r="E1017" t="str">
            <v>AQU4518R9v06</v>
          </cell>
          <cell r="F1017" t="str">
            <v>AQU4518R9v06</v>
          </cell>
          <cell r="G1017" t="str">
            <v>ZWAT39S4</v>
          </cell>
        </row>
        <row r="1018">
          <cell r="D1018" t="str"/>
          <cell r="E1018" t="str">
            <v>APE4517R0v06</v>
          </cell>
          <cell r="F1018" t="str"/>
          <cell r="G1018" t="str">
            <v>ZWAT41S1</v>
          </cell>
        </row>
        <row r="1019">
          <cell r="D1019" t="str"/>
          <cell r="E1019" t="str">
            <v>APE4517R0v06</v>
          </cell>
          <cell r="F1019" t="str"/>
          <cell r="G1019" t="str">
            <v>ZWAT41S2</v>
          </cell>
        </row>
        <row r="1020">
          <cell r="D1020" t="str"/>
          <cell r="E1020" t="str">
            <v>APE4517R0v06</v>
          </cell>
          <cell r="F1020" t="str"/>
          <cell r="G1020" t="str">
            <v>ZWAT41S3</v>
          </cell>
        </row>
        <row r="1021">
          <cell r="D1021" t="str">
            <v>AQU4518R9v06</v>
          </cell>
          <cell r="E1021" t="str">
            <v>AQU4518R9v06</v>
          </cell>
          <cell r="F1021" t="str">
            <v>AQU4518R9v06</v>
          </cell>
          <cell r="G1021" t="str">
            <v>ZWAT51S1</v>
          </cell>
        </row>
        <row r="1022">
          <cell r="D1022" t="str">
            <v>AQU4518R9v06</v>
          </cell>
          <cell r="E1022" t="str">
            <v>AQU4518R9v06</v>
          </cell>
          <cell r="F1022" t="str">
            <v>AQU4518R9v06</v>
          </cell>
          <cell r="G1022" t="str">
            <v>ZWAT51S2</v>
          </cell>
        </row>
        <row r="1023">
          <cell r="D1023" t="str">
            <v>AQU4518R9v06</v>
          </cell>
          <cell r="E1023" t="str">
            <v>AQU4518R9v06</v>
          </cell>
          <cell r="F1023" t="str">
            <v>AQU4518R9v06</v>
          </cell>
          <cell r="G1023" t="str">
            <v>ZWAT51S3</v>
          </cell>
        </row>
        <row r="1024">
          <cell r="D1024" t="str">
            <v>AQU4518R9v06</v>
          </cell>
          <cell r="E1024" t="str">
            <v>AQU4518R9v06</v>
          </cell>
          <cell r="F1024" t="str">
            <v>AQU4518R9v06</v>
          </cell>
          <cell r="G1024" t="str">
            <v>ZWAT56S1</v>
          </cell>
        </row>
        <row r="1025">
          <cell r="D1025" t="str">
            <v>AQU4518R9v06</v>
          </cell>
          <cell r="E1025" t="str">
            <v>AQU4518R9v06</v>
          </cell>
          <cell r="F1025" t="str">
            <v>AQU4518R9v06</v>
          </cell>
          <cell r="G1025" t="str">
            <v>ZWAT56S2</v>
          </cell>
        </row>
        <row r="1026">
          <cell r="D1026" t="str">
            <v>AQU4518R9v06</v>
          </cell>
          <cell r="E1026" t="str">
            <v>AQU4518R9v06</v>
          </cell>
          <cell r="F1026" t="str">
            <v>AQU4518R9v06</v>
          </cell>
          <cell r="G1026" t="str">
            <v>ZWAT56S3</v>
          </cell>
        </row>
        <row r="1027">
          <cell r="D1027" t="str">
            <v>APE4517R0v06</v>
          </cell>
          <cell r="E1027" t="str">
            <v>APE4517R0v06</v>
          </cell>
          <cell r="F1027" t="str">
            <v>APE4517R0v06</v>
          </cell>
          <cell r="G1027" t="str">
            <v>ZWAT63S1</v>
          </cell>
        </row>
        <row r="1028">
          <cell r="D1028" t="str">
            <v>APE4517R0v06</v>
          </cell>
          <cell r="E1028" t="str">
            <v>APE4517R0v06</v>
          </cell>
          <cell r="F1028" t="str">
            <v>APE4517R0v06</v>
          </cell>
          <cell r="G1028" t="str">
            <v>ZWAT63S3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E40"/>
  <sheetViews>
    <sheetView zoomScale="70" zoomScaleNormal="70" workbookViewId="0">
      <selection activeCell="H110" sqref="H110"/>
    </sheetView>
  </sheetViews>
  <sheetFormatPr baseColWidth="8" defaultColWidth="9.81904761904762" defaultRowHeight="12"/>
  <cols>
    <col width="9.81904761904762" customWidth="1" style="5" min="1" max="1"/>
    <col width="17.7238095238095" customWidth="1" style="65" min="2" max="2"/>
    <col width="26.5238095238095" customWidth="1" style="65" min="3" max="3"/>
    <col width="14.5428571428571" customWidth="1" style="65" min="4" max="4"/>
    <col width="27.8190476190476" customWidth="1" style="5" min="5" max="5"/>
    <col width="31.2285714285714" customWidth="1" style="5" min="6" max="6"/>
    <col width="7.27619047619048" customWidth="1" style="5" min="7" max="12"/>
    <col width="8.66666666666667" customWidth="1" style="5" min="13" max="17"/>
    <col width="7.63809523809524" customWidth="1" style="5" min="18" max="23"/>
    <col width="7.72380952380952" customWidth="1" style="5" min="24" max="31"/>
    <col width="9.81904761904762" customWidth="1" style="74" min="32" max="16384"/>
  </cols>
  <sheetData>
    <row r="1" ht="25" customHeight="1" s="99">
      <c r="A1" s="103" t="inlineStr">
        <is>
          <t>Node_New</t>
        </is>
      </c>
      <c r="B1" s="104" t="inlineStr">
        <is>
          <t>Tech</t>
        </is>
      </c>
      <c r="C1" s="137" t="n"/>
      <c r="D1" s="138" t="n"/>
      <c r="E1" s="104" t="inlineStr">
        <is>
          <t>Antenna</t>
        </is>
      </c>
      <c r="F1" s="138" t="n"/>
      <c r="G1" s="104" t="inlineStr">
        <is>
          <t>MIMO</t>
        </is>
      </c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8" t="n"/>
      <c r="R1" s="104" t="inlineStr">
        <is>
          <t>Power</t>
        </is>
      </c>
      <c r="S1" s="137" t="n"/>
      <c r="T1" s="137" t="n"/>
      <c r="U1" s="137" t="n"/>
      <c r="V1" s="137" t="n"/>
      <c r="W1" s="138" t="n"/>
      <c r="X1" s="104" t="inlineStr">
        <is>
          <t>Power Margin</t>
        </is>
      </c>
      <c r="Y1" s="137" t="n"/>
      <c r="Z1" s="137" t="n"/>
      <c r="AA1" s="137" t="n"/>
      <c r="AB1" s="137" t="n"/>
      <c r="AC1" s="137" t="n"/>
      <c r="AD1" s="137" t="n"/>
      <c r="AE1" s="138" t="n"/>
    </row>
    <row r="2" ht="25" customHeight="1" s="99">
      <c r="A2" s="139" t="n"/>
      <c r="B2" s="104" t="inlineStr">
        <is>
          <t>Pre</t>
        </is>
      </c>
      <c r="C2" s="104" t="inlineStr">
        <is>
          <t>Post</t>
        </is>
      </c>
      <c r="D2" s="104" t="inlineStr">
        <is>
          <t>Change</t>
        </is>
      </c>
      <c r="E2" s="104" t="inlineStr">
        <is>
          <t>Pre</t>
        </is>
      </c>
      <c r="F2" s="104" t="inlineStr">
        <is>
          <t>Post</t>
        </is>
      </c>
      <c r="G2" s="140" t="inlineStr">
        <is>
          <t>Pre</t>
        </is>
      </c>
      <c r="H2" s="137" t="n"/>
      <c r="I2" s="137" t="n"/>
      <c r="J2" s="137" t="n"/>
      <c r="K2" s="137" t="n"/>
      <c r="L2" s="138" t="n"/>
      <c r="M2" s="104" t="inlineStr">
        <is>
          <t>Post</t>
        </is>
      </c>
      <c r="N2" s="137" t="n"/>
      <c r="O2" s="137" t="n"/>
      <c r="P2" s="137" t="n"/>
      <c r="Q2" s="138" t="n"/>
      <c r="R2" s="104" t="inlineStr">
        <is>
          <t>Pre</t>
        </is>
      </c>
      <c r="S2" s="137" t="n"/>
      <c r="T2" s="138" t="n"/>
      <c r="U2" s="104" t="inlineStr">
        <is>
          <t>Post</t>
        </is>
      </c>
      <c r="V2" s="137" t="n"/>
      <c r="W2" s="138" t="n"/>
      <c r="X2" s="104" t="inlineStr">
        <is>
          <t>Low Band</t>
        </is>
      </c>
      <c r="Y2" s="141" t="n"/>
      <c r="Z2" s="141" t="n"/>
      <c r="AA2" s="142" t="n"/>
      <c r="AB2" s="104" t="inlineStr">
        <is>
          <t>High Band</t>
        </is>
      </c>
      <c r="AC2" s="141" t="n"/>
      <c r="AD2" s="141" t="n"/>
      <c r="AE2" s="142" t="n"/>
    </row>
    <row r="3">
      <c r="A3" s="139" t="n"/>
      <c r="B3" s="139" t="n"/>
      <c r="C3" s="139" t="n"/>
      <c r="D3" s="139" t="n"/>
      <c r="E3" s="139" t="n"/>
      <c r="F3" s="139" t="n"/>
      <c r="G3" s="109" t="n">
        <v>700</v>
      </c>
      <c r="H3" s="109" t="n">
        <v>1900</v>
      </c>
      <c r="I3" s="137" t="n"/>
      <c r="J3" s="138" t="n"/>
      <c r="K3" s="109" t="n">
        <v>2600</v>
      </c>
      <c r="L3" s="138" t="n"/>
      <c r="M3" s="124" t="n">
        <v>700</v>
      </c>
      <c r="N3" s="138" t="n"/>
      <c r="O3" s="124" t="n">
        <v>1900</v>
      </c>
      <c r="P3" s="124" t="n">
        <v>2600</v>
      </c>
      <c r="Q3" s="138" t="n"/>
      <c r="R3" s="129" t="n">
        <v>700</v>
      </c>
      <c r="S3" s="129" t="n">
        <v>1900</v>
      </c>
      <c r="T3" s="129" t="n">
        <v>2600</v>
      </c>
      <c r="U3" s="130" t="n">
        <v>700</v>
      </c>
      <c r="V3" s="130" t="n">
        <v>1900</v>
      </c>
      <c r="W3" s="130" t="n">
        <v>2600</v>
      </c>
      <c r="X3" s="143" t="n"/>
      <c r="Y3" s="144" t="n"/>
      <c r="Z3" s="144" t="n"/>
      <c r="AA3" s="145" t="n"/>
      <c r="AB3" s="143" t="n"/>
      <c r="AC3" s="144" t="n"/>
      <c r="AD3" s="144" t="n"/>
      <c r="AE3" s="145" t="n"/>
    </row>
    <row r="4">
      <c r="A4" s="146" t="n"/>
      <c r="B4" s="146" t="n"/>
      <c r="C4" s="146" t="n"/>
      <c r="D4" s="146" t="n"/>
      <c r="E4" s="146" t="n"/>
      <c r="F4" s="146" t="n"/>
      <c r="G4" s="109" t="inlineStr">
        <is>
          <t>2T2R</t>
        </is>
      </c>
      <c r="H4" s="109" t="inlineStr">
        <is>
          <t>1T2R</t>
        </is>
      </c>
      <c r="I4" s="109" t="inlineStr">
        <is>
          <t>2T2R</t>
        </is>
      </c>
      <c r="J4" s="109" t="inlineStr">
        <is>
          <t>4T4R</t>
        </is>
      </c>
      <c r="K4" s="109" t="inlineStr">
        <is>
          <t>2T2R</t>
        </is>
      </c>
      <c r="L4" s="109" t="inlineStr">
        <is>
          <t>4T4R</t>
        </is>
      </c>
      <c r="M4" s="124" t="inlineStr">
        <is>
          <t>2T2R</t>
        </is>
      </c>
      <c r="N4" s="124" t="inlineStr">
        <is>
          <t>4T4R</t>
        </is>
      </c>
      <c r="O4" s="124" t="inlineStr">
        <is>
          <t>4T4R</t>
        </is>
      </c>
      <c r="P4" s="124" t="inlineStr">
        <is>
          <t>2T2R</t>
        </is>
      </c>
      <c r="Q4" s="124" t="inlineStr">
        <is>
          <t>4T4R</t>
        </is>
      </c>
      <c r="R4" s="146" t="n"/>
      <c r="S4" s="146" t="n"/>
      <c r="T4" s="146" t="n"/>
      <c r="U4" s="146" t="n"/>
      <c r="V4" s="146" t="n"/>
      <c r="W4" s="146" t="n"/>
      <c r="X4" s="103" t="inlineStr">
        <is>
          <t>S1</t>
        </is>
      </c>
      <c r="Y4" s="103" t="inlineStr">
        <is>
          <t>S2</t>
        </is>
      </c>
      <c r="Z4" s="103" t="inlineStr">
        <is>
          <t>S3</t>
        </is>
      </c>
      <c r="AA4" s="103" t="inlineStr">
        <is>
          <t>S4</t>
        </is>
      </c>
      <c r="AB4" s="103" t="inlineStr">
        <is>
          <t>S1</t>
        </is>
      </c>
      <c r="AC4" s="103" t="inlineStr">
        <is>
          <t>S2</t>
        </is>
      </c>
      <c r="AD4" s="103" t="inlineStr">
        <is>
          <t>S3</t>
        </is>
      </c>
      <c r="AE4" s="103" t="inlineStr">
        <is>
          <t>S4</t>
        </is>
      </c>
    </row>
    <row r="5" ht="13.5" customHeight="1" s="99">
      <c r="A5" s="112" t="inlineStr">
        <is>
          <t>BATNO</t>
        </is>
      </c>
      <c r="B5" s="113" t="inlineStr">
        <is>
          <t>B5/B7/N78</t>
        </is>
      </c>
      <c r="C5" s="113" t="inlineStr">
        <is>
          <t>B5/B7/N78 64T64R</t>
        </is>
      </c>
      <c r="D5" s="113" t="inlineStr">
        <is>
          <t>L2L</t>
        </is>
      </c>
      <c r="E5" s="114" t="inlineStr">
        <is>
          <t>ATR4518R13</t>
        </is>
      </c>
      <c r="F5" s="114" t="inlineStr">
        <is>
          <t>ATR4518R13</t>
        </is>
      </c>
      <c r="G5" s="112" t="n"/>
      <c r="H5" s="112" t="n"/>
      <c r="I5" s="112" t="n"/>
      <c r="J5" s="112" t="n"/>
      <c r="K5" s="112" t="n">
        <v>3</v>
      </c>
      <c r="L5" s="112" t="n"/>
      <c r="M5" s="125" t="n"/>
      <c r="N5" s="112" t="n"/>
      <c r="O5" s="112" t="n"/>
      <c r="P5" s="112" t="n"/>
      <c r="Q5" s="126" t="n">
        <v>3</v>
      </c>
      <c r="R5" s="132" t="n"/>
      <c r="S5" s="132" t="n"/>
      <c r="T5" s="132" t="n">
        <v>120</v>
      </c>
      <c r="U5" s="132" t="n"/>
      <c r="V5" s="132" t="n"/>
      <c r="W5" s="132" t="n">
        <v>240</v>
      </c>
      <c r="X5" s="112" t="n">
        <v>80</v>
      </c>
      <c r="Y5" s="112" t="n">
        <v>80</v>
      </c>
      <c r="Z5" s="112" t="n">
        <v>80</v>
      </c>
      <c r="AA5" s="112" t="n"/>
      <c r="AB5" s="125" t="n">
        <v>120</v>
      </c>
      <c r="AC5" s="125" t="n">
        <v>120</v>
      </c>
      <c r="AD5" s="125" t="n">
        <v>120</v>
      </c>
      <c r="AE5" s="125" t="inlineStr">
        <is>
          <t>-</t>
        </is>
      </c>
    </row>
    <row r="6" ht="13.5" customHeight="1" s="99">
      <c r="A6" s="112" t="inlineStr">
        <is>
          <t>BATUC</t>
        </is>
      </c>
      <c r="B6" s="113" t="inlineStr">
        <is>
          <t>B5/B7</t>
        </is>
      </c>
      <c r="C6" s="113" t="inlineStr">
        <is>
          <t>B5/B7</t>
        </is>
      </c>
      <c r="D6" s="113" t="inlineStr">
        <is>
          <t>L2L</t>
        </is>
      </c>
      <c r="E6" s="114" t="inlineStr">
        <is>
          <t>ATR4518R13</t>
        </is>
      </c>
      <c r="F6" s="114" t="inlineStr">
        <is>
          <t>ATR4518R13</t>
        </is>
      </c>
      <c r="G6" s="112" t="n"/>
      <c r="H6" s="112" t="n"/>
      <c r="I6" s="112" t="n"/>
      <c r="J6" s="112" t="n"/>
      <c r="K6" s="112" t="n"/>
      <c r="L6" s="112" t="n">
        <v>2</v>
      </c>
      <c r="M6" s="112" t="n"/>
      <c r="N6" s="112" t="n"/>
      <c r="O6" s="112" t="n"/>
      <c r="P6" s="112" t="n"/>
      <c r="Q6" s="112" t="n">
        <v>2</v>
      </c>
      <c r="R6" s="132" t="n"/>
      <c r="S6" s="132" t="n"/>
      <c r="T6" s="132" t="n">
        <v>320</v>
      </c>
      <c r="U6" s="132" t="n"/>
      <c r="V6" s="132" t="n"/>
      <c r="W6" s="132" t="n">
        <v>320</v>
      </c>
      <c r="X6" s="112" t="n">
        <v>80</v>
      </c>
      <c r="Y6" s="112" t="n">
        <v>80</v>
      </c>
      <c r="Z6" s="112" t="n"/>
      <c r="AA6" s="112" t="n"/>
      <c r="AB6" s="125" t="n">
        <v>100</v>
      </c>
      <c r="AC6" s="125" t="n">
        <v>100</v>
      </c>
      <c r="AD6" s="125" t="n">
        <v>0</v>
      </c>
      <c r="AE6" s="125" t="inlineStr">
        <is>
          <t>-</t>
        </is>
      </c>
    </row>
    <row r="7" ht="13.5" customHeight="1" s="99">
      <c r="A7" s="112" t="inlineStr">
        <is>
          <t>BATUF</t>
        </is>
      </c>
      <c r="B7" s="113" t="inlineStr">
        <is>
          <t>B28/B5/B2/B7</t>
        </is>
      </c>
      <c r="C7" s="113" t="inlineStr">
        <is>
          <t>B28/B5/B2/B7/N78 32T32R</t>
        </is>
      </c>
      <c r="D7" s="115" t="inlineStr">
        <is>
          <t>OVERLAY N78</t>
        </is>
      </c>
      <c r="E7" s="114" t="inlineStr">
        <is>
          <t>ODI2-065R16MJJ02-GQ V2</t>
        </is>
      </c>
      <c r="F7" s="114" t="inlineStr">
        <is>
          <t>ODI2-065R16MJJ02-GQ V2</t>
        </is>
      </c>
      <c r="G7" s="112" t="n">
        <v>3</v>
      </c>
      <c r="H7" s="112" t="n"/>
      <c r="I7" s="112" t="n"/>
      <c r="J7" s="112" t="n">
        <v>3</v>
      </c>
      <c r="K7" s="112" t="n"/>
      <c r="L7" s="112" t="n">
        <v>3</v>
      </c>
      <c r="M7" s="112" t="n"/>
      <c r="N7" s="126" t="n">
        <v>3</v>
      </c>
      <c r="O7" s="112" t="n">
        <v>3</v>
      </c>
      <c r="P7" s="112" t="n"/>
      <c r="Q7" s="112" t="n">
        <v>3</v>
      </c>
      <c r="R7" s="132" t="n">
        <v>60</v>
      </c>
      <c r="S7" s="132" t="n">
        <v>240</v>
      </c>
      <c r="T7" s="132" t="n">
        <v>240</v>
      </c>
      <c r="U7" s="132" t="n">
        <v>120</v>
      </c>
      <c r="V7" s="132" t="n">
        <v>240</v>
      </c>
      <c r="W7" s="132" t="n">
        <v>240</v>
      </c>
      <c r="X7" s="112" t="n">
        <v>50</v>
      </c>
      <c r="Y7" s="112" t="n">
        <v>50</v>
      </c>
      <c r="Z7" s="112" t="n">
        <v>50</v>
      </c>
      <c r="AA7" s="112" t="n"/>
      <c r="AB7" s="125" t="n">
        <v>100</v>
      </c>
      <c r="AC7" s="125" t="n">
        <v>100</v>
      </c>
      <c r="AD7" s="125" t="n">
        <v>100</v>
      </c>
      <c r="AE7" s="125" t="inlineStr">
        <is>
          <t>-</t>
        </is>
      </c>
    </row>
    <row r="8" ht="13.5" customHeight="1" s="99">
      <c r="A8" s="112" t="inlineStr">
        <is>
          <t>CFUCE</t>
        </is>
      </c>
      <c r="B8" s="113" t="inlineStr">
        <is>
          <t>B28/B5/B2/B7</t>
        </is>
      </c>
      <c r="C8" s="113" t="inlineStr">
        <is>
          <t>B28/B5/B2/B7</t>
        </is>
      </c>
      <c r="D8" s="113" t="inlineStr">
        <is>
          <t>L2L</t>
        </is>
      </c>
      <c r="E8" s="114" t="inlineStr">
        <is>
          <t>2G4WD-21A</t>
        </is>
      </c>
      <c r="F8" s="114" t="inlineStr">
        <is>
          <t>2G4WD-21A</t>
        </is>
      </c>
      <c r="G8" s="112" t="n">
        <v>3</v>
      </c>
      <c r="H8" s="112" t="n"/>
      <c r="I8" s="112" t="n"/>
      <c r="J8" s="112" t="n">
        <v>3</v>
      </c>
      <c r="K8" s="112" t="n"/>
      <c r="L8" s="112" t="n">
        <v>3</v>
      </c>
      <c r="M8" s="112" t="n"/>
      <c r="N8" s="126" t="n">
        <v>3</v>
      </c>
      <c r="O8" s="112" t="n">
        <v>3</v>
      </c>
      <c r="P8" s="112" t="n"/>
      <c r="Q8" s="112" t="n">
        <v>3</v>
      </c>
      <c r="R8" s="132" t="n">
        <v>60</v>
      </c>
      <c r="S8" s="132" t="n">
        <v>240</v>
      </c>
      <c r="T8" s="132" t="n">
        <v>240</v>
      </c>
      <c r="U8" s="132" t="n">
        <v>120</v>
      </c>
      <c r="V8" s="132" t="n">
        <v>240</v>
      </c>
      <c r="W8" s="132" t="n">
        <v>240</v>
      </c>
      <c r="X8" s="112" t="n">
        <v>70</v>
      </c>
      <c r="Y8" s="112" t="n">
        <v>70</v>
      </c>
      <c r="Z8" s="112" t="n">
        <v>70</v>
      </c>
      <c r="AA8" s="112" t="n"/>
      <c r="AB8" s="125" t="n">
        <v>100</v>
      </c>
      <c r="AC8" s="125" t="n">
        <v>100</v>
      </c>
      <c r="AD8" s="125" t="n">
        <v>100</v>
      </c>
      <c r="AE8" s="125" t="inlineStr">
        <is>
          <t>-</t>
        </is>
      </c>
    </row>
    <row r="9" ht="13.5" customHeight="1" s="99">
      <c r="A9" s="112" t="inlineStr">
        <is>
          <t>CLIPA</t>
        </is>
      </c>
      <c r="B9" s="113" t="inlineStr">
        <is>
          <t>B28/B5/B2/B7/N78</t>
        </is>
      </c>
      <c r="C9" s="113" t="inlineStr">
        <is>
          <t>B28/B5/B2/B7/N78 64T64R</t>
        </is>
      </c>
      <c r="D9" s="113" t="inlineStr">
        <is>
          <t>L2L</t>
        </is>
      </c>
      <c r="E9" s="114" t="inlineStr">
        <is>
          <t>ASI4517R3v06+ODP-065R17BV</t>
        </is>
      </c>
      <c r="F9" s="114" t="inlineStr">
        <is>
          <t>ASI4517R3v06+ODP-065R17BV</t>
        </is>
      </c>
      <c r="G9" s="112" t="n">
        <v>3</v>
      </c>
      <c r="H9" s="112" t="n"/>
      <c r="I9" s="112" t="n">
        <v>3</v>
      </c>
      <c r="J9" s="112" t="n"/>
      <c r="K9" s="112" t="n"/>
      <c r="L9" s="112" t="n">
        <v>3</v>
      </c>
      <c r="M9" s="112" t="n"/>
      <c r="N9" s="126" t="n">
        <v>3</v>
      </c>
      <c r="O9" s="126" t="n">
        <v>3</v>
      </c>
      <c r="P9" s="112" t="n"/>
      <c r="Q9" s="112" t="n">
        <v>3</v>
      </c>
      <c r="R9" s="132" t="n">
        <v>60</v>
      </c>
      <c r="S9" s="132" t="n">
        <v>120</v>
      </c>
      <c r="T9" s="132" t="n">
        <v>320</v>
      </c>
      <c r="U9" s="132" t="n">
        <v>120</v>
      </c>
      <c r="V9" s="132" t="n">
        <v>240</v>
      </c>
      <c r="W9" s="132" t="n">
        <v>320</v>
      </c>
      <c r="X9" s="112" t="n">
        <v>50</v>
      </c>
      <c r="Y9" s="112" t="n">
        <v>50</v>
      </c>
      <c r="Z9" s="112" t="n">
        <v>50</v>
      </c>
      <c r="AA9" s="112" t="n">
        <v>80</v>
      </c>
      <c r="AB9" s="125" t="n">
        <v>100</v>
      </c>
      <c r="AC9" s="125" t="n">
        <v>100</v>
      </c>
      <c r="AD9" s="125" t="n">
        <v>80</v>
      </c>
      <c r="AE9" s="125" t="inlineStr">
        <is>
          <t>-</t>
        </is>
      </c>
    </row>
    <row r="10" ht="13.5" customHeight="1" s="99">
      <c r="A10" s="112" t="inlineStr">
        <is>
          <t>COHUE</t>
        </is>
      </c>
      <c r="B10" s="113" t="inlineStr">
        <is>
          <t>B28/B5/B2/B7/N78</t>
        </is>
      </c>
      <c r="C10" s="113" t="inlineStr">
        <is>
          <t>B28/B5/B2/B7/N78 64T64R</t>
        </is>
      </c>
      <c r="D10" s="113" t="inlineStr">
        <is>
          <t>L2L</t>
        </is>
      </c>
      <c r="E10" s="114" t="inlineStr">
        <is>
          <t>2G4WD-21A</t>
        </is>
      </c>
      <c r="F10" s="114" t="inlineStr">
        <is>
          <t>2G4WD-21A</t>
        </is>
      </c>
      <c r="G10" s="112" t="n">
        <v>3</v>
      </c>
      <c r="H10" s="112" t="n"/>
      <c r="I10" s="112" t="n"/>
      <c r="J10" s="112" t="n">
        <v>3</v>
      </c>
      <c r="K10" s="112" t="n"/>
      <c r="L10" s="112" t="n">
        <v>2</v>
      </c>
      <c r="M10" s="112" t="n"/>
      <c r="N10" s="126" t="n">
        <v>3</v>
      </c>
      <c r="O10" s="112" t="n">
        <v>3</v>
      </c>
      <c r="P10" s="112" t="n"/>
      <c r="Q10" s="112" t="n">
        <v>2</v>
      </c>
      <c r="R10" s="132" t="n">
        <v>120</v>
      </c>
      <c r="S10" s="132" t="n">
        <v>240</v>
      </c>
      <c r="T10" s="132" t="n">
        <v>320</v>
      </c>
      <c r="U10" s="132" t="n">
        <v>240</v>
      </c>
      <c r="V10" s="132" t="n">
        <v>240</v>
      </c>
      <c r="W10" s="132" t="n">
        <v>320</v>
      </c>
      <c r="X10" s="112" t="n">
        <v>60</v>
      </c>
      <c r="Y10" s="112" t="n">
        <v>60</v>
      </c>
      <c r="Z10" s="112" t="n">
        <v>60</v>
      </c>
      <c r="AA10" s="112" t="n"/>
      <c r="AB10" s="125" t="n">
        <v>80</v>
      </c>
      <c r="AC10" s="125" t="n">
        <v>80</v>
      </c>
      <c r="AD10" s="125" t="n">
        <v>120</v>
      </c>
      <c r="AE10" s="125" t="inlineStr">
        <is>
          <t>-</t>
        </is>
      </c>
    </row>
    <row r="11" ht="13.5" customHeight="1" s="99">
      <c r="A11" s="112" t="inlineStr">
        <is>
          <t>COINP</t>
        </is>
      </c>
      <c r="B11" s="113" t="inlineStr">
        <is>
          <t>B5/B7/N78</t>
        </is>
      </c>
      <c r="C11" s="113" t="inlineStr">
        <is>
          <t>B5/B7/N78 64T64R</t>
        </is>
      </c>
      <c r="D11" s="113" t="inlineStr">
        <is>
          <t>L2L</t>
        </is>
      </c>
      <c r="E11" s="114" t="inlineStr">
        <is>
          <t>ASI4518R64v06</t>
        </is>
      </c>
      <c r="F11" s="114" t="inlineStr">
        <is>
          <t>ASI4518R64v06</t>
        </is>
      </c>
      <c r="G11" s="112" t="n"/>
      <c r="H11" s="112" t="n"/>
      <c r="I11" s="112" t="n"/>
      <c r="J11" s="112" t="n"/>
      <c r="K11" s="112" t="n"/>
      <c r="L11" s="112" t="n">
        <v>3</v>
      </c>
      <c r="M11" s="112" t="n"/>
      <c r="N11" s="112" t="n"/>
      <c r="O11" s="112" t="n"/>
      <c r="P11" s="112" t="n"/>
      <c r="Q11" s="112" t="n">
        <v>3</v>
      </c>
      <c r="R11" s="132" t="n"/>
      <c r="S11" s="132" t="n"/>
      <c r="T11" s="132" t="n">
        <v>480</v>
      </c>
      <c r="U11" s="132" t="n"/>
      <c r="V11" s="132" t="n"/>
      <c r="W11" s="132" t="n">
        <v>480</v>
      </c>
      <c r="X11" s="112" t="n">
        <v>80</v>
      </c>
      <c r="Y11" s="112" t="n">
        <v>80</v>
      </c>
      <c r="Z11" s="112" t="n">
        <v>80</v>
      </c>
      <c r="AA11" s="112" t="n"/>
      <c r="AB11" s="125" t="n">
        <v>100</v>
      </c>
      <c r="AC11" s="125" t="n">
        <v>100</v>
      </c>
      <c r="AD11" s="125" t="n">
        <v>100</v>
      </c>
      <c r="AE11" s="125" t="inlineStr">
        <is>
          <t>-</t>
        </is>
      </c>
    </row>
    <row r="12" ht="13.5" customHeight="1" s="99">
      <c r="A12" s="112" t="inlineStr">
        <is>
          <t>CPQG1</t>
        </is>
      </c>
      <c r="B12" s="113" t="inlineStr">
        <is>
          <t>B5/B7/N78</t>
        </is>
      </c>
      <c r="C12" s="113" t="inlineStr">
        <is>
          <t>B5/B7/N78 64T64R</t>
        </is>
      </c>
      <c r="D12" s="113" t="inlineStr">
        <is>
          <t>L2L</t>
        </is>
      </c>
      <c r="E12" s="114" t="inlineStr">
        <is>
          <t>APXV86-906513L+W2X-6516DS-VTM</t>
        </is>
      </c>
      <c r="F12" s="114" t="inlineStr">
        <is>
          <t>APXV86-906513L+W2X-6516DS-VTM</t>
        </is>
      </c>
      <c r="G12" s="112" t="n"/>
      <c r="H12" s="112" t="n"/>
      <c r="I12" s="112" t="n"/>
      <c r="J12" s="112" t="n"/>
      <c r="K12" s="112" t="n">
        <v>3</v>
      </c>
      <c r="L12" s="112" t="n"/>
      <c r="M12" s="112" t="n"/>
      <c r="N12" s="112" t="n"/>
      <c r="O12" s="112" t="n"/>
      <c r="P12" s="112" t="n">
        <v>3</v>
      </c>
      <c r="Q12" s="112" t="n"/>
      <c r="R12" s="132" t="n"/>
      <c r="S12" s="132" t="n"/>
      <c r="T12" s="132" t="n">
        <v>240</v>
      </c>
      <c r="U12" s="132" t="n"/>
      <c r="V12" s="132" t="n"/>
      <c r="W12" s="132" t="n">
        <v>240</v>
      </c>
      <c r="X12" s="112" t="n">
        <v>80</v>
      </c>
      <c r="Y12" s="112" t="n">
        <v>100</v>
      </c>
      <c r="Z12" s="112" t="n">
        <v>100</v>
      </c>
      <c r="AA12" s="112" t="n"/>
      <c r="AB12" s="125" t="n">
        <v>100</v>
      </c>
      <c r="AC12" s="125" t="n">
        <v>100</v>
      </c>
      <c r="AD12" s="125" t="n">
        <v>100</v>
      </c>
      <c r="AE12" s="125" t="inlineStr">
        <is>
          <t>-</t>
        </is>
      </c>
    </row>
    <row r="13" ht="13.5" customHeight="1" s="99">
      <c r="A13" s="112" t="inlineStr">
        <is>
          <t>CTREN</t>
        </is>
      </c>
      <c r="B13" s="113" t="inlineStr">
        <is>
          <t>B28/N78</t>
        </is>
      </c>
      <c r="C13" s="113" t="inlineStr">
        <is>
          <t>B28/B5/N78 64T64R</t>
        </is>
      </c>
      <c r="D13" s="115" t="inlineStr">
        <is>
          <t>OVERLAY B5</t>
        </is>
      </c>
      <c r="E13" s="114" t="inlineStr">
        <is>
          <t>ATR4518R13</t>
        </is>
      </c>
      <c r="F13" s="114" t="inlineStr">
        <is>
          <t>ATR4518R13</t>
        </is>
      </c>
      <c r="G13" s="112" t="n">
        <v>3</v>
      </c>
      <c r="H13" s="112" t="n"/>
      <c r="I13" s="112" t="n"/>
      <c r="J13" s="112" t="n"/>
      <c r="K13" s="112" t="n"/>
      <c r="L13" s="112" t="n"/>
      <c r="M13" s="112" t="n">
        <v>3</v>
      </c>
      <c r="N13" s="112" t="n"/>
      <c r="O13" s="112" t="n"/>
      <c r="P13" s="112" t="n"/>
      <c r="Q13" s="112" t="n"/>
      <c r="R13" s="132" t="n">
        <v>120</v>
      </c>
      <c r="S13" s="132" t="n"/>
      <c r="T13" s="132" t="n"/>
      <c r="U13" s="132" t="n">
        <v>120</v>
      </c>
      <c r="V13" s="132" t="n"/>
      <c r="W13" s="132" t="n"/>
      <c r="X13" s="112" t="n">
        <v>80</v>
      </c>
      <c r="Y13" s="112" t="n">
        <v>80</v>
      </c>
      <c r="Z13" s="112" t="n">
        <v>80</v>
      </c>
      <c r="AA13" s="112" t="n"/>
      <c r="AB13" s="125" t="inlineStr">
        <is>
          <t>-</t>
        </is>
      </c>
      <c r="AC13" s="125" t="inlineStr">
        <is>
          <t>-</t>
        </is>
      </c>
      <c r="AD13" s="125" t="inlineStr">
        <is>
          <t>-</t>
        </is>
      </c>
      <c r="AE13" s="125" t="inlineStr">
        <is>
          <t>-</t>
        </is>
      </c>
    </row>
    <row r="14" ht="13.5" customHeight="1" s="99">
      <c r="A14" s="112" t="inlineStr">
        <is>
          <t>DHLMF</t>
        </is>
      </c>
      <c r="B14" s="113" t="inlineStr">
        <is>
          <t>B28/B5/B2/B7/N78</t>
        </is>
      </c>
      <c r="C14" s="113" t="inlineStr">
        <is>
          <t>B28/B5/B2/B7/N78 64T64R</t>
        </is>
      </c>
      <c r="D14" s="113" t="inlineStr">
        <is>
          <t>L2L</t>
        </is>
      </c>
      <c r="E14" s="114" t="inlineStr">
        <is>
          <t>2G4WD-21A</t>
        </is>
      </c>
      <c r="F14" s="114" t="inlineStr">
        <is>
          <t>2G4WD-21A</t>
        </is>
      </c>
      <c r="G14" s="112" t="n">
        <v>3</v>
      </c>
      <c r="H14" s="112" t="n"/>
      <c r="I14" s="112" t="n"/>
      <c r="J14" s="112" t="n">
        <v>3</v>
      </c>
      <c r="K14" s="112" t="n"/>
      <c r="L14" s="112" t="n">
        <v>3</v>
      </c>
      <c r="M14" s="112" t="n"/>
      <c r="N14" s="126" t="n">
        <v>3</v>
      </c>
      <c r="O14" s="112" t="n">
        <v>3</v>
      </c>
      <c r="P14" s="112" t="n"/>
      <c r="Q14" s="112" t="n">
        <v>3</v>
      </c>
      <c r="R14" s="132" t="n">
        <v>120</v>
      </c>
      <c r="S14" s="132" t="n">
        <v>240</v>
      </c>
      <c r="T14" s="132" t="n">
        <v>480</v>
      </c>
      <c r="U14" s="132" t="n">
        <v>240</v>
      </c>
      <c r="V14" s="132" t="n">
        <v>240</v>
      </c>
      <c r="W14" s="132" t="n">
        <v>480</v>
      </c>
      <c r="X14" s="112" t="n">
        <v>60</v>
      </c>
      <c r="Y14" s="112" t="n">
        <v>60</v>
      </c>
      <c r="Z14" s="112" t="n">
        <v>60</v>
      </c>
      <c r="AA14" s="112" t="n"/>
      <c r="AB14" s="125" t="n">
        <v>80</v>
      </c>
      <c r="AC14" s="125" t="n">
        <v>80</v>
      </c>
      <c r="AD14" s="125" t="n">
        <v>80</v>
      </c>
      <c r="AE14" s="125" t="inlineStr">
        <is>
          <t>-</t>
        </is>
      </c>
    </row>
    <row r="15" ht="13.5" customHeight="1" s="99">
      <c r="A15" s="112" t="inlineStr">
        <is>
          <t>DHUEF</t>
        </is>
      </c>
      <c r="B15" s="113" t="inlineStr">
        <is>
          <t>B28/B5/B2/B7/N78</t>
        </is>
      </c>
      <c r="C15" s="113" t="inlineStr">
        <is>
          <t>B28/B5/B2/B7/N78 64T64R</t>
        </is>
      </c>
      <c r="D15" s="113" t="inlineStr">
        <is>
          <t>L2L</t>
        </is>
      </c>
      <c r="E15" s="114" t="inlineStr">
        <is>
          <t>ASI4517R3v06</t>
        </is>
      </c>
      <c r="F15" s="114" t="inlineStr">
        <is>
          <t>ASI4517R3v06</t>
        </is>
      </c>
      <c r="G15" s="112" t="n">
        <v>3</v>
      </c>
      <c r="H15" s="112" t="n"/>
      <c r="I15" s="112" t="n">
        <v>3</v>
      </c>
      <c r="J15" s="112" t="n"/>
      <c r="K15" s="112" t="n"/>
      <c r="L15" s="112" t="n">
        <v>3</v>
      </c>
      <c r="M15" s="112" t="n"/>
      <c r="N15" s="126" t="n">
        <v>3</v>
      </c>
      <c r="O15" s="126" t="n">
        <v>3</v>
      </c>
      <c r="P15" s="112" t="n"/>
      <c r="Q15" s="112" t="n">
        <v>3</v>
      </c>
      <c r="R15" s="132" t="n">
        <v>120</v>
      </c>
      <c r="S15" s="132" t="n">
        <v>240</v>
      </c>
      <c r="T15" s="132" t="n">
        <v>480</v>
      </c>
      <c r="U15" s="132" t="n">
        <v>240</v>
      </c>
      <c r="V15" s="132" t="n">
        <v>480</v>
      </c>
      <c r="W15" s="132" t="n">
        <v>480</v>
      </c>
      <c r="X15" s="112" t="n">
        <v>60</v>
      </c>
      <c r="Y15" s="112" t="n">
        <v>60</v>
      </c>
      <c r="Z15" s="112" t="n">
        <v>60</v>
      </c>
      <c r="AA15" s="112" t="n"/>
      <c r="AB15" s="125" t="n">
        <v>60</v>
      </c>
      <c r="AC15" s="125" t="n">
        <v>60</v>
      </c>
      <c r="AD15" s="125" t="n">
        <v>60</v>
      </c>
      <c r="AE15" s="125" t="inlineStr">
        <is>
          <t>-</t>
        </is>
      </c>
    </row>
    <row r="16" ht="13.5" customHeight="1" s="99">
      <c r="A16" s="112" t="inlineStr">
        <is>
          <t>JBALI</t>
        </is>
      </c>
      <c r="B16" s="113" t="inlineStr">
        <is>
          <t>B28/B5/B2/B7</t>
        </is>
      </c>
      <c r="C16" s="113" t="inlineStr">
        <is>
          <t>B28/B5/B2/B7</t>
        </is>
      </c>
      <c r="D16" s="113" t="inlineStr">
        <is>
          <t>L2L</t>
        </is>
      </c>
      <c r="E16" s="114" t="inlineStr">
        <is>
          <t>2G4WD-21A</t>
        </is>
      </c>
      <c r="F16" s="114" t="inlineStr">
        <is>
          <t>2G4WD-21A</t>
        </is>
      </c>
      <c r="G16" s="112" t="n">
        <v>3</v>
      </c>
      <c r="H16" s="112" t="n"/>
      <c r="I16" s="112" t="n"/>
      <c r="J16" s="112" t="n">
        <v>3</v>
      </c>
      <c r="K16" s="112" t="n"/>
      <c r="L16" s="112" t="n">
        <v>3</v>
      </c>
      <c r="M16" s="112" t="n"/>
      <c r="N16" s="126" t="n">
        <v>3</v>
      </c>
      <c r="O16" s="112" t="n">
        <v>3</v>
      </c>
      <c r="P16" s="112" t="n"/>
      <c r="Q16" s="112" t="n">
        <v>3</v>
      </c>
      <c r="R16" s="132" t="n">
        <v>60</v>
      </c>
      <c r="S16" s="132" t="n">
        <v>240</v>
      </c>
      <c r="T16" s="132" t="n">
        <v>480</v>
      </c>
      <c r="U16" s="132" t="n">
        <v>120</v>
      </c>
      <c r="V16" s="132" t="n">
        <v>240</v>
      </c>
      <c r="W16" s="132" t="n">
        <v>480</v>
      </c>
      <c r="X16" s="112" t="n">
        <v>70</v>
      </c>
      <c r="Y16" s="112" t="n">
        <v>70</v>
      </c>
      <c r="Z16" s="112" t="n">
        <v>70</v>
      </c>
      <c r="AA16" s="112" t="n"/>
      <c r="AB16" s="125" t="n">
        <v>80</v>
      </c>
      <c r="AC16" s="125" t="n">
        <v>80</v>
      </c>
      <c r="AD16" s="125" t="n">
        <v>80</v>
      </c>
      <c r="AE16" s="125" t="inlineStr">
        <is>
          <t>-</t>
        </is>
      </c>
    </row>
    <row r="17" ht="13.5" customHeight="1" s="99">
      <c r="A17" s="112" t="inlineStr">
        <is>
          <t>LAMP2</t>
        </is>
      </c>
      <c r="B17" s="113" t="inlineStr">
        <is>
          <t>B28/B5/B2/B7</t>
        </is>
      </c>
      <c r="C17" s="113" t="inlineStr">
        <is>
          <t>B28/B5/B2/B7/N78 32T32R</t>
        </is>
      </c>
      <c r="D17" s="115" t="inlineStr">
        <is>
          <t>OVERLAY N78</t>
        </is>
      </c>
      <c r="E17" s="114" t="inlineStr">
        <is>
          <t>FASC_087623A</t>
        </is>
      </c>
      <c r="F17" s="116" t="inlineStr">
        <is>
          <t>New Antennna</t>
        </is>
      </c>
      <c r="G17" s="112" t="n">
        <v>3</v>
      </c>
      <c r="H17" s="112" t="n"/>
      <c r="I17" s="112" t="n"/>
      <c r="J17" s="112" t="n">
        <v>3</v>
      </c>
      <c r="K17" s="112" t="n">
        <v>3</v>
      </c>
      <c r="L17" s="112" t="n"/>
      <c r="M17" s="112" t="n"/>
      <c r="N17" s="126" t="n">
        <v>3</v>
      </c>
      <c r="O17" s="112" t="n">
        <v>3</v>
      </c>
      <c r="P17" s="112" t="n"/>
      <c r="Q17" s="126" t="n">
        <v>3</v>
      </c>
      <c r="R17" s="132" t="n">
        <v>60</v>
      </c>
      <c r="S17" s="132" t="n">
        <v>240</v>
      </c>
      <c r="T17" s="132" t="n">
        <v>240</v>
      </c>
      <c r="U17" s="132" t="n">
        <v>120</v>
      </c>
      <c r="V17" s="132" t="n">
        <v>240</v>
      </c>
      <c r="W17" s="132" t="n">
        <v>480</v>
      </c>
      <c r="X17" s="112" t="n">
        <v>70</v>
      </c>
      <c r="Y17" s="112" t="n">
        <v>70</v>
      </c>
      <c r="Z17" s="112" t="n">
        <v>70</v>
      </c>
      <c r="AA17" s="112" t="n"/>
      <c r="AB17" s="125" t="n">
        <v>80</v>
      </c>
      <c r="AC17" s="125" t="n">
        <v>80</v>
      </c>
      <c r="AD17" s="125" t="n">
        <v>80</v>
      </c>
      <c r="AE17" s="125" t="inlineStr">
        <is>
          <t>-</t>
        </is>
      </c>
    </row>
    <row r="18" ht="13.5" customHeight="1" s="99">
      <c r="A18" s="112" t="inlineStr">
        <is>
          <t>LARAL</t>
        </is>
      </c>
      <c r="B18" s="113" t="inlineStr">
        <is>
          <t>B28/B5/B2/B7</t>
        </is>
      </c>
      <c r="C18" s="113" t="inlineStr">
        <is>
          <t>B28/B5/B2/B7</t>
        </is>
      </c>
      <c r="D18" s="113" t="inlineStr">
        <is>
          <t>L2L</t>
        </is>
      </c>
      <c r="E18" s="114" t="inlineStr">
        <is>
          <t>2G4WD-21A</t>
        </is>
      </c>
      <c r="F18" s="114" t="inlineStr">
        <is>
          <t>2G4WD-21A</t>
        </is>
      </c>
      <c r="G18" s="112" t="n">
        <v>3</v>
      </c>
      <c r="H18" s="112" t="n"/>
      <c r="I18" s="112" t="n"/>
      <c r="J18" s="112" t="n">
        <v>3</v>
      </c>
      <c r="K18" s="112" t="n"/>
      <c r="L18" s="112" t="n">
        <v>4</v>
      </c>
      <c r="M18" s="112" t="n"/>
      <c r="N18" s="126" t="n">
        <v>3</v>
      </c>
      <c r="O18" s="112" t="n">
        <v>3</v>
      </c>
      <c r="P18" s="112" t="n"/>
      <c r="Q18" s="112" t="n">
        <v>4</v>
      </c>
      <c r="R18" s="132" t="n">
        <v>60</v>
      </c>
      <c r="S18" s="132" t="n">
        <v>240</v>
      </c>
      <c r="T18" s="132" t="n">
        <v>640</v>
      </c>
      <c r="U18" s="132" t="n">
        <v>120</v>
      </c>
      <c r="V18" s="132" t="n">
        <v>240</v>
      </c>
      <c r="W18" s="132" t="n">
        <v>640</v>
      </c>
      <c r="X18" s="112" t="n">
        <v>70</v>
      </c>
      <c r="Y18" s="112" t="n">
        <v>70</v>
      </c>
      <c r="Z18" s="112" t="n">
        <v>70</v>
      </c>
      <c r="AA18" s="112" t="n"/>
      <c r="AB18" s="125" t="n">
        <v>80</v>
      </c>
      <c r="AC18" s="125" t="n">
        <v>80</v>
      </c>
      <c r="AD18" s="125" t="n">
        <v>80</v>
      </c>
      <c r="AE18" s="125" t="n">
        <v>100</v>
      </c>
    </row>
    <row r="19" ht="13.5" customHeight="1" s="99">
      <c r="A19" s="112" t="inlineStr">
        <is>
          <t>LARIB</t>
        </is>
      </c>
      <c r="B19" s="113" t="inlineStr">
        <is>
          <t>B28/B5/B2/B7</t>
        </is>
      </c>
      <c r="C19" s="113" t="inlineStr">
        <is>
          <t>B28/B5/B2/B7/N78 32T32R</t>
        </is>
      </c>
      <c r="D19" s="115" t="inlineStr">
        <is>
          <t>OVERLAY N78</t>
        </is>
      </c>
      <c r="E19" s="114" t="inlineStr">
        <is>
          <t>ODI-065R16MM18JJJ-GQ</t>
        </is>
      </c>
      <c r="F19" s="114" t="inlineStr">
        <is>
          <t>ODI-065R16MM18JJJ-GQ</t>
        </is>
      </c>
      <c r="G19" s="112" t="n">
        <v>3</v>
      </c>
      <c r="H19" s="112" t="n"/>
      <c r="I19" s="112" t="n"/>
      <c r="J19" s="112" t="n">
        <v>3</v>
      </c>
      <c r="K19" s="112" t="n">
        <v>3</v>
      </c>
      <c r="L19" s="112" t="n"/>
      <c r="M19" s="112" t="n"/>
      <c r="N19" s="126" t="n">
        <v>3</v>
      </c>
      <c r="O19" s="112" t="n">
        <v>3</v>
      </c>
      <c r="P19" s="112" t="n"/>
      <c r="Q19" s="126" t="n">
        <v>3</v>
      </c>
      <c r="R19" s="132" t="n">
        <v>60</v>
      </c>
      <c r="S19" s="132" t="n">
        <v>320</v>
      </c>
      <c r="T19" s="132" t="n">
        <v>240</v>
      </c>
      <c r="U19" s="132" t="n">
        <v>120</v>
      </c>
      <c r="V19" s="132" t="n">
        <v>320</v>
      </c>
      <c r="W19" s="132" t="n">
        <v>480</v>
      </c>
      <c r="X19" s="112" t="n">
        <v>70</v>
      </c>
      <c r="Y19" s="112" t="n">
        <v>70</v>
      </c>
      <c r="Z19" s="112" t="n">
        <v>70</v>
      </c>
      <c r="AA19" s="112" t="n"/>
      <c r="AB19" s="125" t="n">
        <v>60</v>
      </c>
      <c r="AC19" s="125" t="n">
        <v>80</v>
      </c>
      <c r="AD19" s="125" t="n">
        <v>80</v>
      </c>
      <c r="AE19" s="125" t="inlineStr">
        <is>
          <t>-</t>
        </is>
      </c>
    </row>
    <row r="20" ht="13.5" customHeight="1" s="99">
      <c r="A20" s="112" t="inlineStr">
        <is>
          <t>LMPF2</t>
        </is>
      </c>
      <c r="B20" s="113" t="inlineStr">
        <is>
          <t>B28/B5/B2/B7</t>
        </is>
      </c>
      <c r="C20" s="113" t="inlineStr">
        <is>
          <t>B28/B5/B2/B7/N78 32T32R</t>
        </is>
      </c>
      <c r="D20" s="115" t="inlineStr">
        <is>
          <t>OVERLAY N78</t>
        </is>
      </c>
      <c r="E20" s="114" t="inlineStr">
        <is>
          <t>ASI4517R3v06</t>
        </is>
      </c>
      <c r="F20" s="114" t="inlineStr">
        <is>
          <t>ASI4517R3v06</t>
        </is>
      </c>
      <c r="G20" s="112" t="n">
        <v>3</v>
      </c>
      <c r="H20" s="112" t="n"/>
      <c r="I20" s="112" t="n"/>
      <c r="J20" s="112" t="n">
        <v>3</v>
      </c>
      <c r="K20" s="112" t="n"/>
      <c r="L20" s="112" t="n">
        <v>3</v>
      </c>
      <c r="M20" s="112" t="n"/>
      <c r="N20" s="126" t="n">
        <v>3</v>
      </c>
      <c r="O20" s="112" t="n">
        <v>3</v>
      </c>
      <c r="P20" s="112" t="n"/>
      <c r="Q20" s="112" t="n">
        <v>3</v>
      </c>
      <c r="R20" s="132" t="n">
        <v>60</v>
      </c>
      <c r="S20" s="132" t="n">
        <v>240</v>
      </c>
      <c r="T20" s="132" t="n">
        <v>480</v>
      </c>
      <c r="U20" s="132" t="n">
        <v>120</v>
      </c>
      <c r="V20" s="132" t="n">
        <v>240</v>
      </c>
      <c r="W20" s="132" t="n">
        <v>480</v>
      </c>
      <c r="X20" s="112" t="n">
        <v>50</v>
      </c>
      <c r="Y20" s="112" t="n">
        <v>50</v>
      </c>
      <c r="Z20" s="112" t="n">
        <v>50</v>
      </c>
      <c r="AA20" s="112" t="n"/>
      <c r="AB20" s="125" t="n">
        <v>80</v>
      </c>
      <c r="AC20" s="125" t="n">
        <v>80</v>
      </c>
      <c r="AD20" s="125" t="n">
        <v>80</v>
      </c>
      <c r="AE20" s="125" t="inlineStr">
        <is>
          <t>-</t>
        </is>
      </c>
    </row>
    <row r="21" ht="13.5" customHeight="1" s="99">
      <c r="A21" s="112" t="inlineStr">
        <is>
          <t>LOMIA</t>
        </is>
      </c>
      <c r="B21" s="113" t="inlineStr">
        <is>
          <t>B28/B5/B2/B7/N78</t>
        </is>
      </c>
      <c r="C21" s="113" t="inlineStr">
        <is>
          <t>B28/B5/B2/B7/N78 64T64R</t>
        </is>
      </c>
      <c r="D21" s="113" t="inlineStr">
        <is>
          <t>L2L</t>
        </is>
      </c>
      <c r="E21" s="114" t="inlineStr">
        <is>
          <t>ASI4517R3v06</t>
        </is>
      </c>
      <c r="F21" s="114" t="inlineStr">
        <is>
          <t>ASI4517R3v06</t>
        </is>
      </c>
      <c r="G21" s="112" t="n">
        <v>3</v>
      </c>
      <c r="H21" s="112" t="n"/>
      <c r="I21" s="112" t="n"/>
      <c r="J21" s="112" t="n">
        <v>3</v>
      </c>
      <c r="K21" s="112" t="n"/>
      <c r="L21" s="112" t="n">
        <v>3</v>
      </c>
      <c r="M21" s="112" t="n"/>
      <c r="N21" s="126" t="n">
        <v>3</v>
      </c>
      <c r="O21" s="112" t="n">
        <v>3</v>
      </c>
      <c r="P21" s="112" t="n"/>
      <c r="Q21" s="112" t="n">
        <v>3</v>
      </c>
      <c r="R21" s="132" t="n">
        <v>120</v>
      </c>
      <c r="S21" s="132" t="n">
        <v>240</v>
      </c>
      <c r="T21" s="132" t="n">
        <v>480</v>
      </c>
      <c r="U21" s="132" t="n">
        <v>240</v>
      </c>
      <c r="V21" s="132" t="n">
        <v>240</v>
      </c>
      <c r="W21" s="132" t="n">
        <v>480</v>
      </c>
      <c r="X21" s="112" t="n">
        <v>60</v>
      </c>
      <c r="Y21" s="112" t="n">
        <v>60</v>
      </c>
      <c r="Z21" s="112" t="n">
        <v>60</v>
      </c>
      <c r="AA21" s="112" t="n"/>
      <c r="AB21" s="125" t="n">
        <v>80</v>
      </c>
      <c r="AC21" s="125" t="n">
        <v>80</v>
      </c>
      <c r="AD21" s="125" t="n">
        <v>80</v>
      </c>
      <c r="AE21" s="125" t="inlineStr">
        <is>
          <t>-</t>
        </is>
      </c>
    </row>
    <row r="22" ht="13.5" customHeight="1" s="99">
      <c r="A22" s="112" t="inlineStr">
        <is>
          <t>OLIBA</t>
        </is>
      </c>
      <c r="B22" s="113" t="inlineStr">
        <is>
          <t>B28/B5</t>
        </is>
      </c>
      <c r="C22" s="113" t="inlineStr">
        <is>
          <t>B28/B5</t>
        </is>
      </c>
      <c r="D22" s="113" t="inlineStr">
        <is>
          <t>L2L</t>
        </is>
      </c>
      <c r="E22" s="114" t="inlineStr">
        <is>
          <t>2G4WD-21A</t>
        </is>
      </c>
      <c r="F22" s="114" t="inlineStr">
        <is>
          <t>2G4WD-21A</t>
        </is>
      </c>
      <c r="G22" s="112" t="n">
        <v>2</v>
      </c>
      <c r="H22" s="112" t="n"/>
      <c r="I22" s="112" t="n"/>
      <c r="J22" s="112" t="n"/>
      <c r="K22" s="112" t="n"/>
      <c r="L22" s="112" t="n"/>
      <c r="M22" s="112" t="n"/>
      <c r="N22" s="112" t="n">
        <v>2</v>
      </c>
      <c r="O22" s="112" t="n"/>
      <c r="P22" s="112" t="n"/>
      <c r="Q22" s="112" t="n"/>
      <c r="R22" s="132" t="n">
        <v>80</v>
      </c>
      <c r="S22" s="132" t="n"/>
      <c r="T22" s="132" t="n"/>
      <c r="U22" s="132" t="n">
        <v>160</v>
      </c>
      <c r="V22" s="132" t="n"/>
      <c r="W22" s="132" t="n"/>
      <c r="X22" s="112" t="n">
        <v>60</v>
      </c>
      <c r="Y22" s="112" t="n">
        <v>60</v>
      </c>
      <c r="Z22" s="112" t="n"/>
      <c r="AA22" s="112" t="n"/>
      <c r="AB22" s="125" t="inlineStr">
        <is>
          <t>-</t>
        </is>
      </c>
      <c r="AC22" s="125" t="inlineStr">
        <is>
          <t>-</t>
        </is>
      </c>
      <c r="AD22" s="125" t="inlineStr">
        <is>
          <t>-</t>
        </is>
      </c>
      <c r="AE22" s="125" t="inlineStr">
        <is>
          <t>-</t>
        </is>
      </c>
    </row>
    <row r="23" ht="13.5" customHeight="1" s="99">
      <c r="A23" s="112" t="inlineStr">
        <is>
          <t>RIFLO</t>
        </is>
      </c>
      <c r="B23" s="113" t="inlineStr">
        <is>
          <t>B5/B7/N78</t>
        </is>
      </c>
      <c r="C23" s="113" t="inlineStr">
        <is>
          <t>B5/B7/N78 64T64R</t>
        </is>
      </c>
      <c r="D23" s="113" t="inlineStr">
        <is>
          <t>L2L</t>
        </is>
      </c>
      <c r="E23" s="114" t="inlineStr">
        <is>
          <t>ASI4518R64v06</t>
        </is>
      </c>
      <c r="F23" s="114" t="inlineStr">
        <is>
          <t>ASI4518R64v06</t>
        </is>
      </c>
      <c r="G23" s="112" t="n"/>
      <c r="H23" s="112" t="n"/>
      <c r="I23" s="112" t="n"/>
      <c r="J23" s="112" t="n"/>
      <c r="K23" s="112" t="n"/>
      <c r="L23" s="112" t="n">
        <v>3</v>
      </c>
      <c r="M23" s="112" t="n"/>
      <c r="N23" s="112" t="n"/>
      <c r="O23" s="112" t="n"/>
      <c r="P23" s="112" t="n"/>
      <c r="Q23" s="112" t="n">
        <v>3</v>
      </c>
      <c r="R23" s="132" t="n"/>
      <c r="S23" s="132" t="n"/>
      <c r="T23" s="132" t="n">
        <v>480</v>
      </c>
      <c r="U23" s="132" t="n"/>
      <c r="V23" s="132" t="n"/>
      <c r="W23" s="132" t="n">
        <v>480</v>
      </c>
      <c r="X23" s="112" t="n">
        <v>80</v>
      </c>
      <c r="Y23" s="112" t="n">
        <v>80</v>
      </c>
      <c r="Z23" s="112" t="n">
        <v>80</v>
      </c>
      <c r="AA23" s="112" t="n"/>
      <c r="AB23" s="125" t="n">
        <v>100</v>
      </c>
      <c r="AC23" s="125" t="n">
        <v>100</v>
      </c>
      <c r="AD23" s="125" t="n">
        <v>100</v>
      </c>
      <c r="AE23" s="125" t="inlineStr">
        <is>
          <t>-</t>
        </is>
      </c>
    </row>
    <row r="24" ht="13.5" customHeight="1" s="99">
      <c r="A24" s="112" t="inlineStr">
        <is>
          <t>VNCRZ</t>
        </is>
      </c>
      <c r="B24" s="113" t="inlineStr">
        <is>
          <t>B28/B5/B2/B7/N78</t>
        </is>
      </c>
      <c r="C24" s="113" t="inlineStr">
        <is>
          <t>B28/B5/B2/B7/N78 64T64R</t>
        </is>
      </c>
      <c r="D24" s="113" t="inlineStr">
        <is>
          <t>L2L</t>
        </is>
      </c>
      <c r="E24" s="114" t="n">
        <v>80010991</v>
      </c>
      <c r="F24" s="114" t="n">
        <v>80010991</v>
      </c>
      <c r="G24" s="112" t="n">
        <v>3</v>
      </c>
      <c r="H24" s="112" t="n">
        <v>3</v>
      </c>
      <c r="I24" s="112" t="n"/>
      <c r="J24" s="112" t="n"/>
      <c r="K24" s="112" t="n"/>
      <c r="L24" s="112" t="n">
        <v>3</v>
      </c>
      <c r="M24" s="112" t="n"/>
      <c r="N24" s="126" t="n">
        <v>3</v>
      </c>
      <c r="O24" s="126" t="n">
        <v>3</v>
      </c>
      <c r="P24" s="112" t="n"/>
      <c r="Q24" s="112" t="n">
        <v>3</v>
      </c>
      <c r="R24" s="132" t="n">
        <v>120</v>
      </c>
      <c r="S24" s="132" t="n">
        <v>120</v>
      </c>
      <c r="T24" s="132" t="n">
        <v>480</v>
      </c>
      <c r="U24" s="132" t="n">
        <v>240</v>
      </c>
      <c r="V24" s="132" t="n">
        <v>480</v>
      </c>
      <c r="W24" s="132" t="n">
        <v>480</v>
      </c>
      <c r="X24" s="112" t="n">
        <v>60</v>
      </c>
      <c r="Y24" s="112" t="n">
        <v>60</v>
      </c>
      <c r="Z24" s="112" t="n">
        <v>60</v>
      </c>
      <c r="AA24" s="112" t="n"/>
      <c r="AB24" s="125" t="n">
        <v>60</v>
      </c>
      <c r="AC24" s="125" t="n">
        <v>60</v>
      </c>
      <c r="AD24" s="125" t="n">
        <v>60</v>
      </c>
      <c r="AE24" s="125" t="inlineStr">
        <is>
          <t>-</t>
        </is>
      </c>
    </row>
    <row r="33" ht="13.5" customHeight="1" s="99">
      <c r="E33" s="117" t="n"/>
      <c r="F33" s="118" t="n"/>
      <c r="G33" s="118" t="n"/>
      <c r="H33" s="118" t="n"/>
      <c r="I33" s="118" t="n"/>
      <c r="J33" s="118" t="n"/>
      <c r="K33" s="118" t="n"/>
    </row>
    <row r="34" ht="14.25" customHeight="1" s="99">
      <c r="E34" s="118" t="n"/>
      <c r="F34" s="118" t="n"/>
      <c r="G34" s="118" t="n"/>
      <c r="H34" s="118" t="n"/>
      <c r="I34" s="118" t="n"/>
      <c r="J34" s="118" t="n"/>
      <c r="K34" s="118" t="n"/>
    </row>
    <row r="35" ht="57.75" customHeight="1" s="99">
      <c r="E35" s="119" t="inlineStr">
        <is>
          <t>Band</t>
        </is>
      </c>
      <c r="F35" s="119" t="inlineStr">
        <is>
          <t>现网站点</t>
        </is>
      </c>
      <c r="G35" s="119" t="inlineStr">
        <is>
          <t>现网4T4R数量</t>
        </is>
      </c>
      <c r="H35" s="119" t="inlineStr">
        <is>
          <t>现网4T4R占比</t>
        </is>
      </c>
      <c r="I35" s="119" t="inlineStr">
        <is>
          <t>替换后站点</t>
        </is>
      </c>
      <c r="J35" s="119" t="inlineStr">
        <is>
          <t>替换后4T4R数量</t>
        </is>
      </c>
      <c r="K35" s="119" t="inlineStr">
        <is>
          <t>替换后4T4R占比</t>
        </is>
      </c>
    </row>
    <row r="36" ht="15" customHeight="1" s="99">
      <c r="E36" s="119" t="inlineStr">
        <is>
          <t>700M</t>
        </is>
      </c>
      <c r="F36" s="119" t="n">
        <v>383</v>
      </c>
      <c r="G36" s="119" t="n">
        <v>0</v>
      </c>
      <c r="H36" s="120" t="n">
        <v>0</v>
      </c>
      <c r="I36" s="119" t="n">
        <v>398</v>
      </c>
      <c r="J36" s="119" t="n">
        <v>271</v>
      </c>
      <c r="K36" s="120" t="n">
        <v>0.68</v>
      </c>
    </row>
    <row r="37" ht="15" customHeight="1" s="99">
      <c r="E37" s="119" t="inlineStr">
        <is>
          <t>1900M</t>
        </is>
      </c>
      <c r="F37" s="119" t="n">
        <v>288</v>
      </c>
      <c r="G37" s="119" t="n">
        <v>194</v>
      </c>
      <c r="H37" s="120" t="n">
        <v>0.67</v>
      </c>
      <c r="I37" s="119" t="n">
        <v>313</v>
      </c>
      <c r="J37" s="119" t="n">
        <v>308</v>
      </c>
      <c r="K37" s="120" t="n">
        <v>0.98</v>
      </c>
    </row>
    <row r="38" ht="15" customHeight="1" s="99">
      <c r="E38" s="119" t="inlineStr">
        <is>
          <t>2600M</t>
        </is>
      </c>
      <c r="F38" s="119" t="n">
        <v>641</v>
      </c>
      <c r="G38" s="119" t="n">
        <v>180</v>
      </c>
      <c r="H38" s="120" t="n">
        <v>0.28</v>
      </c>
      <c r="I38" s="119" t="n">
        <v>651</v>
      </c>
      <c r="J38" s="119" t="n">
        <v>524</v>
      </c>
      <c r="K38" s="120" t="n">
        <v>0.8</v>
      </c>
    </row>
    <row r="39" ht="13.5" customHeight="1" s="99">
      <c r="E39" s="118" t="n"/>
      <c r="F39" s="118" t="n"/>
      <c r="G39" s="118" t="n"/>
      <c r="H39" s="118" t="n"/>
      <c r="I39" s="118" t="n"/>
      <c r="J39" s="118" t="n"/>
      <c r="K39" s="118" t="n"/>
    </row>
    <row r="40" ht="13.5" customHeight="1" s="99">
      <c r="E40" s="117" t="n"/>
      <c r="F40" s="118" t="n"/>
      <c r="G40" s="118" t="n"/>
      <c r="H40" s="118" t="n"/>
      <c r="I40" s="118" t="n"/>
      <c r="J40" s="118" t="n"/>
      <c r="K40" s="118" t="n"/>
    </row>
  </sheetData>
  <autoFilter ref="A4:AE24"/>
  <mergeCells count="27">
    <mergeCell ref="U2:W2"/>
    <mergeCell ref="E2:E4"/>
    <mergeCell ref="B1:D1"/>
    <mergeCell ref="C2:C4"/>
    <mergeCell ref="A1:A4"/>
    <mergeCell ref="M2:Q2"/>
    <mergeCell ref="E1:F1"/>
    <mergeCell ref="U3:U4"/>
    <mergeCell ref="W3:W4"/>
    <mergeCell ref="H3:J3"/>
    <mergeCell ref="AB2:AE3"/>
    <mergeCell ref="R2:T2"/>
    <mergeCell ref="R3:R4"/>
    <mergeCell ref="T3:T4"/>
    <mergeCell ref="M3:N3"/>
    <mergeCell ref="B2:B4"/>
    <mergeCell ref="R1:W1"/>
    <mergeCell ref="D2:D4"/>
    <mergeCell ref="P3:Q3"/>
    <mergeCell ref="G2:L2"/>
    <mergeCell ref="X1:AE1"/>
    <mergeCell ref="F2:F4"/>
    <mergeCell ref="V3:V4"/>
    <mergeCell ref="G1:Q1"/>
    <mergeCell ref="S3:S4"/>
    <mergeCell ref="X2:AA3"/>
    <mergeCell ref="K3:L3"/>
  </mergeCells>
  <pageMargins left="0.747916666666667" right="0.747916666666667" top="0.9840277777777779" bottom="0.9840277777777779" header="0.511805555555556" footer="0.511805555555556"/>
  <pageSetup orientation="portrait" paperSize="9" horizontalDpi="600"/>
  <headerFooter alignWithMargins="0">
    <oddHeader>&amp;L&amp;"Times New Roman"&amp;B&amp;G&amp;R内部使用▲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C3"/>
  <sheetViews>
    <sheetView workbookViewId="0">
      <pane ySplit="1" topLeftCell="A2" activePane="bottomLeft" state="frozen"/>
      <selection activeCell="A1" sqref="A1"/>
      <selection pane="bottomLeft" activeCell="B6" sqref="B6"/>
    </sheetView>
  </sheetViews>
  <sheetFormatPr baseColWidth="8" defaultColWidth="9.81904761904762" defaultRowHeight="12" outlineLevelRow="2"/>
  <cols>
    <col width="9.81904761904762" customWidth="1" style="65" min="1" max="1"/>
    <col width="51.0952380952381" customWidth="1" style="65" min="2" max="2"/>
    <col width="23.3619047619048" customWidth="1" style="65" min="3" max="3"/>
    <col width="9.81904761904762" customWidth="1" style="65" min="4" max="16384"/>
  </cols>
  <sheetData>
    <row r="1">
      <c r="A1" s="100" t="inlineStr">
        <is>
          <t>Verson</t>
        </is>
      </c>
      <c r="B1" s="100" t="inlineStr">
        <is>
          <t>Update</t>
        </is>
      </c>
      <c r="C1" s="100" t="inlineStr">
        <is>
          <t>Update Date</t>
        </is>
      </c>
    </row>
    <row r="2">
      <c r="A2" s="44" t="inlineStr">
        <is>
          <t>V1.1.1</t>
        </is>
      </c>
      <c r="B2" s="101" t="inlineStr">
        <is>
          <t>Pilot planning（9）</t>
        </is>
      </c>
      <c r="C2" s="102" t="n">
        <v>46184</v>
      </c>
    </row>
    <row r="3">
      <c r="A3" s="44" t="inlineStr">
        <is>
          <t>V1.1.2</t>
        </is>
      </c>
      <c r="B3" s="101" t="inlineStr">
        <is>
          <t>高优先级站点（46）</t>
        </is>
      </c>
      <c r="C3" s="102" t="n">
        <v>46187</v>
      </c>
    </row>
  </sheetData>
  <pageMargins left="0.747916666666667" right="0.747916666666667" top="0.9840277777777779" bottom="0.9840277777777779" header="0.511805555555556" footer="0.511805555555556"/>
  <pageSetup orientation="portrait" paperSize="9" horizontalDpi="600"/>
  <headerFooter alignWithMargins="0">
    <oddHeader>&amp;L&amp;"Times New Roman"&amp;B&amp;G&amp;R内部使用▲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6" filterMode="1">
    <outlinePr summaryBelow="1" summaryRight="1"/>
    <pageSetUpPr/>
  </sheetPr>
  <dimension ref="A1:AL1444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N27" sqref="N27"/>
    </sheetView>
  </sheetViews>
  <sheetFormatPr baseColWidth="8" defaultColWidth="22.3428571428571" defaultRowHeight="10.5"/>
  <cols>
    <col width="10.1809523809524" customWidth="1" style="91" min="1" max="1"/>
    <col width="41" customWidth="1" style="91" min="2" max="2"/>
    <col width="14.8190476190476" customWidth="1" style="91" min="3" max="3"/>
    <col width="16.7238095238095" customWidth="1" style="91" min="4" max="4"/>
    <col width="7.18095238095238" customWidth="1" style="91" min="5" max="5"/>
    <col width="11.6380952380952" customWidth="1" style="91" min="6" max="6"/>
    <col width="13.6380952380952" customWidth="1" style="91" min="7" max="7"/>
    <col width="26.2095238095238" customWidth="1" style="91" min="8" max="8"/>
    <col width="17.3619047619048" customWidth="1" style="91" min="9" max="9"/>
    <col width="2.45714285714286" customWidth="1" style="91" min="10" max="10"/>
    <col width="6.72380952380952" customWidth="1" style="91" min="11" max="11"/>
    <col width="5.45714285714286" customWidth="1" style="91" min="12" max="12"/>
    <col width="9.19047619047619" customWidth="1" style="91" min="13" max="13"/>
    <col width="18.8761904761905" customWidth="1" style="92" min="14" max="14"/>
    <col width="12" customWidth="1" style="92" min="15" max="15"/>
    <col width="13.2761904761905" customWidth="1" style="92" min="16" max="16"/>
    <col width="11.9047619047619" customWidth="1" style="92" min="17" max="17"/>
    <col width="12.6380952380952" customWidth="1" style="92" min="18" max="18"/>
    <col width="12.4571428571429" customWidth="1" style="91" min="19" max="19"/>
    <col width="10.8190476190476" customWidth="1" style="91" min="20" max="20"/>
    <col width="12.0952380952381" customWidth="1" style="91" min="21" max="21"/>
    <col width="9.81904761904762" customWidth="1" style="91" min="22" max="22"/>
    <col width="7.72380952380952" customWidth="1" style="91" min="23" max="23"/>
    <col width="10.3619047619048" customWidth="1" style="91" min="24" max="24"/>
    <col width="12.9047619047619" customWidth="1" style="91" min="25" max="25"/>
    <col width="11.5428571428571" customWidth="1" style="91" min="26" max="26"/>
    <col width="10.2761904761905" customWidth="1" style="91" min="27" max="27"/>
    <col width="13.9047619047619" customWidth="1" style="91" min="28" max="28"/>
    <col width="67.9047619047619" customWidth="1" style="91" min="29" max="29"/>
    <col width="14" customWidth="1" style="91" min="30" max="30"/>
    <col width="10.2761904761905" customWidth="1" style="91" min="31" max="31"/>
    <col width="19.0952380952381" customWidth="1" style="91" min="32" max="32"/>
    <col width="9.81904761904762" customWidth="1" style="91" min="33" max="33"/>
    <col width="7.72380952380952" customWidth="1" style="91" min="34" max="34"/>
    <col width="22.3428571428571" customWidth="1" style="91" min="35" max="16384"/>
  </cols>
  <sheetData>
    <row r="1" ht="163" customFormat="1" customHeight="1" s="79">
      <c r="A1" s="84" t="inlineStr">
        <is>
          <t>Site Name</t>
        </is>
      </c>
      <c r="B1" s="84" t="inlineStr">
        <is>
          <t>NE Name</t>
        </is>
      </c>
      <c r="C1" s="84" t="inlineStr">
        <is>
          <t>Existing vendor</t>
        </is>
      </c>
      <c r="D1" s="85" t="inlineStr">
        <is>
          <t>Comment</t>
        </is>
      </c>
      <c r="E1" s="86" t="inlineStr">
        <is>
          <t>Split</t>
        </is>
      </c>
      <c r="F1" s="84" t="inlineStr">
        <is>
          <t>Site latitude</t>
        </is>
      </c>
      <c r="G1" s="84" t="inlineStr">
        <is>
          <t>Site longitude</t>
        </is>
      </c>
      <c r="H1" s="87" t="inlineStr">
        <is>
          <t>Cell Name_Existing</t>
        </is>
      </c>
      <c r="I1" s="84" t="inlineStr">
        <is>
          <t>Cell Name_New</t>
        </is>
      </c>
      <c r="J1" s="84" t="n"/>
      <c r="K1" s="87" t="inlineStr">
        <is>
          <t>Sector</t>
        </is>
      </c>
      <c r="L1" s="84" t="inlineStr">
        <is>
          <t>Tech</t>
        </is>
      </c>
      <c r="M1" s="84" t="inlineStr">
        <is>
          <t>Band</t>
        </is>
      </c>
      <c r="N1" s="90" t="inlineStr">
        <is>
          <t>Antenna_Mbitel</t>
        </is>
      </c>
      <c r="O1" s="90" t="inlineStr">
        <is>
          <t>Antenna height_Mbitel</t>
        </is>
      </c>
      <c r="P1" s="90" t="inlineStr">
        <is>
          <t>Antenna azimuth_Mbitel</t>
        </is>
      </c>
      <c r="Q1" s="90" t="inlineStr">
        <is>
          <t>E_Tilt_Mobitel</t>
        </is>
      </c>
      <c r="R1" s="90" t="inlineStr">
        <is>
          <t>M_Tilt_Mobitel</t>
        </is>
      </c>
      <c r="S1" s="94" t="inlineStr">
        <is>
          <t>Antenna_TSSR</t>
        </is>
      </c>
      <c r="T1" s="94" t="inlineStr">
        <is>
          <t>Antenna height_TSSR</t>
        </is>
      </c>
      <c r="U1" s="94" t="inlineStr">
        <is>
          <t>Antenna azimuth_TSSR</t>
        </is>
      </c>
      <c r="V1" s="94" t="inlineStr">
        <is>
          <t>Mechanical tilt_TSSR</t>
        </is>
      </c>
      <c r="W1" s="95" t="inlineStr">
        <is>
          <t>Electrical tilt_TSSR</t>
        </is>
      </c>
      <c r="X1" s="96" t="inlineStr">
        <is>
          <t>TSSR Status</t>
        </is>
      </c>
      <c r="Y1" s="95" t="inlineStr">
        <is>
          <t>MIMO_Existing</t>
        </is>
      </c>
      <c r="Z1" s="95" t="inlineStr">
        <is>
          <t>天线最大端口数</t>
        </is>
      </c>
      <c r="AA1" s="97" t="inlineStr">
        <is>
          <t>MIMO_New</t>
        </is>
      </c>
      <c r="AB1" s="97" t="inlineStr">
        <is>
          <t>RRU Type</t>
        </is>
      </c>
      <c r="AC1" s="97" t="inlineStr">
        <is>
          <t>RRU Type_2</t>
        </is>
      </c>
      <c r="AD1" s="90" t="inlineStr">
        <is>
          <t>Antenna_Plan</t>
        </is>
      </c>
      <c r="AE1" s="90" t="inlineStr">
        <is>
          <t>Antenna height_Plan</t>
        </is>
      </c>
      <c r="AF1" s="90" t="inlineStr">
        <is>
          <t>Antenna azimuth_Plan</t>
        </is>
      </c>
      <c r="AG1" s="90" t="inlineStr">
        <is>
          <t>Mechanical tilt_Plan</t>
        </is>
      </c>
      <c r="AH1" s="98" t="inlineStr">
        <is>
          <t>Electrical tilt_Plan</t>
        </is>
      </c>
      <c r="AI1" s="79" t="inlineStr">
        <is>
          <t>FDD\TDD</t>
        </is>
      </c>
      <c r="AL1" s="79" t="inlineStr">
        <is>
          <t>comment</t>
        </is>
      </c>
    </row>
    <row r="2" ht="15" customHeight="1" s="99">
      <c r="A2" t="inlineStr">
        <is>
          <t>GMDAD1</t>
        </is>
      </c>
      <c r="B2" t="inlineStr">
        <is>
          <t>GMDAD1_G_Dadagamuwa_8_Gm</t>
        </is>
      </c>
      <c r="C2" s="89" t="inlineStr">
        <is>
          <t>Huawei</t>
        </is>
      </c>
      <c r="F2" t="n">
        <v>7.13907</v>
      </c>
      <c r="G2" t="n">
        <v>80.0639</v>
      </c>
      <c r="H2" t="inlineStr">
        <is>
          <t>GMDAD1P</t>
        </is>
      </c>
      <c r="J2" s="91" t="n"/>
      <c r="K2" t="inlineStr">
        <is>
          <t>S1</t>
        </is>
      </c>
      <c r="L2" t="inlineStr">
        <is>
          <t>2G</t>
        </is>
      </c>
      <c r="M2" t="n">
        <v>1800</v>
      </c>
      <c r="N2" s="92" t="inlineStr">
        <is>
          <t>AQU4518R9v06</t>
        </is>
      </c>
      <c r="O2" t="n">
        <v>0</v>
      </c>
      <c r="P2" t="n">
        <v>90</v>
      </c>
      <c r="R2" t="n">
        <v>2</v>
      </c>
      <c r="AA2" s="91" t="inlineStr">
        <is>
          <t>1T1R</t>
        </is>
      </c>
      <c r="AB2" s="91" t="inlineStr">
        <is>
          <t>R9264 M1821N</t>
        </is>
      </c>
      <c r="AC2" s="91" t="inlineStr">
        <is>
          <t>R9254E S8500*2+R9264 M1821N*3</t>
        </is>
      </c>
      <c r="AD2" s="91" t="inlineStr">
        <is>
          <t>AQU4518R9v06</t>
        </is>
      </c>
      <c r="AE2" s="91" t="n">
        <v>0</v>
      </c>
      <c r="AF2" s="91" t="n">
        <v>90</v>
      </c>
      <c r="AG2" s="91" t="n"/>
      <c r="AH2" s="91" t="n">
        <v>2</v>
      </c>
      <c r="AL2" s="91" t="inlineStr">
        <is>
          <t>pilot'</t>
        </is>
      </c>
    </row>
    <row r="3" ht="15" customHeight="1" s="99">
      <c r="A3" t="inlineStr">
        <is>
          <t>GMDAD1</t>
        </is>
      </c>
      <c r="B3" t="inlineStr">
        <is>
          <t>GMDAD1_G_Dadagamuwa_8_Gm</t>
        </is>
      </c>
      <c r="C3" s="89" t="inlineStr">
        <is>
          <t>Huawei</t>
        </is>
      </c>
      <c r="F3" t="n">
        <v>7.13907</v>
      </c>
      <c r="G3" t="n">
        <v>80.0639</v>
      </c>
      <c r="H3" t="inlineStr">
        <is>
          <t>GMDAD1Q</t>
        </is>
      </c>
      <c r="J3" s="91" t="n"/>
      <c r="K3" t="inlineStr">
        <is>
          <t>S2</t>
        </is>
      </c>
      <c r="L3" t="inlineStr">
        <is>
          <t>2G</t>
        </is>
      </c>
      <c r="M3" t="n">
        <v>1800</v>
      </c>
      <c r="N3" s="92" t="inlineStr">
        <is>
          <t>AQU4518R9v06</t>
        </is>
      </c>
      <c r="O3" t="n">
        <v>0</v>
      </c>
      <c r="P3" t="n">
        <v>210</v>
      </c>
      <c r="R3" t="n">
        <v>2</v>
      </c>
      <c r="AA3" s="91" t="inlineStr">
        <is>
          <t>1T1R</t>
        </is>
      </c>
      <c r="AB3" s="91" t="inlineStr">
        <is>
          <t>R9264 M1821N</t>
        </is>
      </c>
      <c r="AC3" s="91" t="inlineStr">
        <is>
          <t>R9254E S8500*2+R9264 M1821N*3</t>
        </is>
      </c>
      <c r="AD3" s="91" t="inlineStr">
        <is>
          <t>AQU4518R9v06</t>
        </is>
      </c>
      <c r="AE3" s="91" t="n">
        <v>0</v>
      </c>
      <c r="AF3" s="91" t="n">
        <v>210</v>
      </c>
      <c r="AG3" s="91" t="n"/>
      <c r="AH3" s="91" t="n">
        <v>2</v>
      </c>
      <c r="AL3" s="91" t="inlineStr">
        <is>
          <t>pilot'</t>
        </is>
      </c>
    </row>
    <row r="4" ht="15" customHeight="1" s="99">
      <c r="A4" t="inlineStr">
        <is>
          <t>GMDAD1</t>
        </is>
      </c>
      <c r="B4" t="inlineStr">
        <is>
          <t>GMDAD1_G_Dadagamuwa_8_Gm</t>
        </is>
      </c>
      <c r="C4" s="89" t="inlineStr">
        <is>
          <t>Huawei</t>
        </is>
      </c>
      <c r="F4" t="n">
        <v>7.13907</v>
      </c>
      <c r="G4" t="n">
        <v>80.0639</v>
      </c>
      <c r="H4" t="inlineStr">
        <is>
          <t>GMDAD1R</t>
        </is>
      </c>
      <c r="J4" s="91" t="n"/>
      <c r="K4" t="inlineStr">
        <is>
          <t>S3</t>
        </is>
      </c>
      <c r="L4" t="inlineStr">
        <is>
          <t>2G</t>
        </is>
      </c>
      <c r="M4" t="n">
        <v>1800</v>
      </c>
      <c r="N4" s="92" t="inlineStr">
        <is>
          <t>AQU4518R9v06</t>
        </is>
      </c>
      <c r="O4" t="n">
        <v>0</v>
      </c>
      <c r="P4" t="n">
        <v>330</v>
      </c>
      <c r="R4" t="n">
        <v>2</v>
      </c>
      <c r="AA4" s="91" t="inlineStr">
        <is>
          <t>1T1R</t>
        </is>
      </c>
      <c r="AB4" s="91" t="inlineStr">
        <is>
          <t>R9264 M1821N</t>
        </is>
      </c>
      <c r="AC4" s="91" t="inlineStr">
        <is>
          <t>R9254E S8500*2+R9264 M1821N*3</t>
        </is>
      </c>
      <c r="AD4" s="91" t="inlineStr">
        <is>
          <t>AQU4518R9v06</t>
        </is>
      </c>
      <c r="AE4" s="91" t="n">
        <v>0</v>
      </c>
      <c r="AF4" s="91" t="n">
        <v>330</v>
      </c>
      <c r="AG4" s="91" t="n"/>
      <c r="AH4" s="91" t="n">
        <v>2</v>
      </c>
      <c r="AL4" s="91" t="inlineStr">
        <is>
          <t>pilot'</t>
        </is>
      </c>
    </row>
    <row r="5" ht="15" customHeight="1" s="99">
      <c r="A5" t="inlineStr">
        <is>
          <t>GMDAD1</t>
        </is>
      </c>
      <c r="B5" t="inlineStr">
        <is>
          <t>GMDAD1_G0L00_Dadagamuwa_IP_Gm</t>
        </is>
      </c>
      <c r="C5" s="89" t="inlineStr">
        <is>
          <t>Huawei</t>
        </is>
      </c>
      <c r="F5" t="n">
        <v>7.13907</v>
      </c>
      <c r="G5" t="n">
        <v>80.0639</v>
      </c>
      <c r="H5" t="inlineStr">
        <is>
          <t>GMDAD1-M-L21-A2</t>
        </is>
      </c>
      <c r="J5" s="91" t="n"/>
      <c r="K5" t="inlineStr">
        <is>
          <t>S1</t>
        </is>
      </c>
      <c r="L5" t="inlineStr">
        <is>
          <t>4G</t>
        </is>
      </c>
      <c r="M5" t="n">
        <v>2100</v>
      </c>
      <c r="N5" s="93" t="inlineStr">
        <is>
          <t>AQU4518R9v06</t>
        </is>
      </c>
      <c r="O5" t="n">
        <v>50</v>
      </c>
      <c r="P5" t="n">
        <v>90</v>
      </c>
      <c r="R5" t="n">
        <v>0</v>
      </c>
      <c r="Y5" t="inlineStr">
        <is>
          <t>2T2R</t>
        </is>
      </c>
      <c r="Z5" t="inlineStr">
        <is>
          <t>6T6R</t>
        </is>
      </c>
      <c r="AA5" s="91" t="inlineStr">
        <is>
          <t>4T4R</t>
        </is>
      </c>
      <c r="AB5" s="91" t="inlineStr">
        <is>
          <t>R9264 M1821N</t>
        </is>
      </c>
      <c r="AC5" s="91" t="inlineStr">
        <is>
          <t>R9254E S8500*2+R9264 M1821N*3</t>
        </is>
      </c>
      <c r="AD5" s="91" t="inlineStr">
        <is>
          <t>AQU4518R9v06</t>
        </is>
      </c>
      <c r="AE5" s="91" t="n">
        <v>50</v>
      </c>
      <c r="AF5" s="91" t="n">
        <v>90</v>
      </c>
      <c r="AG5" s="91" t="n"/>
      <c r="AH5" s="91" t="n">
        <v>0</v>
      </c>
      <c r="AI5" s="91">
        <f>_xlfn.XLOOKUP(A5,'[2]177+10+50 Sites (detail)'!$B:$B,'[2]177+10+50 Sites (detail)'!$I:$I)</f>
        <v/>
      </c>
      <c r="AJ5" s="91">
        <f>_xlfn.XLOOKUP(A5,[3]最小距离站点!$A:$A,[3]最小距离站点!$B:$B)</f>
        <v/>
      </c>
      <c r="AK5" s="91">
        <f>_xlfn.XLOOKUP(A5,[3]最小距离站点!$A:$A,[3]最小距离站点!$C:$C)</f>
        <v/>
      </c>
      <c r="AL5" s="91" t="inlineStr">
        <is>
          <t>pilot'</t>
        </is>
      </c>
    </row>
    <row r="6" ht="15" customHeight="1" s="99">
      <c r="A6" t="inlineStr">
        <is>
          <t>GMDAD1</t>
        </is>
      </c>
      <c r="B6" t="inlineStr">
        <is>
          <t>GMDAD1_G0L00_Dadagamuwa_IP_Gm</t>
        </is>
      </c>
      <c r="C6" s="89" t="inlineStr">
        <is>
          <t>Huawei</t>
        </is>
      </c>
      <c r="F6" t="n">
        <v>7.13907</v>
      </c>
      <c r="G6" t="n">
        <v>80.0639</v>
      </c>
      <c r="H6" t="inlineStr">
        <is>
          <t>GMDAD1G</t>
        </is>
      </c>
      <c r="J6" s="91" t="n"/>
      <c r="K6" t="inlineStr">
        <is>
          <t>S1</t>
        </is>
      </c>
      <c r="L6" t="inlineStr">
        <is>
          <t>4G</t>
        </is>
      </c>
      <c r="M6" t="n">
        <v>1800</v>
      </c>
      <c r="N6" s="93" t="inlineStr">
        <is>
          <t>AQU4518R9v06</t>
        </is>
      </c>
      <c r="O6" t="n">
        <v>50</v>
      </c>
      <c r="P6" t="n">
        <v>90</v>
      </c>
      <c r="R6" t="n">
        <v>0</v>
      </c>
      <c r="Y6" t="inlineStr">
        <is>
          <t>2T2R</t>
        </is>
      </c>
      <c r="Z6" t="inlineStr">
        <is>
          <t>6T6R</t>
        </is>
      </c>
      <c r="AA6" s="91" t="inlineStr">
        <is>
          <t>4T4R</t>
        </is>
      </c>
      <c r="AB6" s="91" t="inlineStr">
        <is>
          <t>R9264 M1821N</t>
        </is>
      </c>
      <c r="AC6" s="91" t="inlineStr">
        <is>
          <t>R9254E S8500*2+R9264 M1821N*3</t>
        </is>
      </c>
      <c r="AD6" s="91" t="inlineStr">
        <is>
          <t>AQU4518R9v06</t>
        </is>
      </c>
      <c r="AE6" s="91" t="n">
        <v>50</v>
      </c>
      <c r="AF6" s="91" t="n">
        <v>90</v>
      </c>
      <c r="AG6" s="91" t="n"/>
      <c r="AH6" s="91" t="n">
        <v>0</v>
      </c>
      <c r="AI6" s="91">
        <f>_xlfn.XLOOKUP(A6,'[2]177+10+50 Sites (detail)'!$B:$B,'[2]177+10+50 Sites (detail)'!$I:$I)</f>
        <v/>
      </c>
      <c r="AJ6" s="91">
        <f>_xlfn.XLOOKUP(A6,[3]最小距离站点!$A:$A,[3]最小距离站点!$B:$B)</f>
        <v/>
      </c>
      <c r="AK6" s="91">
        <f>_xlfn.XLOOKUP(A6,[3]最小距离站点!$A:$A,[3]最小距离站点!$C:$C)</f>
        <v/>
      </c>
      <c r="AL6" s="91" t="inlineStr">
        <is>
          <t>pilot'</t>
        </is>
      </c>
    </row>
    <row r="7" ht="15" customHeight="1" s="99">
      <c r="A7" t="inlineStr">
        <is>
          <t>GMDAD1</t>
        </is>
      </c>
      <c r="B7" t="inlineStr">
        <is>
          <t>GMDAD1_G0L00_Dadagamuwa_IP_Gm</t>
        </is>
      </c>
      <c r="C7" s="89" t="inlineStr">
        <is>
          <t>Huawei</t>
        </is>
      </c>
      <c r="F7" t="n">
        <v>7.13907</v>
      </c>
      <c r="G7" t="n">
        <v>80.0639</v>
      </c>
      <c r="H7" t="inlineStr">
        <is>
          <t>GMDAD1-M-L85-A1</t>
        </is>
      </c>
      <c r="J7" s="91" t="n"/>
      <c r="K7" t="inlineStr">
        <is>
          <t>S1</t>
        </is>
      </c>
      <c r="L7" t="inlineStr">
        <is>
          <t>4G</t>
        </is>
      </c>
      <c r="M7" t="n">
        <v>850</v>
      </c>
      <c r="N7" s="93" t="inlineStr">
        <is>
          <t>AQU4518R9v06</t>
        </is>
      </c>
      <c r="O7" t="n">
        <v>50</v>
      </c>
      <c r="P7" t="n">
        <v>90</v>
      </c>
      <c r="R7" t="n">
        <v>0</v>
      </c>
      <c r="Y7" t="inlineStr">
        <is>
          <t>2T2R</t>
        </is>
      </c>
      <c r="Z7" t="inlineStr">
        <is>
          <t>2T2R</t>
        </is>
      </c>
      <c r="AA7" t="inlineStr">
        <is>
          <t>2T2R</t>
        </is>
      </c>
      <c r="AB7" s="91" t="inlineStr">
        <is>
          <t>R9254E S8500</t>
        </is>
      </c>
      <c r="AC7" s="91" t="inlineStr">
        <is>
          <t>R9254E S8500*2+R9264 M1821N*3</t>
        </is>
      </c>
      <c r="AD7" s="91" t="inlineStr">
        <is>
          <t>AQU4518R9v06</t>
        </is>
      </c>
      <c r="AE7" s="91" t="n">
        <v>50</v>
      </c>
      <c r="AF7" s="91" t="n">
        <v>90</v>
      </c>
      <c r="AG7" s="91" t="n"/>
      <c r="AH7" s="91" t="n">
        <v>0</v>
      </c>
      <c r="AI7" s="91">
        <f>_xlfn.XLOOKUP(A7,'[2]177+10+50 Sites (detail)'!$B:$B,'[2]177+10+50 Sites (detail)'!$I:$I)</f>
        <v/>
      </c>
      <c r="AJ7" s="91">
        <f>_xlfn.XLOOKUP(A7,[3]最小距离站点!$A:$A,[3]最小距离站点!$B:$B)</f>
        <v/>
      </c>
      <c r="AK7" s="91">
        <f>_xlfn.XLOOKUP(A7,[3]最小距离站点!$A:$A,[3]最小距离站点!$C:$C)</f>
        <v/>
      </c>
      <c r="AL7" s="91" t="inlineStr">
        <is>
          <t>pilot'</t>
        </is>
      </c>
    </row>
    <row r="8" ht="15" customHeight="1" s="99">
      <c r="A8" t="inlineStr">
        <is>
          <t>GMDAD1</t>
        </is>
      </c>
      <c r="B8" t="inlineStr">
        <is>
          <t>GMDAD1_G0L00_Dadagamuwa_IP_Gm</t>
        </is>
      </c>
      <c r="C8" s="89" t="inlineStr">
        <is>
          <t>Huawei</t>
        </is>
      </c>
      <c r="F8" t="n">
        <v>7.13907</v>
      </c>
      <c r="G8" t="n">
        <v>80.0639</v>
      </c>
      <c r="H8" t="inlineStr">
        <is>
          <t>GMDAD1-M-L21-B2</t>
        </is>
      </c>
      <c r="J8" s="91" t="n"/>
      <c r="K8" t="inlineStr">
        <is>
          <t>S2</t>
        </is>
      </c>
      <c r="L8" t="inlineStr">
        <is>
          <t>4G</t>
        </is>
      </c>
      <c r="M8" t="n">
        <v>2100</v>
      </c>
      <c r="N8" s="93" t="inlineStr">
        <is>
          <t>AQU4518R9v06</t>
        </is>
      </c>
      <c r="O8" t="n">
        <v>50</v>
      </c>
      <c r="P8" t="n">
        <v>210</v>
      </c>
      <c r="R8" t="n">
        <v>0</v>
      </c>
      <c r="Y8" t="inlineStr">
        <is>
          <t>2T2R</t>
        </is>
      </c>
      <c r="Z8" t="inlineStr">
        <is>
          <t>6T6R</t>
        </is>
      </c>
      <c r="AA8" s="91" t="inlineStr">
        <is>
          <t>4T4R</t>
        </is>
      </c>
      <c r="AB8" s="91" t="inlineStr">
        <is>
          <t>R9264 M1821N</t>
        </is>
      </c>
      <c r="AC8" s="91" t="inlineStr">
        <is>
          <t>R9254E S8500*2+R9264 M1821N*3</t>
        </is>
      </c>
      <c r="AD8" s="91" t="inlineStr">
        <is>
          <t>AQU4518R9v06</t>
        </is>
      </c>
      <c r="AE8" s="91" t="n">
        <v>50</v>
      </c>
      <c r="AF8" s="91" t="n">
        <v>210</v>
      </c>
      <c r="AG8" s="91" t="n"/>
      <c r="AH8" s="91" t="n">
        <v>0</v>
      </c>
      <c r="AI8" s="91">
        <f>_xlfn.XLOOKUP(A8,'[2]177+10+50 Sites (detail)'!$B:$B,'[2]177+10+50 Sites (detail)'!$I:$I)</f>
        <v/>
      </c>
      <c r="AJ8" s="91">
        <f>_xlfn.XLOOKUP(A8,[3]最小距离站点!$A:$A,[3]最小距离站点!$B:$B)</f>
        <v/>
      </c>
      <c r="AK8" s="91">
        <f>_xlfn.XLOOKUP(A8,[3]最小距离站点!$A:$A,[3]最小距离站点!$C:$C)</f>
        <v/>
      </c>
      <c r="AL8" s="91" t="inlineStr">
        <is>
          <t>pilot'</t>
        </is>
      </c>
    </row>
    <row r="9" ht="15" customHeight="1" s="99">
      <c r="A9" t="inlineStr">
        <is>
          <t>GMDAD1</t>
        </is>
      </c>
      <c r="B9" t="inlineStr">
        <is>
          <t>GMDAD1_G0L00_Dadagamuwa_IP_Gm</t>
        </is>
      </c>
      <c r="C9" s="89" t="inlineStr">
        <is>
          <t>Huawei</t>
        </is>
      </c>
      <c r="F9" t="n">
        <v>7.13907</v>
      </c>
      <c r="G9" t="n">
        <v>80.0639</v>
      </c>
      <c r="H9" t="inlineStr">
        <is>
          <t>GMDAD1H</t>
        </is>
      </c>
      <c r="J9" s="91" t="n"/>
      <c r="K9" t="inlineStr">
        <is>
          <t>S2</t>
        </is>
      </c>
      <c r="L9" t="inlineStr">
        <is>
          <t>4G</t>
        </is>
      </c>
      <c r="M9" t="n">
        <v>1800</v>
      </c>
      <c r="N9" s="93" t="inlineStr">
        <is>
          <t>AQU4518R9v06</t>
        </is>
      </c>
      <c r="O9" t="n">
        <v>50</v>
      </c>
      <c r="P9" t="n">
        <v>210</v>
      </c>
      <c r="R9" t="n">
        <v>0</v>
      </c>
      <c r="Y9" t="inlineStr">
        <is>
          <t>2T2R</t>
        </is>
      </c>
      <c r="Z9" t="inlineStr">
        <is>
          <t>6T6R</t>
        </is>
      </c>
      <c r="AA9" s="91" t="inlineStr">
        <is>
          <t>4T4R</t>
        </is>
      </c>
      <c r="AB9" s="91" t="inlineStr">
        <is>
          <t>R9264 M1821N</t>
        </is>
      </c>
      <c r="AC9" s="91" t="inlineStr">
        <is>
          <t>R9254E S8500*2+R9264 M1821N*3</t>
        </is>
      </c>
      <c r="AD9" s="91" t="inlineStr">
        <is>
          <t>AQU4518R9v06</t>
        </is>
      </c>
      <c r="AE9" s="91" t="n">
        <v>50</v>
      </c>
      <c r="AF9" s="91" t="n">
        <v>210</v>
      </c>
      <c r="AG9" s="91" t="n"/>
      <c r="AH9" s="91" t="n">
        <v>0</v>
      </c>
      <c r="AI9" s="91">
        <f>_xlfn.XLOOKUP(A9,'[2]177+10+50 Sites (detail)'!$B:$B,'[2]177+10+50 Sites (detail)'!$I:$I)</f>
        <v/>
      </c>
      <c r="AJ9" s="91">
        <f>_xlfn.XLOOKUP(A9,[3]最小距离站点!$A:$A,[3]最小距离站点!$B:$B)</f>
        <v/>
      </c>
      <c r="AK9" s="91">
        <f>_xlfn.XLOOKUP(A9,[3]最小距离站点!$A:$A,[3]最小距离站点!$C:$C)</f>
        <v/>
      </c>
      <c r="AL9" s="91" t="inlineStr">
        <is>
          <t>pilot'</t>
        </is>
      </c>
    </row>
    <row r="10" ht="15" customHeight="1" s="99">
      <c r="A10" t="inlineStr">
        <is>
          <t>GMDAD1</t>
        </is>
      </c>
      <c r="B10" t="inlineStr">
        <is>
          <t>GMDAD1_G0L00_Dadagamuwa_IP_Gm</t>
        </is>
      </c>
      <c r="C10" s="89" t="inlineStr">
        <is>
          <t>Huawei</t>
        </is>
      </c>
      <c r="F10" t="n">
        <v>7.13907</v>
      </c>
      <c r="G10" t="n">
        <v>80.0639</v>
      </c>
      <c r="H10" t="inlineStr">
        <is>
          <t>GMDAD1-M-L85-B1</t>
        </is>
      </c>
      <c r="J10" s="91" t="n"/>
      <c r="K10" t="inlineStr">
        <is>
          <t>S2</t>
        </is>
      </c>
      <c r="L10" t="inlineStr">
        <is>
          <t>4G</t>
        </is>
      </c>
      <c r="M10" t="n">
        <v>850</v>
      </c>
      <c r="N10" s="93" t="inlineStr">
        <is>
          <t>AQU4518R9v06</t>
        </is>
      </c>
      <c r="O10" t="n">
        <v>50</v>
      </c>
      <c r="P10" t="n">
        <v>210</v>
      </c>
      <c r="R10" t="n">
        <v>0</v>
      </c>
      <c r="Y10" t="inlineStr">
        <is>
          <t>2T2R</t>
        </is>
      </c>
      <c r="Z10" t="inlineStr">
        <is>
          <t>2T2R</t>
        </is>
      </c>
      <c r="AA10" t="inlineStr">
        <is>
          <t>2T2R</t>
        </is>
      </c>
      <c r="AB10" s="91" t="inlineStr">
        <is>
          <t>R9254E S8500</t>
        </is>
      </c>
      <c r="AC10" s="91" t="inlineStr">
        <is>
          <t>R9254E S8500*2+R9264 M1821N*3</t>
        </is>
      </c>
      <c r="AD10" s="91" t="inlineStr">
        <is>
          <t>AQU4518R9v06</t>
        </is>
      </c>
      <c r="AE10" s="91" t="n">
        <v>50</v>
      </c>
      <c r="AF10" s="91" t="n">
        <v>210</v>
      </c>
      <c r="AG10" s="91" t="n"/>
      <c r="AH10" s="91" t="n">
        <v>0</v>
      </c>
      <c r="AI10" s="91">
        <f>_xlfn.XLOOKUP(A10,'[2]177+10+50 Sites (detail)'!$B:$B,'[2]177+10+50 Sites (detail)'!$I:$I)</f>
        <v/>
      </c>
      <c r="AJ10" s="91">
        <f>_xlfn.XLOOKUP(A10,[3]最小距离站点!$A:$A,[3]最小距离站点!$B:$B)</f>
        <v/>
      </c>
      <c r="AK10" s="91">
        <f>_xlfn.XLOOKUP(A10,[3]最小距离站点!$A:$A,[3]最小距离站点!$C:$C)</f>
        <v/>
      </c>
      <c r="AL10" s="91" t="inlineStr">
        <is>
          <t>pilot'</t>
        </is>
      </c>
    </row>
    <row r="11" ht="15" customHeight="1" s="99">
      <c r="A11" t="inlineStr">
        <is>
          <t>GMDAD1</t>
        </is>
      </c>
      <c r="B11" t="inlineStr">
        <is>
          <t>GMDAD1_G0L00_Dadagamuwa_IP_Gm</t>
        </is>
      </c>
      <c r="C11" s="89" t="inlineStr">
        <is>
          <t>Huawei</t>
        </is>
      </c>
      <c r="F11" t="n">
        <v>7.13907</v>
      </c>
      <c r="G11" t="n">
        <v>80.0639</v>
      </c>
      <c r="H11" t="inlineStr">
        <is>
          <t>GMDAD1-M-L21-C2</t>
        </is>
      </c>
      <c r="J11" s="91" t="n"/>
      <c r="K11" t="inlineStr">
        <is>
          <t>S3</t>
        </is>
      </c>
      <c r="L11" t="inlineStr">
        <is>
          <t>4G</t>
        </is>
      </c>
      <c r="M11" t="n">
        <v>2100</v>
      </c>
      <c r="N11" s="93" t="inlineStr">
        <is>
          <t>AQU4518R9v06</t>
        </is>
      </c>
      <c r="O11" t="n">
        <v>50</v>
      </c>
      <c r="P11" t="n">
        <v>330</v>
      </c>
      <c r="R11" t="n">
        <v>0</v>
      </c>
      <c r="Y11" t="inlineStr">
        <is>
          <t>2T2R</t>
        </is>
      </c>
      <c r="Z11" t="inlineStr">
        <is>
          <t>6T6R</t>
        </is>
      </c>
      <c r="AA11" s="91" t="inlineStr">
        <is>
          <t>4T4R</t>
        </is>
      </c>
      <c r="AB11" s="91" t="inlineStr">
        <is>
          <t>R9264 M1821N</t>
        </is>
      </c>
      <c r="AC11" s="91" t="inlineStr">
        <is>
          <t>R9254E S8500*2+R9264 M1821N*3</t>
        </is>
      </c>
      <c r="AD11" s="91" t="inlineStr">
        <is>
          <t>AQU4518R9v06</t>
        </is>
      </c>
      <c r="AE11" s="91" t="n">
        <v>50</v>
      </c>
      <c r="AF11" s="91" t="n">
        <v>330</v>
      </c>
      <c r="AG11" s="91" t="n"/>
      <c r="AH11" s="91" t="n">
        <v>0</v>
      </c>
      <c r="AI11" s="91">
        <f>_xlfn.XLOOKUP(A11,'[2]177+10+50 Sites (detail)'!$B:$B,'[2]177+10+50 Sites (detail)'!$I:$I)</f>
        <v/>
      </c>
      <c r="AJ11" s="91">
        <f>_xlfn.XLOOKUP(A11,[3]最小距离站点!$A:$A,[3]最小距离站点!$B:$B)</f>
        <v/>
      </c>
      <c r="AK11" s="91">
        <f>_xlfn.XLOOKUP(A11,[3]最小距离站点!$A:$A,[3]最小距离站点!$C:$C)</f>
        <v/>
      </c>
      <c r="AL11" s="91" t="inlineStr">
        <is>
          <t>pilot'</t>
        </is>
      </c>
    </row>
    <row r="12" ht="15" customHeight="1" s="99">
      <c r="A12" t="inlineStr">
        <is>
          <t>GMDAD1</t>
        </is>
      </c>
      <c r="B12" t="inlineStr">
        <is>
          <t>GMDAD1_G0L00_Dadagamuwa_IP_Gm</t>
        </is>
      </c>
      <c r="C12" s="89" t="inlineStr">
        <is>
          <t>Huawei</t>
        </is>
      </c>
      <c r="F12" t="n">
        <v>7.13907</v>
      </c>
      <c r="G12" t="n">
        <v>80.0639</v>
      </c>
      <c r="H12" t="inlineStr">
        <is>
          <t>GMDAD1I</t>
        </is>
      </c>
      <c r="J12" s="91" t="n"/>
      <c r="K12" t="inlineStr">
        <is>
          <t>S3</t>
        </is>
      </c>
      <c r="L12" t="inlineStr">
        <is>
          <t>4G</t>
        </is>
      </c>
      <c r="M12" t="n">
        <v>1800</v>
      </c>
      <c r="N12" s="93" t="inlineStr">
        <is>
          <t>AQU4518R9v06</t>
        </is>
      </c>
      <c r="O12" t="n">
        <v>50</v>
      </c>
      <c r="P12" t="n">
        <v>330</v>
      </c>
      <c r="R12" t="n">
        <v>0</v>
      </c>
      <c r="Y12" t="inlineStr">
        <is>
          <t>2T2R</t>
        </is>
      </c>
      <c r="Z12" t="inlineStr">
        <is>
          <t>6T6R</t>
        </is>
      </c>
      <c r="AA12" s="91" t="inlineStr">
        <is>
          <t>4T4R</t>
        </is>
      </c>
      <c r="AB12" s="91" t="inlineStr">
        <is>
          <t>R9264 M1821N</t>
        </is>
      </c>
      <c r="AC12" s="91" t="inlineStr">
        <is>
          <t>R9254E S8500*2+R9264 M1821N*3</t>
        </is>
      </c>
      <c r="AD12" s="91" t="inlineStr">
        <is>
          <t>AQU4518R9v06</t>
        </is>
      </c>
      <c r="AE12" s="91" t="n">
        <v>50</v>
      </c>
      <c r="AF12" s="91" t="n">
        <v>330</v>
      </c>
      <c r="AG12" s="91" t="n"/>
      <c r="AH12" s="91" t="n">
        <v>0</v>
      </c>
      <c r="AI12" s="91">
        <f>_xlfn.XLOOKUP(A12,'[2]177+10+50 Sites (detail)'!$B:$B,'[2]177+10+50 Sites (detail)'!$I:$I)</f>
        <v/>
      </c>
      <c r="AJ12" s="91">
        <f>_xlfn.XLOOKUP(A12,[3]最小距离站点!$A:$A,[3]最小距离站点!$B:$B)</f>
        <v/>
      </c>
      <c r="AK12" s="91">
        <f>_xlfn.XLOOKUP(A12,[3]最小距离站点!$A:$A,[3]最小距离站点!$C:$C)</f>
        <v/>
      </c>
      <c r="AL12" s="91" t="inlineStr">
        <is>
          <t>pilot'</t>
        </is>
      </c>
    </row>
    <row r="13" ht="15" customHeight="1" s="99">
      <c r="A13" t="inlineStr">
        <is>
          <t>GMDAD1</t>
        </is>
      </c>
      <c r="B13" t="inlineStr">
        <is>
          <t>GMDAD1_G0L00_Dadagamuwa_IP_Gm</t>
        </is>
      </c>
      <c r="C13" s="89" t="inlineStr">
        <is>
          <t>Huawei</t>
        </is>
      </c>
      <c r="F13" t="n">
        <v>7.13907</v>
      </c>
      <c r="G13" t="n">
        <v>80.0639</v>
      </c>
      <c r="H13" t="inlineStr">
        <is>
          <t>GMDAD1-M-L85-C1</t>
        </is>
      </c>
      <c r="J13" s="91" t="n"/>
      <c r="K13" t="inlineStr">
        <is>
          <t>S3</t>
        </is>
      </c>
      <c r="L13" t="inlineStr">
        <is>
          <t>4G</t>
        </is>
      </c>
      <c r="M13" t="n">
        <v>850</v>
      </c>
      <c r="N13" s="93" t="inlineStr">
        <is>
          <t>AQU4518R9v06</t>
        </is>
      </c>
      <c r="O13" t="n">
        <v>50</v>
      </c>
      <c r="P13" t="n">
        <v>330</v>
      </c>
      <c r="R13" t="n">
        <v>0</v>
      </c>
      <c r="Y13" t="inlineStr">
        <is>
          <t>2T2R</t>
        </is>
      </c>
      <c r="Z13" t="inlineStr">
        <is>
          <t>2T2R</t>
        </is>
      </c>
      <c r="AA13" t="inlineStr">
        <is>
          <t>2T2R</t>
        </is>
      </c>
      <c r="AB13" s="91" t="inlineStr">
        <is>
          <t>R9254E S8500</t>
        </is>
      </c>
      <c r="AC13" s="91" t="inlineStr">
        <is>
          <t>R9254E S8500*2+R9264 M1821N*3</t>
        </is>
      </c>
      <c r="AD13" s="91" t="inlineStr">
        <is>
          <t>AQU4518R9v06</t>
        </is>
      </c>
      <c r="AE13" s="91" t="n">
        <v>50</v>
      </c>
      <c r="AF13" s="91" t="n">
        <v>330</v>
      </c>
      <c r="AG13" s="91" t="n"/>
      <c r="AH13" s="91" t="n">
        <v>0</v>
      </c>
      <c r="AI13" s="91">
        <f>_xlfn.XLOOKUP(A13,'[2]177+10+50 Sites (detail)'!$B:$B,'[2]177+10+50 Sites (detail)'!$I:$I)</f>
        <v/>
      </c>
      <c r="AJ13" s="91">
        <f>_xlfn.XLOOKUP(A13,[3]最小距离站点!$A:$A,[3]最小距离站点!$B:$B)</f>
        <v/>
      </c>
      <c r="AK13" s="91">
        <f>_xlfn.XLOOKUP(A13,[3]最小距离站点!$A:$A,[3]最小距离站点!$C:$C)</f>
        <v/>
      </c>
      <c r="AL13" s="91" t="inlineStr">
        <is>
          <t>pilot'</t>
        </is>
      </c>
    </row>
    <row r="14" ht="15" customHeight="1" s="99">
      <c r="A14" t="inlineStr">
        <is>
          <t>GMKAL2</t>
        </is>
      </c>
      <c r="B14" t="inlineStr">
        <is>
          <t>GMKAL2_G_Kalagedihena__89__Gm</t>
        </is>
      </c>
      <c r="C14" s="89" t="inlineStr">
        <is>
          <t>Huawei</t>
        </is>
      </c>
      <c r="F14" t="n">
        <v>7.117603</v>
      </c>
      <c r="G14" t="n">
        <v>80.06068</v>
      </c>
      <c r="H14" t="inlineStr">
        <is>
          <t>GMKAL2P</t>
        </is>
      </c>
      <c r="J14" s="91" t="n"/>
      <c r="K14" t="inlineStr">
        <is>
          <t>S1</t>
        </is>
      </c>
      <c r="L14" t="inlineStr">
        <is>
          <t>2G</t>
        </is>
      </c>
      <c r="M14" t="n">
        <v>1800</v>
      </c>
      <c r="N14" s="92" t="inlineStr">
        <is>
          <t>AQU4518R9v06</t>
        </is>
      </c>
      <c r="O14" t="n">
        <v>0</v>
      </c>
      <c r="P14" t="n">
        <v>40</v>
      </c>
      <c r="R14" t="n">
        <v>2</v>
      </c>
      <c r="Y14" s="91" t="inlineStr">
        <is>
          <t>1T1R</t>
        </is>
      </c>
      <c r="AA14" s="91" t="inlineStr">
        <is>
          <t>1T1R</t>
        </is>
      </c>
      <c r="AB14" s="91" t="inlineStr">
        <is>
          <t>R9264H M901821</t>
        </is>
      </c>
      <c r="AC14" s="91" t="inlineStr">
        <is>
          <t>A9652 S35*3+R9264H M901821*4+R9254E S8500*2+FL8590A*4</t>
        </is>
      </c>
      <c r="AD14" s="91" t="inlineStr">
        <is>
          <t>AQU4518R9v06</t>
        </is>
      </c>
      <c r="AE14" s="91" t="n">
        <v>0</v>
      </c>
      <c r="AF14" s="91" t="n">
        <v>40</v>
      </c>
      <c r="AG14" s="91" t="n"/>
      <c r="AH14" s="91" t="n">
        <v>2</v>
      </c>
      <c r="AL14" s="91" t="inlineStr">
        <is>
          <t>pilot'</t>
        </is>
      </c>
    </row>
    <row r="15" ht="15" customHeight="1" s="99">
      <c r="A15" t="inlineStr">
        <is>
          <t>GMKAL2</t>
        </is>
      </c>
      <c r="B15" t="inlineStr">
        <is>
          <t>GMKAL2_G_Kalagedihena__89__Gm</t>
        </is>
      </c>
      <c r="C15" s="89" t="inlineStr">
        <is>
          <t>Huawei</t>
        </is>
      </c>
      <c r="F15" t="n">
        <v>7.117603</v>
      </c>
      <c r="G15" t="n">
        <v>80.06068</v>
      </c>
      <c r="H15" t="inlineStr">
        <is>
          <t>GMKAL2A</t>
        </is>
      </c>
      <c r="J15" s="91" t="n"/>
      <c r="K15" t="inlineStr">
        <is>
          <t>S1</t>
        </is>
      </c>
      <c r="L15" t="inlineStr">
        <is>
          <t>2G</t>
        </is>
      </c>
      <c r="M15" t="n">
        <v>900</v>
      </c>
      <c r="N15" s="92" t="inlineStr">
        <is>
          <t>AQU4518R9v06</t>
        </is>
      </c>
      <c r="O15" t="n">
        <v>0</v>
      </c>
      <c r="P15" t="n">
        <v>40</v>
      </c>
      <c r="R15" t="n">
        <v>2</v>
      </c>
      <c r="AA15" s="91" t="inlineStr">
        <is>
          <t>1T1R</t>
        </is>
      </c>
      <c r="AB15" s="91" t="inlineStr">
        <is>
          <t>R9264H M901821</t>
        </is>
      </c>
      <c r="AC15" s="91" t="inlineStr">
        <is>
          <t>A9652 S35*3+R9264H M901821*4+R9254E S8500*2+FL8590A*4</t>
        </is>
      </c>
      <c r="AD15" s="91" t="inlineStr">
        <is>
          <t>AQU4518R9v06</t>
        </is>
      </c>
      <c r="AE15" s="91" t="n">
        <v>0</v>
      </c>
      <c r="AF15" s="91" t="n">
        <v>40</v>
      </c>
      <c r="AG15" s="91" t="n"/>
      <c r="AH15" s="91" t="n">
        <v>2</v>
      </c>
      <c r="AL15" s="91" t="inlineStr">
        <is>
          <t>pilot'</t>
        </is>
      </c>
    </row>
    <row r="16" ht="15" customHeight="1" s="99">
      <c r="A16" t="inlineStr">
        <is>
          <t>GMKAL2</t>
        </is>
      </c>
      <c r="B16" t="inlineStr">
        <is>
          <t>GMKAL2_G_Kalagedihena__89__Gm</t>
        </is>
      </c>
      <c r="C16" s="89" t="inlineStr">
        <is>
          <t>Huawei</t>
        </is>
      </c>
      <c r="F16" t="n">
        <v>7.117603</v>
      </c>
      <c r="G16" t="n">
        <v>80.06068</v>
      </c>
      <c r="H16" t="inlineStr">
        <is>
          <t>GMKAL2Q</t>
        </is>
      </c>
      <c r="J16" s="91" t="n"/>
      <c r="K16" t="inlineStr">
        <is>
          <t>S2</t>
        </is>
      </c>
      <c r="L16" t="inlineStr">
        <is>
          <t>2G</t>
        </is>
      </c>
      <c r="M16" t="n">
        <v>1800</v>
      </c>
      <c r="N16" s="92" t="inlineStr">
        <is>
          <t>AQU4518R9v06</t>
        </is>
      </c>
      <c r="O16" t="n">
        <v>0</v>
      </c>
      <c r="P16" t="n">
        <v>165</v>
      </c>
      <c r="R16" t="n">
        <v>2</v>
      </c>
      <c r="Y16" s="91" t="inlineStr">
        <is>
          <t>1T1R</t>
        </is>
      </c>
      <c r="AA16" s="91" t="inlineStr">
        <is>
          <t>1T1R</t>
        </is>
      </c>
      <c r="AB16" s="91" t="inlineStr">
        <is>
          <t>R9264H M901821</t>
        </is>
      </c>
      <c r="AC16" s="91" t="inlineStr">
        <is>
          <t>A9652 S35*3+R9264H M901821*4+R9254E S8500*2+FL8590A*4</t>
        </is>
      </c>
      <c r="AD16" s="91" t="inlineStr">
        <is>
          <t>AQU4518R9v06</t>
        </is>
      </c>
      <c r="AE16" s="91" t="n">
        <v>0</v>
      </c>
      <c r="AF16" s="91" t="n">
        <v>165</v>
      </c>
      <c r="AG16" s="91" t="n"/>
      <c r="AH16" s="91" t="n">
        <v>2</v>
      </c>
      <c r="AL16" s="91" t="inlineStr">
        <is>
          <t>pilot'</t>
        </is>
      </c>
    </row>
    <row r="17" ht="15" customHeight="1" s="99">
      <c r="A17" t="inlineStr">
        <is>
          <t>GMKAL2</t>
        </is>
      </c>
      <c r="B17" t="inlineStr">
        <is>
          <t>GMKAL2_G_Kalagedihena__89__Gm</t>
        </is>
      </c>
      <c r="C17" s="89" t="inlineStr">
        <is>
          <t>Huawei</t>
        </is>
      </c>
      <c r="F17" t="n">
        <v>7.117603</v>
      </c>
      <c r="G17" t="n">
        <v>80.06068</v>
      </c>
      <c r="H17" t="inlineStr">
        <is>
          <t>GMKAL2B</t>
        </is>
      </c>
      <c r="J17" s="91" t="n"/>
      <c r="K17" t="inlineStr">
        <is>
          <t>S2</t>
        </is>
      </c>
      <c r="L17" t="inlineStr">
        <is>
          <t>2G</t>
        </is>
      </c>
      <c r="M17" t="n">
        <v>900</v>
      </c>
      <c r="N17" s="92" t="inlineStr">
        <is>
          <t>AQU4518R9v06</t>
        </is>
      </c>
      <c r="O17" t="n">
        <v>0</v>
      </c>
      <c r="P17" t="n">
        <v>165</v>
      </c>
      <c r="R17" t="n">
        <v>2</v>
      </c>
      <c r="AA17" s="91" t="inlineStr">
        <is>
          <t>1T1R</t>
        </is>
      </c>
      <c r="AB17" s="91" t="inlineStr">
        <is>
          <t>R9264H M901821</t>
        </is>
      </c>
      <c r="AC17" s="91" t="inlineStr">
        <is>
          <t>A9652 S35*3+R9264H M901821*4+R9254E S8500*2+FL8590A*4</t>
        </is>
      </c>
      <c r="AD17" s="91" t="inlineStr">
        <is>
          <t>AQU4518R9v06</t>
        </is>
      </c>
      <c r="AE17" s="91" t="n">
        <v>0</v>
      </c>
      <c r="AF17" s="91" t="n">
        <v>165</v>
      </c>
      <c r="AG17" s="91" t="n"/>
      <c r="AH17" s="91" t="n">
        <v>2</v>
      </c>
      <c r="AL17" s="91" t="inlineStr">
        <is>
          <t>pilot'</t>
        </is>
      </c>
    </row>
    <row r="18" ht="15" customHeight="1" s="99">
      <c r="A18" t="inlineStr">
        <is>
          <t>GMKAL2</t>
        </is>
      </c>
      <c r="B18" t="inlineStr">
        <is>
          <t>GMKAL2_G_Kalagedihena__89__Gm</t>
        </is>
      </c>
      <c r="C18" s="89" t="inlineStr">
        <is>
          <t>Huawei</t>
        </is>
      </c>
      <c r="F18" t="n">
        <v>7.118</v>
      </c>
      <c r="G18" t="n">
        <v>80.05719999999999</v>
      </c>
      <c r="H18" t="inlineStr">
        <is>
          <t>GMKAL2R</t>
        </is>
      </c>
      <c r="J18" s="91" t="n"/>
      <c r="K18" t="inlineStr">
        <is>
          <t>S3</t>
        </is>
      </c>
      <c r="L18" t="inlineStr">
        <is>
          <t>2G</t>
        </is>
      </c>
      <c r="M18" t="n">
        <v>1800</v>
      </c>
      <c r="N18" s="92" t="inlineStr">
        <is>
          <t>AQU4518R9v06</t>
        </is>
      </c>
      <c r="O18" t="n">
        <v>0</v>
      </c>
      <c r="P18" t="n">
        <v>220</v>
      </c>
      <c r="R18" t="n">
        <v>2</v>
      </c>
      <c r="Y18" s="91" t="inlineStr">
        <is>
          <t>1T1R</t>
        </is>
      </c>
      <c r="AA18" s="91" t="inlineStr">
        <is>
          <t>1T1R</t>
        </is>
      </c>
      <c r="AB18" s="91" t="inlineStr">
        <is>
          <t>R9264H M901821</t>
        </is>
      </c>
      <c r="AC18" s="91" t="inlineStr">
        <is>
          <t>A9652 S35*3+R9264H M901821*4+R9254E S8500*2+FL8590A*4</t>
        </is>
      </c>
      <c r="AD18" s="91" t="inlineStr">
        <is>
          <t>AQU4518R9v06</t>
        </is>
      </c>
      <c r="AE18" s="91" t="n">
        <v>0</v>
      </c>
      <c r="AF18" s="91" t="n">
        <v>220</v>
      </c>
      <c r="AG18" s="91" t="n"/>
      <c r="AH18" s="91" t="n">
        <v>2</v>
      </c>
      <c r="AL18" s="91" t="inlineStr">
        <is>
          <t>pilot'</t>
        </is>
      </c>
    </row>
    <row r="19" ht="15" customHeight="1" s="99">
      <c r="A19" t="inlineStr">
        <is>
          <t>GMKAL2</t>
        </is>
      </c>
      <c r="B19" t="inlineStr">
        <is>
          <t>GMKAL2_G_Kalagedihena__89__Gm</t>
        </is>
      </c>
      <c r="C19" s="89" t="inlineStr">
        <is>
          <t>Huawei</t>
        </is>
      </c>
      <c r="F19" t="n">
        <v>7.117603</v>
      </c>
      <c r="G19" t="n">
        <v>80.06068</v>
      </c>
      <c r="H19" t="inlineStr">
        <is>
          <t>GMKAL2C</t>
        </is>
      </c>
      <c r="J19" s="91" t="n"/>
      <c r="K19" t="inlineStr">
        <is>
          <t>S3</t>
        </is>
      </c>
      <c r="L19" t="inlineStr">
        <is>
          <t>2G</t>
        </is>
      </c>
      <c r="M19" t="n">
        <v>900</v>
      </c>
      <c r="N19" s="92" t="inlineStr">
        <is>
          <t>AQU4518R9v06</t>
        </is>
      </c>
      <c r="O19" t="n">
        <v>0</v>
      </c>
      <c r="P19" t="n">
        <v>240</v>
      </c>
      <c r="R19" t="n">
        <v>2</v>
      </c>
      <c r="AA19" s="91" t="inlineStr">
        <is>
          <t>1T1R</t>
        </is>
      </c>
      <c r="AB19" s="91" t="inlineStr">
        <is>
          <t>R9264H M901821</t>
        </is>
      </c>
      <c r="AC19" s="91" t="inlineStr">
        <is>
          <t>A9652 S35*3+R9264H M901821*4+R9254E S8500*2+FL8590A*4</t>
        </is>
      </c>
      <c r="AD19" s="91" t="inlineStr">
        <is>
          <t>AQU4518R9v06</t>
        </is>
      </c>
      <c r="AE19" s="91" t="n">
        <v>0</v>
      </c>
      <c r="AF19" s="91" t="n">
        <v>240</v>
      </c>
      <c r="AG19" s="91" t="n"/>
      <c r="AH19" s="91" t="n">
        <v>2</v>
      </c>
      <c r="AL19" s="91" t="inlineStr">
        <is>
          <t>pilot'</t>
        </is>
      </c>
    </row>
    <row r="20" ht="15" customHeight="1" s="99">
      <c r="A20" t="inlineStr">
        <is>
          <t>GMKAL2</t>
        </is>
      </c>
      <c r="B20" t="inlineStr">
        <is>
          <t>GMKAL2_G_Kalagedihena__89__Gm</t>
        </is>
      </c>
      <c r="C20" s="89" t="inlineStr">
        <is>
          <t>Huawei</t>
        </is>
      </c>
      <c r="F20" t="n">
        <v>7.11759</v>
      </c>
      <c r="G20" t="n">
        <v>80.0607</v>
      </c>
      <c r="H20" t="inlineStr">
        <is>
          <t>GMKAL2S</t>
        </is>
      </c>
      <c r="J20" s="91" t="n"/>
      <c r="K20" t="inlineStr">
        <is>
          <t>S4</t>
        </is>
      </c>
      <c r="L20" t="inlineStr">
        <is>
          <t>2G</t>
        </is>
      </c>
      <c r="M20" t="n">
        <v>1800</v>
      </c>
      <c r="N20" s="92" t="inlineStr">
        <is>
          <t>AQU4518R9v06</t>
        </is>
      </c>
      <c r="O20" t="n">
        <v>0</v>
      </c>
      <c r="P20" t="n">
        <v>285</v>
      </c>
      <c r="R20" t="n">
        <v>2</v>
      </c>
      <c r="Y20" s="91" t="inlineStr">
        <is>
          <t>1T1R</t>
        </is>
      </c>
      <c r="AA20" s="91" t="inlineStr">
        <is>
          <t>1T1R</t>
        </is>
      </c>
      <c r="AB20" s="91" t="inlineStr">
        <is>
          <t>R9264H M901821</t>
        </is>
      </c>
      <c r="AC20" s="91" t="inlineStr">
        <is>
          <t>A9652 S35*3+R9264H M901821*4+R9254E S8500*2+FL8590A*4</t>
        </is>
      </c>
      <c r="AD20" s="91" t="inlineStr">
        <is>
          <t>AQU4518R9v06</t>
        </is>
      </c>
      <c r="AE20" s="91" t="n">
        <v>0</v>
      </c>
      <c r="AF20" s="91" t="n">
        <v>285</v>
      </c>
      <c r="AG20" s="91" t="n"/>
      <c r="AH20" s="91" t="n">
        <v>2</v>
      </c>
      <c r="AL20" s="91" t="inlineStr">
        <is>
          <t>pilot'</t>
        </is>
      </c>
    </row>
    <row r="21" ht="15" customHeight="1" s="99">
      <c r="A21" t="inlineStr">
        <is>
          <t>GMKAL2</t>
        </is>
      </c>
      <c r="B21" t="inlineStr">
        <is>
          <t>GMKAL2_G_Kalagedihena__89__Gm</t>
        </is>
      </c>
      <c r="C21" s="89" t="inlineStr">
        <is>
          <t>Huawei</t>
        </is>
      </c>
      <c r="F21" t="n">
        <v>7.117603</v>
      </c>
      <c r="G21" t="n">
        <v>80.06068</v>
      </c>
      <c r="H21" t="inlineStr">
        <is>
          <t>GMKAL2D</t>
        </is>
      </c>
      <c r="J21" s="91" t="n"/>
      <c r="K21" t="inlineStr">
        <is>
          <t>S4</t>
        </is>
      </c>
      <c r="L21" t="inlineStr">
        <is>
          <t>2G</t>
        </is>
      </c>
      <c r="M21" t="n">
        <v>900</v>
      </c>
      <c r="N21" s="92" t="inlineStr">
        <is>
          <t>AQU4518R9v06</t>
        </is>
      </c>
      <c r="O21" t="n">
        <v>0</v>
      </c>
      <c r="P21" t="n">
        <v>285</v>
      </c>
      <c r="R21" t="n">
        <v>2</v>
      </c>
      <c r="AA21" s="91" t="inlineStr">
        <is>
          <t>1T1R</t>
        </is>
      </c>
      <c r="AB21" s="91" t="inlineStr">
        <is>
          <t>R9264H M901821</t>
        </is>
      </c>
      <c r="AC21" s="91" t="inlineStr">
        <is>
          <t>A9652 S35*3+R9264H M901821*4+R9254E S8500*2+FL8590A*4</t>
        </is>
      </c>
      <c r="AD21" s="91" t="inlineStr">
        <is>
          <t>AQU4518R9v06</t>
        </is>
      </c>
      <c r="AE21" s="91" t="n">
        <v>0</v>
      </c>
      <c r="AF21" s="91" t="n">
        <v>285</v>
      </c>
      <c r="AG21" s="91" t="n"/>
      <c r="AH21" s="91" t="n">
        <v>2</v>
      </c>
      <c r="AL21" s="91" t="inlineStr">
        <is>
          <t>pilot'</t>
        </is>
      </c>
    </row>
    <row r="22" ht="15" customHeight="1" s="99">
      <c r="A22" t="inlineStr">
        <is>
          <t>GMKAL2</t>
        </is>
      </c>
      <c r="B22" t="inlineStr">
        <is>
          <t>GMKAL2_GUL00_Kalagedihena_Gm</t>
        </is>
      </c>
      <c r="C22" s="89" t="inlineStr">
        <is>
          <t>Huawei</t>
        </is>
      </c>
      <c r="F22" t="n">
        <v>7.117603</v>
      </c>
      <c r="G22" t="n">
        <v>80.06068</v>
      </c>
      <c r="H22" t="inlineStr">
        <is>
          <t>GMKAL2-M-L21-A2</t>
        </is>
      </c>
      <c r="J22" s="91" t="n"/>
      <c r="K22" t="inlineStr">
        <is>
          <t>S1</t>
        </is>
      </c>
      <c r="L22" t="inlineStr">
        <is>
          <t>4G</t>
        </is>
      </c>
      <c r="M22" t="n">
        <v>2100</v>
      </c>
      <c r="N22" s="93" t="inlineStr">
        <is>
          <t>AQU4518R9v06</t>
        </is>
      </c>
      <c r="O22" t="n">
        <v>70</v>
      </c>
      <c r="P22" t="n">
        <v>40</v>
      </c>
      <c r="R22" t="n">
        <v>0</v>
      </c>
      <c r="Y22" s="91">
        <f>_xlfn.XLOOKUP(H22,'[1]4G Parameters'!$G:$G,'[1]4G Parameters'!$AA:$AA)</f>
        <v/>
      </c>
      <c r="Z22" s="91" t="inlineStr">
        <is>
          <t>6T6R</t>
        </is>
      </c>
      <c r="AA22" s="91" t="inlineStr">
        <is>
          <t>4TR</t>
        </is>
      </c>
      <c r="AB22" s="91" t="inlineStr">
        <is>
          <t>R9264H M901821</t>
        </is>
      </c>
      <c r="AC22" s="91" t="inlineStr">
        <is>
          <t>A9652 S35*3+R9264H M901821*4+R9254E S8500*2+FL8590A*4</t>
        </is>
      </c>
      <c r="AD22" s="91" t="inlineStr">
        <is>
          <t>AQU4518R9v06</t>
        </is>
      </c>
      <c r="AE22" s="91" t="n">
        <v>70</v>
      </c>
      <c r="AF22" s="91" t="n">
        <v>40</v>
      </c>
      <c r="AG22" s="91" t="n"/>
      <c r="AH22" s="91" t="n">
        <v>0</v>
      </c>
      <c r="AI22" s="91">
        <f>_xlfn.XLOOKUP(A22,'[2]177+10+50 Sites (detail)'!$B:$B,'[2]177+10+50 Sites (detail)'!$I:$I)</f>
        <v/>
      </c>
      <c r="AJ22" s="91">
        <f>_xlfn.XLOOKUP(A22,[3]最小距离站点!$A:$A,[3]最小距离站点!$B:$B)</f>
        <v/>
      </c>
      <c r="AK22" s="91">
        <f>_xlfn.XLOOKUP(A22,[3]最小距离站点!$A:$A,[3]最小距离站点!$C:$C)</f>
        <v/>
      </c>
      <c r="AL22" s="91" t="inlineStr">
        <is>
          <t>pilot'</t>
        </is>
      </c>
    </row>
    <row r="23" ht="15" customHeight="1" s="99">
      <c r="A23" t="inlineStr">
        <is>
          <t>GMKAL2</t>
        </is>
      </c>
      <c r="B23" t="inlineStr">
        <is>
          <t>GMKAL2_GUL00_Kalagedihena_Gm</t>
        </is>
      </c>
      <c r="C23" s="89" t="inlineStr">
        <is>
          <t>Huawei</t>
        </is>
      </c>
      <c r="F23" t="n">
        <v>7.117603</v>
      </c>
      <c r="G23" t="n">
        <v>80.06068</v>
      </c>
      <c r="H23" t="inlineStr">
        <is>
          <t>GMKAL2G</t>
        </is>
      </c>
      <c r="J23" s="91" t="n"/>
      <c r="K23" t="inlineStr">
        <is>
          <t>S1</t>
        </is>
      </c>
      <c r="L23" t="inlineStr">
        <is>
          <t>4G</t>
        </is>
      </c>
      <c r="M23" t="n">
        <v>1800</v>
      </c>
      <c r="N23" s="93" t="inlineStr">
        <is>
          <t>AQU4518R9v06</t>
        </is>
      </c>
      <c r="O23" t="n">
        <v>70</v>
      </c>
      <c r="P23" t="n">
        <v>40</v>
      </c>
      <c r="R23" t="n">
        <v>0</v>
      </c>
      <c r="Y23" s="91">
        <f>_xlfn.XLOOKUP(H23,'[1]4G Parameters'!$G:$G,'[1]4G Parameters'!$AA:$AA)</f>
        <v/>
      </c>
      <c r="Z23" s="91" t="inlineStr">
        <is>
          <t>6T6R</t>
        </is>
      </c>
      <c r="AA23" s="91" t="inlineStr">
        <is>
          <t>4TR</t>
        </is>
      </c>
      <c r="AB23" s="91" t="inlineStr">
        <is>
          <t>R9264H M901821</t>
        </is>
      </c>
      <c r="AC23" s="91" t="inlineStr">
        <is>
          <t>A9652 S35*3+R9264H M901821*4+R9254E S8500*2+FL8590A*4</t>
        </is>
      </c>
      <c r="AD23" s="91" t="inlineStr">
        <is>
          <t>AQU4518R9v06</t>
        </is>
      </c>
      <c r="AE23" s="91" t="n">
        <v>70</v>
      </c>
      <c r="AF23" s="91" t="n">
        <v>40</v>
      </c>
      <c r="AG23" s="91" t="n"/>
      <c r="AH23" s="91" t="n">
        <v>0</v>
      </c>
      <c r="AI23" s="91">
        <f>_xlfn.XLOOKUP(A23,'[2]177+10+50 Sites (detail)'!$B:$B,'[2]177+10+50 Sites (detail)'!$I:$I)</f>
        <v/>
      </c>
      <c r="AJ23" s="91">
        <f>_xlfn.XLOOKUP(A23,[3]最小距离站点!$A:$A,[3]最小距离站点!$B:$B)</f>
        <v/>
      </c>
      <c r="AK23" s="91">
        <f>_xlfn.XLOOKUP(A23,[3]最小距离站点!$A:$A,[3]最小距离站点!$C:$C)</f>
        <v/>
      </c>
      <c r="AL23" s="91" t="inlineStr">
        <is>
          <t>pilot'</t>
        </is>
      </c>
    </row>
    <row r="24" ht="15" customHeight="1" s="99">
      <c r="A24" t="inlineStr">
        <is>
          <t>GMKAL2</t>
        </is>
      </c>
      <c r="B24" t="inlineStr">
        <is>
          <t>GMKAL2_GUL00_Kalagedihena_Gm</t>
        </is>
      </c>
      <c r="C24" s="89" t="inlineStr">
        <is>
          <t>Huawei</t>
        </is>
      </c>
      <c r="F24" t="n">
        <v>7.117603</v>
      </c>
      <c r="G24" t="n">
        <v>80.06068</v>
      </c>
      <c r="H24" t="inlineStr">
        <is>
          <t>GMKAL2-M-L85-A1</t>
        </is>
      </c>
      <c r="J24" s="91" t="n"/>
      <c r="K24" t="inlineStr">
        <is>
          <t>S1</t>
        </is>
      </c>
      <c r="L24" t="inlineStr">
        <is>
          <t>4G</t>
        </is>
      </c>
      <c r="M24" t="n">
        <v>850</v>
      </c>
      <c r="N24" s="93" t="inlineStr">
        <is>
          <t>AQU4518R9v06</t>
        </is>
      </c>
      <c r="O24" t="n">
        <v>70</v>
      </c>
      <c r="P24" t="n">
        <v>40</v>
      </c>
      <c r="R24" t="n">
        <v>0</v>
      </c>
      <c r="Y24" s="91">
        <f>_xlfn.XLOOKUP(H24,'[1]4G Parameters'!$G:$G,'[1]4G Parameters'!$AA:$AA)</f>
        <v/>
      </c>
      <c r="Z24" s="91" t="inlineStr">
        <is>
          <t>2T2R</t>
        </is>
      </c>
      <c r="AA24" s="91" t="inlineStr">
        <is>
          <t>2T2R</t>
        </is>
      </c>
      <c r="AB24" s="91" t="inlineStr">
        <is>
          <t>R9254E S8500</t>
        </is>
      </c>
      <c r="AC24" s="91" t="inlineStr">
        <is>
          <t>A9652 S35*3+R9264H M901821*4+R9254E S8500*2+FL8590A*4</t>
        </is>
      </c>
      <c r="AD24" s="91" t="inlineStr">
        <is>
          <t>AQU4518R9v06</t>
        </is>
      </c>
      <c r="AE24" s="91" t="n">
        <v>70</v>
      </c>
      <c r="AF24" s="91" t="n">
        <v>40</v>
      </c>
      <c r="AG24" s="91" t="n"/>
      <c r="AH24" s="91" t="n">
        <v>0</v>
      </c>
      <c r="AI24" s="91">
        <f>_xlfn.XLOOKUP(A24,'[2]177+10+50 Sites (detail)'!$B:$B,'[2]177+10+50 Sites (detail)'!$I:$I)</f>
        <v/>
      </c>
      <c r="AJ24" s="91">
        <f>_xlfn.XLOOKUP(A24,[3]最小距离站点!$A:$A,[3]最小距离站点!$B:$B)</f>
        <v/>
      </c>
      <c r="AK24" s="91">
        <f>_xlfn.XLOOKUP(A24,[3]最小距离站点!$A:$A,[3]最小距离站点!$C:$C)</f>
        <v/>
      </c>
      <c r="AL24" s="91" t="inlineStr">
        <is>
          <t>pilot'</t>
        </is>
      </c>
    </row>
    <row r="25" ht="15" customHeight="1" s="99">
      <c r="A25" t="inlineStr">
        <is>
          <t>GMKAL2</t>
        </is>
      </c>
      <c r="B25" t="inlineStr">
        <is>
          <t>GMKAL2_GUL00_Kalagedihena_Gm</t>
        </is>
      </c>
      <c r="C25" s="89" t="inlineStr">
        <is>
          <t>Huawei</t>
        </is>
      </c>
      <c r="F25" t="n">
        <v>7.117603</v>
      </c>
      <c r="G25" t="n">
        <v>80.06068</v>
      </c>
      <c r="H25" t="inlineStr">
        <is>
          <t>GMKAL2-M-L21-B2</t>
        </is>
      </c>
      <c r="J25" s="91" t="n"/>
      <c r="K25" t="inlineStr">
        <is>
          <t>S2</t>
        </is>
      </c>
      <c r="L25" t="inlineStr">
        <is>
          <t>4G</t>
        </is>
      </c>
      <c r="M25" t="n">
        <v>2100</v>
      </c>
      <c r="N25" s="93" t="inlineStr">
        <is>
          <t>AQU4518R9v06</t>
        </is>
      </c>
      <c r="O25" t="n">
        <v>70</v>
      </c>
      <c r="P25" t="n">
        <v>165</v>
      </c>
      <c r="R25" t="n">
        <v>0</v>
      </c>
      <c r="Y25" s="91">
        <f>_xlfn.XLOOKUP(H25,'[1]4G Parameters'!$G:$G,'[1]4G Parameters'!$AA:$AA)</f>
        <v/>
      </c>
      <c r="Z25" s="91" t="inlineStr">
        <is>
          <t>6T6R</t>
        </is>
      </c>
      <c r="AA25" s="91" t="inlineStr">
        <is>
          <t>4TR</t>
        </is>
      </c>
      <c r="AB25" s="91" t="inlineStr">
        <is>
          <t>R9264H M901821</t>
        </is>
      </c>
      <c r="AC25" s="91" t="inlineStr">
        <is>
          <t>A9652 S35*3+R9264H M901821*4+R9254E S8500*2+FL8590A*4</t>
        </is>
      </c>
      <c r="AD25" s="91" t="inlineStr">
        <is>
          <t>AQU4518R9v06</t>
        </is>
      </c>
      <c r="AE25" s="91" t="n">
        <v>70</v>
      </c>
      <c r="AF25" s="91" t="n">
        <v>165</v>
      </c>
      <c r="AG25" s="91" t="n"/>
      <c r="AH25" s="91" t="n">
        <v>0</v>
      </c>
      <c r="AI25" s="91">
        <f>_xlfn.XLOOKUP(A25,'[2]177+10+50 Sites (detail)'!$B:$B,'[2]177+10+50 Sites (detail)'!$I:$I)</f>
        <v/>
      </c>
      <c r="AJ25" s="91">
        <f>_xlfn.XLOOKUP(A25,[3]最小距离站点!$A:$A,[3]最小距离站点!$B:$B)</f>
        <v/>
      </c>
      <c r="AK25" s="91">
        <f>_xlfn.XLOOKUP(A25,[3]最小距离站点!$A:$A,[3]最小距离站点!$C:$C)</f>
        <v/>
      </c>
      <c r="AL25" s="91" t="inlineStr">
        <is>
          <t>pilot'</t>
        </is>
      </c>
    </row>
    <row r="26" ht="15" customHeight="1" s="99">
      <c r="A26" t="inlineStr">
        <is>
          <t>GMKAL2</t>
        </is>
      </c>
      <c r="B26" t="inlineStr">
        <is>
          <t>GMKAL2_GUL00_Kalagedihena_Gm</t>
        </is>
      </c>
      <c r="C26" s="89" t="inlineStr">
        <is>
          <t>Huawei</t>
        </is>
      </c>
      <c r="F26" t="n">
        <v>7.117603</v>
      </c>
      <c r="G26" t="n">
        <v>80.06068</v>
      </c>
      <c r="H26" t="inlineStr">
        <is>
          <t>GMKAL2H</t>
        </is>
      </c>
      <c r="J26" s="91" t="n"/>
      <c r="K26" t="inlineStr">
        <is>
          <t>S2</t>
        </is>
      </c>
      <c r="L26" t="inlineStr">
        <is>
          <t>4G</t>
        </is>
      </c>
      <c r="M26" t="n">
        <v>1800</v>
      </c>
      <c r="N26" s="93" t="inlineStr">
        <is>
          <t>AQU4518R9v06</t>
        </is>
      </c>
      <c r="O26" t="n">
        <v>70</v>
      </c>
      <c r="P26" t="n">
        <v>165</v>
      </c>
      <c r="R26" t="n">
        <v>0</v>
      </c>
      <c r="Y26" s="91">
        <f>_xlfn.XLOOKUP(H26,'[1]4G Parameters'!$G:$G,'[1]4G Parameters'!$AA:$AA)</f>
        <v/>
      </c>
      <c r="Z26" s="91" t="inlineStr">
        <is>
          <t>6T6R</t>
        </is>
      </c>
      <c r="AA26" s="91" t="inlineStr">
        <is>
          <t>4TR</t>
        </is>
      </c>
      <c r="AB26" s="91" t="inlineStr">
        <is>
          <t>R9264H M901821</t>
        </is>
      </c>
      <c r="AC26" s="91" t="inlineStr">
        <is>
          <t>A9652 S35*3+R9264H M901821*4+R9254E S8500*2+FL8590A*4</t>
        </is>
      </c>
      <c r="AD26" s="91" t="inlineStr">
        <is>
          <t>AQU4518R9v06</t>
        </is>
      </c>
      <c r="AE26" s="91" t="n">
        <v>70</v>
      </c>
      <c r="AF26" s="91" t="n">
        <v>165</v>
      </c>
      <c r="AG26" s="91" t="n"/>
      <c r="AH26" s="91" t="n">
        <v>0</v>
      </c>
      <c r="AI26" s="91">
        <f>_xlfn.XLOOKUP(A26,'[2]177+10+50 Sites (detail)'!$B:$B,'[2]177+10+50 Sites (detail)'!$I:$I)</f>
        <v/>
      </c>
      <c r="AJ26" s="91">
        <f>_xlfn.XLOOKUP(A26,[3]最小距离站点!$A:$A,[3]最小距离站点!$B:$B)</f>
        <v/>
      </c>
      <c r="AK26" s="91">
        <f>_xlfn.XLOOKUP(A26,[3]最小距离站点!$A:$A,[3]最小距离站点!$C:$C)</f>
        <v/>
      </c>
      <c r="AL26" s="91" t="inlineStr">
        <is>
          <t>pilot'</t>
        </is>
      </c>
    </row>
    <row r="27" ht="15" customHeight="1" s="99">
      <c r="A27" t="inlineStr">
        <is>
          <t>GMKAL2</t>
        </is>
      </c>
      <c r="B27" t="inlineStr">
        <is>
          <t>GMKAL2_GUL00_Kalagedihena_Gm</t>
        </is>
      </c>
      <c r="C27" s="89" t="inlineStr">
        <is>
          <t>Huawei</t>
        </is>
      </c>
      <c r="F27" t="n">
        <v>7.117603</v>
      </c>
      <c r="G27" t="n">
        <v>80.06068</v>
      </c>
      <c r="H27" t="inlineStr">
        <is>
          <t>GMKAL2-M-L85-B1</t>
        </is>
      </c>
      <c r="J27" s="91" t="n"/>
      <c r="K27" t="inlineStr">
        <is>
          <t>S2</t>
        </is>
      </c>
      <c r="L27" t="inlineStr">
        <is>
          <t>4G</t>
        </is>
      </c>
      <c r="M27" t="n">
        <v>850</v>
      </c>
      <c r="N27" s="93" t="inlineStr">
        <is>
          <t>AQU4518R9v06</t>
        </is>
      </c>
      <c r="O27" t="n">
        <v>70</v>
      </c>
      <c r="P27" t="n">
        <v>165</v>
      </c>
      <c r="R27" t="n">
        <v>0</v>
      </c>
      <c r="Y27" s="91">
        <f>_xlfn.XLOOKUP(H27,'[1]4G Parameters'!$G:$G,'[1]4G Parameters'!$AA:$AA)</f>
        <v/>
      </c>
      <c r="Z27" s="91" t="inlineStr">
        <is>
          <t>2T2R</t>
        </is>
      </c>
      <c r="AA27" s="91" t="inlineStr">
        <is>
          <t>2T2R</t>
        </is>
      </c>
      <c r="AB27" s="91" t="inlineStr">
        <is>
          <t>R9254E S8500</t>
        </is>
      </c>
      <c r="AC27" s="91" t="inlineStr">
        <is>
          <t>A9652 S35*3+R9264H M901821*4+R9254E S8500*2+FL8590A*4</t>
        </is>
      </c>
      <c r="AD27" s="91" t="inlineStr">
        <is>
          <t>AQU4518R9v06</t>
        </is>
      </c>
      <c r="AE27" s="91" t="n">
        <v>70</v>
      </c>
      <c r="AF27" s="91" t="n">
        <v>165</v>
      </c>
      <c r="AG27" s="91" t="n"/>
      <c r="AH27" s="91" t="n">
        <v>0</v>
      </c>
      <c r="AI27" s="91">
        <f>_xlfn.XLOOKUP(A27,'[2]177+10+50 Sites (detail)'!$B:$B,'[2]177+10+50 Sites (detail)'!$I:$I)</f>
        <v/>
      </c>
      <c r="AJ27" s="91">
        <f>_xlfn.XLOOKUP(A27,[3]最小距离站点!$A:$A,[3]最小距离站点!$B:$B)</f>
        <v/>
      </c>
      <c r="AK27" s="91">
        <f>_xlfn.XLOOKUP(A27,[3]最小距离站点!$A:$A,[3]最小距离站点!$C:$C)</f>
        <v/>
      </c>
      <c r="AL27" s="91" t="inlineStr">
        <is>
          <t>pilot'</t>
        </is>
      </c>
    </row>
    <row r="28" ht="15" customHeight="1" s="99">
      <c r="A28" t="inlineStr">
        <is>
          <t>GMKAL2</t>
        </is>
      </c>
      <c r="B28" t="inlineStr">
        <is>
          <t>GMKAL2_GUL00_Kalagedihena_Gm</t>
        </is>
      </c>
      <c r="C28" s="89" t="inlineStr">
        <is>
          <t>Huawei</t>
        </is>
      </c>
      <c r="F28" t="n">
        <v>7.117603</v>
      </c>
      <c r="G28" t="n">
        <v>80.06068</v>
      </c>
      <c r="H28" t="inlineStr">
        <is>
          <t>GMKAL2-M-L21-C2</t>
        </is>
      </c>
      <c r="J28" s="91" t="n"/>
      <c r="K28" t="inlineStr">
        <is>
          <t>S3</t>
        </is>
      </c>
      <c r="L28" t="inlineStr">
        <is>
          <t>4G</t>
        </is>
      </c>
      <c r="M28" t="n">
        <v>2100</v>
      </c>
      <c r="N28" s="93" t="inlineStr">
        <is>
          <t>AQU4518R9v06</t>
        </is>
      </c>
      <c r="O28" t="n">
        <v>70</v>
      </c>
      <c r="P28" t="n">
        <v>220</v>
      </c>
      <c r="R28" t="n">
        <v>0</v>
      </c>
      <c r="Y28" s="91">
        <f>_xlfn.XLOOKUP(H28,'[1]4G Parameters'!$G:$G,'[1]4G Parameters'!$AA:$AA)</f>
        <v/>
      </c>
      <c r="Z28" s="91" t="inlineStr">
        <is>
          <t>6T6R</t>
        </is>
      </c>
      <c r="AA28" s="91" t="inlineStr">
        <is>
          <t>4TR</t>
        </is>
      </c>
      <c r="AB28" s="91" t="inlineStr">
        <is>
          <t>R9264H M901821</t>
        </is>
      </c>
      <c r="AC28" s="91" t="inlineStr">
        <is>
          <t>A9652 S35*3+R9264H M901821*4+R9254E S8500*2+FL8590A*4</t>
        </is>
      </c>
      <c r="AD28" s="91" t="inlineStr">
        <is>
          <t>AQU4518R9v06</t>
        </is>
      </c>
      <c r="AE28" s="91" t="n">
        <v>70</v>
      </c>
      <c r="AF28" s="91" t="n">
        <v>220</v>
      </c>
      <c r="AG28" s="91" t="n"/>
      <c r="AH28" s="91" t="n">
        <v>0</v>
      </c>
      <c r="AI28" s="91">
        <f>_xlfn.XLOOKUP(A28,'[2]177+10+50 Sites (detail)'!$B:$B,'[2]177+10+50 Sites (detail)'!$I:$I)</f>
        <v/>
      </c>
      <c r="AJ28" s="91">
        <f>_xlfn.XLOOKUP(A28,[3]最小距离站点!$A:$A,[3]最小距离站点!$B:$B)</f>
        <v/>
      </c>
      <c r="AK28" s="91">
        <f>_xlfn.XLOOKUP(A28,[3]最小距离站点!$A:$A,[3]最小距离站点!$C:$C)</f>
        <v/>
      </c>
      <c r="AL28" s="91" t="inlineStr">
        <is>
          <t>pilot'</t>
        </is>
      </c>
    </row>
    <row r="29" ht="15" customHeight="1" s="99">
      <c r="A29" t="inlineStr">
        <is>
          <t>GMKAL2</t>
        </is>
      </c>
      <c r="B29" t="inlineStr">
        <is>
          <t>GMKAL2_GUL00_Kalagedihena_Gm</t>
        </is>
      </c>
      <c r="C29" s="89" t="inlineStr">
        <is>
          <t>Huawei</t>
        </is>
      </c>
      <c r="F29" t="n">
        <v>7.117603</v>
      </c>
      <c r="G29" t="n">
        <v>80.06068</v>
      </c>
      <c r="H29" t="inlineStr">
        <is>
          <t>GMKAL2I</t>
        </is>
      </c>
      <c r="J29" s="91" t="n"/>
      <c r="K29" t="inlineStr">
        <is>
          <t>S3</t>
        </is>
      </c>
      <c r="L29" t="inlineStr">
        <is>
          <t>4G</t>
        </is>
      </c>
      <c r="M29" t="n">
        <v>1800</v>
      </c>
      <c r="N29" s="93" t="inlineStr">
        <is>
          <t>AQU4518R9v06</t>
        </is>
      </c>
      <c r="O29" t="n">
        <v>70</v>
      </c>
      <c r="P29" t="n">
        <v>220</v>
      </c>
      <c r="R29" t="n">
        <v>0</v>
      </c>
      <c r="Y29" s="91">
        <f>_xlfn.XLOOKUP(H29,'[1]4G Parameters'!$G:$G,'[1]4G Parameters'!$AA:$AA)</f>
        <v/>
      </c>
      <c r="Z29" s="91" t="inlineStr">
        <is>
          <t>6T6R</t>
        </is>
      </c>
      <c r="AA29" s="91" t="inlineStr">
        <is>
          <t>4TR</t>
        </is>
      </c>
      <c r="AB29" s="91" t="inlineStr">
        <is>
          <t>R9264H M901821</t>
        </is>
      </c>
      <c r="AC29" s="91" t="inlineStr">
        <is>
          <t>A9652 S35*3+R9264H M901821*4+R9254E S8500*2+FL8590A*4</t>
        </is>
      </c>
      <c r="AD29" s="91" t="inlineStr">
        <is>
          <t>AQU4518R9v06</t>
        </is>
      </c>
      <c r="AE29" s="91" t="n">
        <v>70</v>
      </c>
      <c r="AF29" s="91" t="n">
        <v>220</v>
      </c>
      <c r="AG29" s="91" t="n"/>
      <c r="AH29" s="91" t="n">
        <v>0</v>
      </c>
      <c r="AI29" s="91">
        <f>_xlfn.XLOOKUP(A29,'[2]177+10+50 Sites (detail)'!$B:$B,'[2]177+10+50 Sites (detail)'!$I:$I)</f>
        <v/>
      </c>
      <c r="AJ29" s="91">
        <f>_xlfn.XLOOKUP(A29,[3]最小距离站点!$A:$A,[3]最小距离站点!$B:$B)</f>
        <v/>
      </c>
      <c r="AK29" s="91">
        <f>_xlfn.XLOOKUP(A29,[3]最小距离站点!$A:$A,[3]最小距离站点!$C:$C)</f>
        <v/>
      </c>
      <c r="AL29" s="91" t="inlineStr">
        <is>
          <t>pilot'</t>
        </is>
      </c>
    </row>
    <row r="30" ht="15" customHeight="1" s="99">
      <c r="A30" t="inlineStr">
        <is>
          <t>GMKAL2</t>
        </is>
      </c>
      <c r="B30" t="inlineStr">
        <is>
          <t>GMKAL2_GUL00_Kalagedihena_Gm</t>
        </is>
      </c>
      <c r="C30" s="89" t="inlineStr">
        <is>
          <t>Huawei</t>
        </is>
      </c>
      <c r="F30" t="n">
        <v>7.117603</v>
      </c>
      <c r="G30" t="n">
        <v>80.06068</v>
      </c>
      <c r="H30" t="inlineStr">
        <is>
          <t>GMKAL2-M-L85-C1</t>
        </is>
      </c>
      <c r="J30" s="91" t="n"/>
      <c r="K30" t="inlineStr">
        <is>
          <t>S3</t>
        </is>
      </c>
      <c r="L30" t="inlineStr">
        <is>
          <t>4G</t>
        </is>
      </c>
      <c r="M30" t="n">
        <v>850</v>
      </c>
      <c r="N30" s="93" t="inlineStr">
        <is>
          <t>AQU4518R9v06</t>
        </is>
      </c>
      <c r="O30" t="n">
        <v>70</v>
      </c>
      <c r="P30" t="n">
        <v>220</v>
      </c>
      <c r="R30" t="n">
        <v>0</v>
      </c>
      <c r="Y30" s="91">
        <f>_xlfn.XLOOKUP(H30,'[1]4G Parameters'!$G:$G,'[1]4G Parameters'!$AA:$AA)</f>
        <v/>
      </c>
      <c r="Z30" s="91" t="inlineStr">
        <is>
          <t>2T2R</t>
        </is>
      </c>
      <c r="AA30" s="91" t="inlineStr">
        <is>
          <t>2T2R</t>
        </is>
      </c>
      <c r="AB30" s="91" t="inlineStr">
        <is>
          <t>R9254E S8500</t>
        </is>
      </c>
      <c r="AC30" s="91" t="inlineStr">
        <is>
          <t>A9652 S35*3+R9264H M901821*4+R9254E S8500*2+FL8590A*4</t>
        </is>
      </c>
      <c r="AD30" s="91" t="inlineStr">
        <is>
          <t>AQU4518R9v06</t>
        </is>
      </c>
      <c r="AE30" s="91" t="n">
        <v>70</v>
      </c>
      <c r="AF30" s="91" t="n">
        <v>220</v>
      </c>
      <c r="AG30" s="91" t="n"/>
      <c r="AH30" s="91" t="n">
        <v>0</v>
      </c>
      <c r="AI30" s="91">
        <f>_xlfn.XLOOKUP(A30,'[2]177+10+50 Sites (detail)'!$B:$B,'[2]177+10+50 Sites (detail)'!$I:$I)</f>
        <v/>
      </c>
      <c r="AJ30" s="91">
        <f>_xlfn.XLOOKUP(A30,[3]最小距离站点!$A:$A,[3]最小距离站点!$B:$B)</f>
        <v/>
      </c>
      <c r="AK30" s="91">
        <f>_xlfn.XLOOKUP(A30,[3]最小距离站点!$A:$A,[3]最小距离站点!$C:$C)</f>
        <v/>
      </c>
      <c r="AL30" s="91" t="inlineStr">
        <is>
          <t>pilot'</t>
        </is>
      </c>
    </row>
    <row r="31" ht="15" customHeight="1" s="99">
      <c r="A31" t="inlineStr">
        <is>
          <t>GMKAL2</t>
        </is>
      </c>
      <c r="B31" t="inlineStr">
        <is>
          <t>GMKAL2_GUL00_Kalagedihena_Gm</t>
        </is>
      </c>
      <c r="C31" s="89" t="inlineStr">
        <is>
          <t>Huawei</t>
        </is>
      </c>
      <c r="F31" t="n">
        <v>7.117603</v>
      </c>
      <c r="G31" t="n">
        <v>80.06068</v>
      </c>
      <c r="H31" t="inlineStr">
        <is>
          <t>GMKAL2-M-L21-D2</t>
        </is>
      </c>
      <c r="J31" s="91" t="n"/>
      <c r="K31" t="inlineStr">
        <is>
          <t>S4</t>
        </is>
      </c>
      <c r="L31" t="inlineStr">
        <is>
          <t>4G</t>
        </is>
      </c>
      <c r="M31" t="n">
        <v>2100</v>
      </c>
      <c r="N31" s="93" t="inlineStr">
        <is>
          <t>AQU4518R9v06</t>
        </is>
      </c>
      <c r="O31" t="n">
        <v>70</v>
      </c>
      <c r="P31" t="n">
        <v>285</v>
      </c>
      <c r="R31" t="n">
        <v>0</v>
      </c>
      <c r="Y31" s="91">
        <f>_xlfn.XLOOKUP(H31,'[1]4G Parameters'!$G:$G,'[1]4G Parameters'!$AA:$AA)</f>
        <v/>
      </c>
      <c r="Z31" s="91" t="inlineStr">
        <is>
          <t>6T6R</t>
        </is>
      </c>
      <c r="AA31" s="91" t="inlineStr">
        <is>
          <t>4TR</t>
        </is>
      </c>
      <c r="AB31" s="91" t="inlineStr">
        <is>
          <t>R9264H M901821</t>
        </is>
      </c>
      <c r="AC31" s="91" t="inlineStr">
        <is>
          <t>A9652 S35*3+R9264H M901821*4+R9254E S8500*2+FL8590A*4</t>
        </is>
      </c>
      <c r="AD31" s="91" t="inlineStr">
        <is>
          <t>AQU4518R9v06</t>
        </is>
      </c>
      <c r="AE31" s="91" t="n">
        <v>70</v>
      </c>
      <c r="AF31" s="91" t="n">
        <v>285</v>
      </c>
      <c r="AG31" s="91" t="n"/>
      <c r="AH31" s="91" t="n">
        <v>0</v>
      </c>
      <c r="AI31" s="91">
        <f>_xlfn.XLOOKUP(A31,'[2]177+10+50 Sites (detail)'!$B:$B,'[2]177+10+50 Sites (detail)'!$I:$I)</f>
        <v/>
      </c>
      <c r="AJ31" s="91">
        <f>_xlfn.XLOOKUP(A31,[3]最小距离站点!$A:$A,[3]最小距离站点!$B:$B)</f>
        <v/>
      </c>
      <c r="AK31" s="91">
        <f>_xlfn.XLOOKUP(A31,[3]最小距离站点!$A:$A,[3]最小距离站点!$C:$C)</f>
        <v/>
      </c>
      <c r="AL31" s="91" t="inlineStr">
        <is>
          <t>pilot'</t>
        </is>
      </c>
    </row>
    <row r="32" ht="15" customHeight="1" s="99">
      <c r="A32" t="inlineStr">
        <is>
          <t>GMKAL2</t>
        </is>
      </c>
      <c r="B32" t="inlineStr">
        <is>
          <t>GMKAL2_GUL00_Kalagedihena_Gm</t>
        </is>
      </c>
      <c r="C32" s="89" t="inlineStr">
        <is>
          <t>Huawei</t>
        </is>
      </c>
      <c r="F32" t="n">
        <v>7.117603</v>
      </c>
      <c r="G32" t="n">
        <v>80.06068</v>
      </c>
      <c r="H32" t="inlineStr">
        <is>
          <t>GMKAL2F</t>
        </is>
      </c>
      <c r="J32" s="91" t="n"/>
      <c r="K32" t="inlineStr">
        <is>
          <t>S4</t>
        </is>
      </c>
      <c r="L32" t="inlineStr">
        <is>
          <t>4G</t>
        </is>
      </c>
      <c r="M32" t="n">
        <v>1800</v>
      </c>
      <c r="N32" s="93" t="inlineStr">
        <is>
          <t>AQU4518R9v06</t>
        </is>
      </c>
      <c r="O32" t="n">
        <v>70</v>
      </c>
      <c r="P32" t="n">
        <v>285</v>
      </c>
      <c r="R32" t="n">
        <v>0</v>
      </c>
      <c r="Y32" s="91">
        <f>_xlfn.XLOOKUP(H32,'[1]4G Parameters'!$G:$G,'[1]4G Parameters'!$AA:$AA)</f>
        <v/>
      </c>
      <c r="Z32" s="91" t="inlineStr">
        <is>
          <t>6T6R</t>
        </is>
      </c>
      <c r="AA32" s="91" t="inlineStr">
        <is>
          <t>4TR</t>
        </is>
      </c>
      <c r="AB32" s="91" t="inlineStr">
        <is>
          <t>R9264H M901821</t>
        </is>
      </c>
      <c r="AC32" s="91" t="inlineStr">
        <is>
          <t>A9652 S35*3+R9264H M901821*4+R9254E S8500*2+FL8590A*4</t>
        </is>
      </c>
      <c r="AD32" s="91" t="inlineStr">
        <is>
          <t>AQU4518R9v06</t>
        </is>
      </c>
      <c r="AE32" s="91" t="n">
        <v>70</v>
      </c>
      <c r="AF32" s="91" t="n">
        <v>285</v>
      </c>
      <c r="AG32" s="91" t="n"/>
      <c r="AH32" s="91" t="n">
        <v>0</v>
      </c>
      <c r="AI32" s="91">
        <f>_xlfn.XLOOKUP(A32,'[2]177+10+50 Sites (detail)'!$B:$B,'[2]177+10+50 Sites (detail)'!$I:$I)</f>
        <v/>
      </c>
      <c r="AJ32" s="91">
        <f>_xlfn.XLOOKUP(A32,[3]最小距离站点!$A:$A,[3]最小距离站点!$B:$B)</f>
        <v/>
      </c>
      <c r="AK32" s="91">
        <f>_xlfn.XLOOKUP(A32,[3]最小距离站点!$A:$A,[3]最小距离站点!$C:$C)</f>
        <v/>
      </c>
      <c r="AL32" s="91" t="inlineStr">
        <is>
          <t>pilot'</t>
        </is>
      </c>
    </row>
    <row r="33" ht="15" customHeight="1" s="99">
      <c r="A33" t="inlineStr">
        <is>
          <t>GMKAL2</t>
        </is>
      </c>
      <c r="B33" t="inlineStr">
        <is>
          <t>GMKAL2_GUL00_Kalagedihena_Gm</t>
        </is>
      </c>
      <c r="C33" s="89" t="inlineStr">
        <is>
          <t>Huawei</t>
        </is>
      </c>
      <c r="F33" t="n">
        <v>7.117603</v>
      </c>
      <c r="G33" t="n">
        <v>80.06068</v>
      </c>
      <c r="H33" t="inlineStr">
        <is>
          <t>GMKAL2-M-L85-D1</t>
        </is>
      </c>
      <c r="J33" s="91" t="n"/>
      <c r="K33" t="inlineStr">
        <is>
          <t>S4</t>
        </is>
      </c>
      <c r="L33" t="inlineStr">
        <is>
          <t>4G</t>
        </is>
      </c>
      <c r="M33" t="n">
        <v>850</v>
      </c>
      <c r="N33" s="93" t="inlineStr">
        <is>
          <t>AQU4518R9v06</t>
        </is>
      </c>
      <c r="O33" t="n">
        <v>70</v>
      </c>
      <c r="P33" t="n">
        <v>285</v>
      </c>
      <c r="R33" t="n">
        <v>0</v>
      </c>
      <c r="Y33" s="91">
        <f>_xlfn.XLOOKUP(H33,'[1]4G Parameters'!$G:$G,'[1]4G Parameters'!$AA:$AA)</f>
        <v/>
      </c>
      <c r="Z33" s="91" t="inlineStr">
        <is>
          <t>2T2R</t>
        </is>
      </c>
      <c r="AA33" s="91" t="inlineStr">
        <is>
          <t>2T2R</t>
        </is>
      </c>
      <c r="AB33" s="91" t="inlineStr">
        <is>
          <t>R9254E S8500</t>
        </is>
      </c>
      <c r="AC33" s="91" t="inlineStr">
        <is>
          <t>A9652 S35*3+R9264H M901821*4+R9254E S8500*2+FL8590A*4</t>
        </is>
      </c>
      <c r="AD33" s="91" t="inlineStr">
        <is>
          <t>AQU4518R9v06</t>
        </is>
      </c>
      <c r="AE33" s="91" t="n">
        <v>70</v>
      </c>
      <c r="AF33" s="91" t="n">
        <v>285</v>
      </c>
      <c r="AG33" s="91" t="n"/>
      <c r="AH33" s="91" t="n">
        <v>0</v>
      </c>
      <c r="AI33" s="91">
        <f>_xlfn.XLOOKUP(A33,'[2]177+10+50 Sites (detail)'!$B:$B,'[2]177+10+50 Sites (detail)'!$I:$I)</f>
        <v/>
      </c>
      <c r="AJ33" s="91">
        <f>_xlfn.XLOOKUP(A33,[3]最小距离站点!$A:$A,[3]最小距离站点!$B:$B)</f>
        <v/>
      </c>
      <c r="AK33" s="91">
        <f>_xlfn.XLOOKUP(A33,[3]最小距离站点!$A:$A,[3]最小距离站点!$C:$C)</f>
        <v/>
      </c>
      <c r="AL33" s="91" t="inlineStr">
        <is>
          <t>pilot'</t>
        </is>
      </c>
    </row>
    <row r="34" ht="15" customHeight="1" s="99">
      <c r="A34" t="inlineStr">
        <is>
          <t>GMMAG1</t>
        </is>
      </c>
      <c r="B34" t="inlineStr">
        <is>
          <t>GMMAG1_G_Magalegoda__89__Gm</t>
        </is>
      </c>
      <c r="C34" s="89" t="inlineStr">
        <is>
          <t>Huawei</t>
        </is>
      </c>
      <c r="F34" t="n">
        <v>7.13739</v>
      </c>
      <c r="G34" t="n">
        <v>80.04000000000001</v>
      </c>
      <c r="H34" t="inlineStr">
        <is>
          <t>GMMAG1P</t>
        </is>
      </c>
      <c r="J34" s="91" t="n"/>
      <c r="K34" t="inlineStr">
        <is>
          <t>S1</t>
        </is>
      </c>
      <c r="L34" t="inlineStr">
        <is>
          <t>2G</t>
        </is>
      </c>
      <c r="M34" t="n">
        <v>1800</v>
      </c>
      <c r="N34" s="92" t="inlineStr">
        <is>
          <t>AQU4518R9v06</t>
        </is>
      </c>
      <c r="O34" t="n">
        <v>60</v>
      </c>
      <c r="P34" t="n">
        <v>45</v>
      </c>
      <c r="R34" t="n">
        <v>2</v>
      </c>
      <c r="AA34" s="91" t="inlineStr">
        <is>
          <t>1T1R</t>
        </is>
      </c>
      <c r="AB34" s="91" t="inlineStr">
        <is>
          <t>R9264H M901821</t>
        </is>
      </c>
      <c r="AC34" s="91" t="inlineStr">
        <is>
          <t>A9652 S35*3+R9264H M901821*3+R9254E S8500*2+R9264 M1821N*2+FL8590A*3</t>
        </is>
      </c>
      <c r="AD34" s="91" t="inlineStr">
        <is>
          <t>AQU4518R9v06</t>
        </is>
      </c>
      <c r="AE34" s="91" t="n">
        <v>60</v>
      </c>
      <c r="AF34" s="91" t="n">
        <v>45</v>
      </c>
      <c r="AG34" s="91" t="n"/>
      <c r="AH34" s="91" t="n">
        <v>2</v>
      </c>
      <c r="AL34" s="91" t="inlineStr">
        <is>
          <t>pilot'</t>
        </is>
      </c>
    </row>
    <row r="35" ht="15" customHeight="1" s="99">
      <c r="A35" t="inlineStr">
        <is>
          <t>GMMAG1</t>
        </is>
      </c>
      <c r="B35" t="inlineStr">
        <is>
          <t>GMMAG1_G_Magalegoda__89__Gm</t>
        </is>
      </c>
      <c r="C35" s="89" t="inlineStr">
        <is>
          <t>Huawei</t>
        </is>
      </c>
      <c r="F35" t="n">
        <v>7.13739</v>
      </c>
      <c r="G35" t="n">
        <v>80.04000000000001</v>
      </c>
      <c r="H35" t="inlineStr">
        <is>
          <t>GMMAG1A</t>
        </is>
      </c>
      <c r="J35" s="91" t="n"/>
      <c r="K35" t="inlineStr">
        <is>
          <t>S1</t>
        </is>
      </c>
      <c r="L35" t="inlineStr">
        <is>
          <t>2G</t>
        </is>
      </c>
      <c r="M35" t="n">
        <v>900</v>
      </c>
      <c r="N35" s="92" t="inlineStr">
        <is>
          <t>AQU4518R9v06</t>
        </is>
      </c>
      <c r="O35" t="n">
        <v>60</v>
      </c>
      <c r="P35" t="n">
        <v>45</v>
      </c>
      <c r="R35" t="n">
        <v>2</v>
      </c>
      <c r="AA35" s="91" t="inlineStr">
        <is>
          <t>1T1R</t>
        </is>
      </c>
      <c r="AB35" s="91" t="inlineStr">
        <is>
          <t>R9264H M901821</t>
        </is>
      </c>
      <c r="AC35" s="91" t="inlineStr">
        <is>
          <t>A9652 S35*3+R9264H M901821*3+R9254E S8500*2+R9264 M1821N*2+FL8590A*3</t>
        </is>
      </c>
      <c r="AD35" s="91" t="inlineStr">
        <is>
          <t>AQU4518R9v06</t>
        </is>
      </c>
      <c r="AE35" s="91" t="n">
        <v>60</v>
      </c>
      <c r="AF35" s="91" t="n">
        <v>45</v>
      </c>
      <c r="AG35" s="91" t="n"/>
      <c r="AH35" s="91" t="n">
        <v>2</v>
      </c>
      <c r="AL35" s="91" t="inlineStr">
        <is>
          <t>pilot'</t>
        </is>
      </c>
    </row>
    <row r="36" ht="15" customHeight="1" s="99">
      <c r="A36" t="inlineStr">
        <is>
          <t>GMMAG1</t>
        </is>
      </c>
      <c r="B36" t="inlineStr">
        <is>
          <t>GMMAG1_G_Magalegoda__89__Gm</t>
        </is>
      </c>
      <c r="C36" s="89" t="inlineStr">
        <is>
          <t>Huawei</t>
        </is>
      </c>
      <c r="F36" t="n">
        <v>7.13739</v>
      </c>
      <c r="G36" t="n">
        <v>80.04000000000001</v>
      </c>
      <c r="H36" t="inlineStr">
        <is>
          <t>GMMAG1Q</t>
        </is>
      </c>
      <c r="J36" s="91" t="n"/>
      <c r="K36" t="inlineStr">
        <is>
          <t>S2</t>
        </is>
      </c>
      <c r="L36" t="inlineStr">
        <is>
          <t>2G</t>
        </is>
      </c>
      <c r="M36" t="n">
        <v>1800</v>
      </c>
      <c r="N36" s="92" t="inlineStr">
        <is>
          <t>AQU4518R9v06</t>
        </is>
      </c>
      <c r="O36" t="n">
        <v>60</v>
      </c>
      <c r="P36" t="n">
        <v>150</v>
      </c>
      <c r="R36" t="n">
        <v>2</v>
      </c>
      <c r="AA36" s="91" t="inlineStr">
        <is>
          <t>1T1R</t>
        </is>
      </c>
      <c r="AB36" s="91" t="inlineStr">
        <is>
          <t>R9264H M901821</t>
        </is>
      </c>
      <c r="AC36" s="91" t="inlineStr">
        <is>
          <t>A9652 S35*3+R9264H M901821*3+R9254E S8500*2+R9264 M1821N*2+FL8590A*3</t>
        </is>
      </c>
      <c r="AD36" s="91" t="inlineStr">
        <is>
          <t>AQU4518R9v06</t>
        </is>
      </c>
      <c r="AE36" s="91" t="n">
        <v>60</v>
      </c>
      <c r="AF36" s="91" t="n">
        <v>150</v>
      </c>
      <c r="AG36" s="91" t="n"/>
      <c r="AH36" s="91" t="n">
        <v>2</v>
      </c>
      <c r="AL36" s="91" t="inlineStr">
        <is>
          <t>pilot'</t>
        </is>
      </c>
    </row>
    <row r="37" ht="15" customHeight="1" s="99">
      <c r="A37" t="inlineStr">
        <is>
          <t>GMMAG1</t>
        </is>
      </c>
      <c r="B37" t="inlineStr">
        <is>
          <t>GMMAG1_G_Magalegoda__89__Gm</t>
        </is>
      </c>
      <c r="C37" s="89" t="inlineStr">
        <is>
          <t>Huawei</t>
        </is>
      </c>
      <c r="F37" t="n">
        <v>7.13739</v>
      </c>
      <c r="G37" t="n">
        <v>80.04000000000001</v>
      </c>
      <c r="H37" t="inlineStr">
        <is>
          <t>GMMAG1B</t>
        </is>
      </c>
      <c r="J37" s="91" t="n"/>
      <c r="K37" t="inlineStr">
        <is>
          <t>S2</t>
        </is>
      </c>
      <c r="L37" t="inlineStr">
        <is>
          <t>2G</t>
        </is>
      </c>
      <c r="M37" t="n">
        <v>900</v>
      </c>
      <c r="N37" s="92" t="inlineStr">
        <is>
          <t>AQU4518R9v06</t>
        </is>
      </c>
      <c r="O37" t="n">
        <v>60</v>
      </c>
      <c r="P37" t="n">
        <v>150</v>
      </c>
      <c r="R37" t="n">
        <v>2</v>
      </c>
      <c r="AA37" s="91" t="inlineStr">
        <is>
          <t>1T1R</t>
        </is>
      </c>
      <c r="AB37" s="91" t="inlineStr">
        <is>
          <t>R9264H M901821</t>
        </is>
      </c>
      <c r="AC37" s="91" t="inlineStr">
        <is>
          <t>A9652 S35*3+R9264H M901821*3+R9254E S8500*2+R9264 M1821N*2+FL8590A*3</t>
        </is>
      </c>
      <c r="AD37" s="91" t="inlineStr">
        <is>
          <t>AQU4518R9v06</t>
        </is>
      </c>
      <c r="AE37" s="91" t="n">
        <v>60</v>
      </c>
      <c r="AF37" s="91" t="n">
        <v>150</v>
      </c>
      <c r="AG37" s="91" t="n"/>
      <c r="AH37" s="91" t="n">
        <v>2</v>
      </c>
      <c r="AL37" s="91" t="inlineStr">
        <is>
          <t>pilot'</t>
        </is>
      </c>
    </row>
    <row r="38" ht="15" customHeight="1" s="99">
      <c r="A38" t="inlineStr">
        <is>
          <t>GMMAG1</t>
        </is>
      </c>
      <c r="B38" t="inlineStr">
        <is>
          <t>GMMAG1_G_Magalegoda__89__Gm</t>
        </is>
      </c>
      <c r="C38" s="89" t="inlineStr">
        <is>
          <t>Huawei</t>
        </is>
      </c>
      <c r="F38" t="n">
        <v>7.13739</v>
      </c>
      <c r="G38" t="n">
        <v>80.04000000000001</v>
      </c>
      <c r="H38" t="inlineStr">
        <is>
          <t>GMMAG1R</t>
        </is>
      </c>
      <c r="J38" s="91" t="n"/>
      <c r="K38" t="inlineStr">
        <is>
          <t>S3</t>
        </is>
      </c>
      <c r="L38" t="inlineStr">
        <is>
          <t>2G</t>
        </is>
      </c>
      <c r="M38" t="n">
        <v>1800</v>
      </c>
      <c r="N38" s="92" t="inlineStr">
        <is>
          <t>AQU4518R9v06</t>
        </is>
      </c>
      <c r="O38" t="n">
        <v>60</v>
      </c>
      <c r="P38" t="n">
        <v>335</v>
      </c>
      <c r="R38" t="n">
        <v>2</v>
      </c>
      <c r="AA38" s="91" t="inlineStr">
        <is>
          <t>1T1R</t>
        </is>
      </c>
      <c r="AB38" s="91" t="inlineStr">
        <is>
          <t>R9264H M901821</t>
        </is>
      </c>
      <c r="AC38" s="91" t="inlineStr">
        <is>
          <t>A9652 S35*3+R9264H M901821*3+R9254E S8500*2+R9264 M1821N*2+FL8590A*3</t>
        </is>
      </c>
      <c r="AD38" s="91" t="inlineStr">
        <is>
          <t>AQU4518R9v06</t>
        </is>
      </c>
      <c r="AE38" s="91" t="n">
        <v>60</v>
      </c>
      <c r="AF38" s="91" t="n">
        <v>335</v>
      </c>
      <c r="AG38" s="91" t="n"/>
      <c r="AH38" s="91" t="n">
        <v>2</v>
      </c>
      <c r="AL38" s="91" t="inlineStr">
        <is>
          <t>pilot'</t>
        </is>
      </c>
    </row>
    <row r="39" ht="15" customHeight="1" s="99">
      <c r="A39" t="inlineStr">
        <is>
          <t>GMMAG1</t>
        </is>
      </c>
      <c r="B39" t="inlineStr">
        <is>
          <t>GMMAG1_G_Magalegoda__89__Gm</t>
        </is>
      </c>
      <c r="C39" s="89" t="inlineStr">
        <is>
          <t>Huawei</t>
        </is>
      </c>
      <c r="F39" t="n">
        <v>7.13739</v>
      </c>
      <c r="G39" t="n">
        <v>80.04000000000001</v>
      </c>
      <c r="H39" t="inlineStr">
        <is>
          <t>GMMAG1C</t>
        </is>
      </c>
      <c r="J39" s="91" t="n"/>
      <c r="K39" t="inlineStr">
        <is>
          <t>S3</t>
        </is>
      </c>
      <c r="L39" t="inlineStr">
        <is>
          <t>2G</t>
        </is>
      </c>
      <c r="M39" t="n">
        <v>900</v>
      </c>
      <c r="N39" s="92" t="inlineStr">
        <is>
          <t>AQU4518R9v06</t>
        </is>
      </c>
      <c r="O39" t="n">
        <v>60</v>
      </c>
      <c r="P39" t="n">
        <v>335</v>
      </c>
      <c r="R39" t="n">
        <v>2</v>
      </c>
      <c r="AA39" s="91" t="inlineStr">
        <is>
          <t>1T1R</t>
        </is>
      </c>
      <c r="AB39" s="91" t="inlineStr">
        <is>
          <t>R9264H M901821</t>
        </is>
      </c>
      <c r="AC39" s="91" t="inlineStr">
        <is>
          <t>A9652 S35*3+R9264H M901821*3+R9254E S8500*2+R9264 M1821N*2+FL8590A*3</t>
        </is>
      </c>
      <c r="AD39" s="91" t="inlineStr">
        <is>
          <t>AQU4518R9v06</t>
        </is>
      </c>
      <c r="AE39" s="91" t="n">
        <v>60</v>
      </c>
      <c r="AF39" s="91" t="n">
        <v>335</v>
      </c>
      <c r="AG39" s="91" t="n"/>
      <c r="AH39" s="91" t="n">
        <v>2</v>
      </c>
      <c r="AL39" s="91" t="inlineStr">
        <is>
          <t>pilot'</t>
        </is>
      </c>
    </row>
    <row r="40" ht="15" customHeight="1" s="99">
      <c r="A40" t="inlineStr">
        <is>
          <t>GMMAG1</t>
        </is>
      </c>
      <c r="B40" t="inlineStr">
        <is>
          <t>GMMAG1_GUL00_Magalegoda_Gm</t>
        </is>
      </c>
      <c r="C40" s="89" t="inlineStr">
        <is>
          <t>Huawei</t>
        </is>
      </c>
      <c r="F40" t="n">
        <v>7.13739</v>
      </c>
      <c r="G40" t="n">
        <v>80.04000000000001</v>
      </c>
      <c r="H40" t="inlineStr">
        <is>
          <t>GMMAG1-M-L21-A2</t>
        </is>
      </c>
      <c r="J40" s="91" t="n"/>
      <c r="K40" t="inlineStr">
        <is>
          <t>S1</t>
        </is>
      </c>
      <c r="L40" t="inlineStr">
        <is>
          <t>4G</t>
        </is>
      </c>
      <c r="M40" t="n">
        <v>2100</v>
      </c>
      <c r="N40" s="92" t="inlineStr">
        <is>
          <t>AQU4518R9v06</t>
        </is>
      </c>
      <c r="O40" t="n">
        <v>60</v>
      </c>
      <c r="P40" t="n">
        <v>45</v>
      </c>
      <c r="R40" t="n">
        <v>0</v>
      </c>
      <c r="Y40" s="91">
        <f>_xlfn.XLOOKUP(H40,'[1]4G Parameters'!$G:$G,'[1]4G Parameters'!$AA:$AA)</f>
        <v/>
      </c>
      <c r="Z40" s="91" t="inlineStr">
        <is>
          <t>6T6R</t>
        </is>
      </c>
      <c r="AA40" s="91" t="inlineStr">
        <is>
          <t>4T4R</t>
        </is>
      </c>
      <c r="AB40" s="91" t="inlineStr">
        <is>
          <t>R9264H M901821</t>
        </is>
      </c>
      <c r="AC40" s="91" t="inlineStr">
        <is>
          <t>A9652 S35*3+R9264H M901821*3+R9254E S8500*2+R9264 M1821N*2+FL8590A*3</t>
        </is>
      </c>
      <c r="AD40" s="91" t="inlineStr">
        <is>
          <t>AQU4518R9v06</t>
        </is>
      </c>
      <c r="AE40" s="91" t="n">
        <v>60</v>
      </c>
      <c r="AF40" s="91" t="n">
        <v>45</v>
      </c>
      <c r="AG40" s="91" t="n"/>
      <c r="AH40" s="91" t="n">
        <v>0</v>
      </c>
      <c r="AI40" s="91">
        <f>_xlfn.XLOOKUP(A40,'[2]177+10+50 Sites (detail)'!$B:$B,'[2]177+10+50 Sites (detail)'!$I:$I)</f>
        <v/>
      </c>
      <c r="AJ40" s="91">
        <f>_xlfn.XLOOKUP(A40,[3]最小距离站点!$A:$A,[3]最小距离站点!$B:$B)</f>
        <v/>
      </c>
      <c r="AK40" s="91">
        <f>_xlfn.XLOOKUP(A40,[3]最小距离站点!$A:$A,[3]最小距离站点!$C:$C)</f>
        <v/>
      </c>
      <c r="AL40" s="91" t="inlineStr">
        <is>
          <t>pilot'</t>
        </is>
      </c>
    </row>
    <row r="41" ht="15" customHeight="1" s="99">
      <c r="A41" t="inlineStr">
        <is>
          <t>GMMAG1</t>
        </is>
      </c>
      <c r="B41" t="inlineStr">
        <is>
          <t>GMMAG1_GUL00_Magalegoda_Gm</t>
        </is>
      </c>
      <c r="C41" s="89" t="inlineStr">
        <is>
          <t>Huawei</t>
        </is>
      </c>
      <c r="F41" t="n">
        <v>7.13739</v>
      </c>
      <c r="G41" t="n">
        <v>80.04000000000001</v>
      </c>
      <c r="H41" t="inlineStr">
        <is>
          <t>GMMAG1G</t>
        </is>
      </c>
      <c r="J41" s="91" t="n"/>
      <c r="K41" t="inlineStr">
        <is>
          <t>S1</t>
        </is>
      </c>
      <c r="L41" t="inlineStr">
        <is>
          <t>4G</t>
        </is>
      </c>
      <c r="M41" t="n">
        <v>1800</v>
      </c>
      <c r="N41" s="92" t="inlineStr">
        <is>
          <t>AQU4518R9v06</t>
        </is>
      </c>
      <c r="O41" t="n">
        <v>60</v>
      </c>
      <c r="P41" t="n">
        <v>45</v>
      </c>
      <c r="R41" t="n">
        <v>0</v>
      </c>
      <c r="Y41" s="91">
        <f>_xlfn.XLOOKUP(H41,'[1]4G Parameters'!$G:$G,'[1]4G Parameters'!$AA:$AA)</f>
        <v/>
      </c>
      <c r="Z41" s="91" t="inlineStr">
        <is>
          <t>6T6R</t>
        </is>
      </c>
      <c r="AA41" s="91" t="inlineStr">
        <is>
          <t>4T4R</t>
        </is>
      </c>
      <c r="AB41" s="91" t="inlineStr">
        <is>
          <t>R9264H M901821</t>
        </is>
      </c>
      <c r="AC41" s="91" t="inlineStr">
        <is>
          <t>A9652 S35*3+R9264H M901821*3+R9254E S8500*2+R9264 M1821N*2+FL8590A*3</t>
        </is>
      </c>
      <c r="AD41" s="91" t="inlineStr">
        <is>
          <t>AQU4518R9v06</t>
        </is>
      </c>
      <c r="AE41" s="91" t="n">
        <v>60</v>
      </c>
      <c r="AF41" s="91" t="n">
        <v>45</v>
      </c>
      <c r="AG41" s="91" t="n"/>
      <c r="AH41" s="91" t="n">
        <v>0</v>
      </c>
      <c r="AI41" s="91">
        <f>_xlfn.XLOOKUP(A41,'[2]177+10+50 Sites (detail)'!$B:$B,'[2]177+10+50 Sites (detail)'!$I:$I)</f>
        <v/>
      </c>
      <c r="AJ41" s="91">
        <f>_xlfn.XLOOKUP(A41,[3]最小距离站点!$A:$A,[3]最小距离站点!$B:$B)</f>
        <v/>
      </c>
      <c r="AK41" s="91">
        <f>_xlfn.XLOOKUP(A41,[3]最小距离站点!$A:$A,[3]最小距离站点!$C:$C)</f>
        <v/>
      </c>
      <c r="AL41" s="91" t="inlineStr">
        <is>
          <t>pilot'</t>
        </is>
      </c>
    </row>
    <row r="42" ht="15" customHeight="1" s="99">
      <c r="A42" t="inlineStr">
        <is>
          <t>GMMAG1</t>
        </is>
      </c>
      <c r="B42" t="inlineStr">
        <is>
          <t>GMMAG1_GUL00_Magalegoda_Gm</t>
        </is>
      </c>
      <c r="C42" s="89" t="inlineStr">
        <is>
          <t>Huawei</t>
        </is>
      </c>
      <c r="F42" t="n">
        <v>7.13739</v>
      </c>
      <c r="G42" t="n">
        <v>80.04000000000001</v>
      </c>
      <c r="H42" t="inlineStr">
        <is>
          <t>GMMAG1-M-L85-A1</t>
        </is>
      </c>
      <c r="J42" s="91" t="n"/>
      <c r="K42" t="inlineStr">
        <is>
          <t>S1</t>
        </is>
      </c>
      <c r="L42" t="inlineStr">
        <is>
          <t>4G</t>
        </is>
      </c>
      <c r="M42" t="n">
        <v>850</v>
      </c>
      <c r="N42" s="92" t="inlineStr">
        <is>
          <t>AQU4518R9v06</t>
        </is>
      </c>
      <c r="O42" t="n">
        <v>60</v>
      </c>
      <c r="P42" t="n">
        <v>45</v>
      </c>
      <c r="R42" t="n">
        <v>0</v>
      </c>
      <c r="Y42" s="91">
        <f>_xlfn.XLOOKUP(H42,'[1]4G Parameters'!$G:$G,'[1]4G Parameters'!$AA:$AA)</f>
        <v/>
      </c>
      <c r="Z42" s="91" t="inlineStr">
        <is>
          <t>2T2R</t>
        </is>
      </c>
      <c r="AA42" s="91" t="inlineStr">
        <is>
          <t>2T2R</t>
        </is>
      </c>
      <c r="AB42" s="91" t="inlineStr">
        <is>
          <t>R9254E S8500</t>
        </is>
      </c>
      <c r="AC42" s="91" t="inlineStr">
        <is>
          <t>A9652 S35*3+R9264H M901821*3+R9254E S8500*2+R9264 M1821N*2+FL8590A*3</t>
        </is>
      </c>
      <c r="AD42" s="91" t="inlineStr">
        <is>
          <t>AQU4518R9v06</t>
        </is>
      </c>
      <c r="AE42" s="91" t="n">
        <v>60</v>
      </c>
      <c r="AF42" s="91" t="n">
        <v>45</v>
      </c>
      <c r="AG42" s="91" t="n"/>
      <c r="AH42" s="91" t="n">
        <v>0</v>
      </c>
      <c r="AI42" s="91">
        <f>_xlfn.XLOOKUP(A42,'[2]177+10+50 Sites (detail)'!$B:$B,'[2]177+10+50 Sites (detail)'!$I:$I)</f>
        <v/>
      </c>
      <c r="AJ42" s="91">
        <f>_xlfn.XLOOKUP(A42,[3]最小距离站点!$A:$A,[3]最小距离站点!$B:$B)</f>
        <v/>
      </c>
      <c r="AK42" s="91">
        <f>_xlfn.XLOOKUP(A42,[3]最小距离站点!$A:$A,[3]最小距离站点!$C:$C)</f>
        <v/>
      </c>
      <c r="AL42" s="91" t="inlineStr">
        <is>
          <t>pilot'</t>
        </is>
      </c>
    </row>
    <row r="43" ht="15" customHeight="1" s="99">
      <c r="A43" t="inlineStr">
        <is>
          <t>GMMAG1</t>
        </is>
      </c>
      <c r="B43" t="inlineStr">
        <is>
          <t>GMMAG1_GUL00_Magalegoda_Gm</t>
        </is>
      </c>
      <c r="C43" s="89" t="inlineStr">
        <is>
          <t>Huawei</t>
        </is>
      </c>
      <c r="F43" t="n">
        <v>7.13739</v>
      </c>
      <c r="G43" t="n">
        <v>80.04000000000001</v>
      </c>
      <c r="H43" t="inlineStr">
        <is>
          <t>GMMAG1-M-L21-B2</t>
        </is>
      </c>
      <c r="J43" s="91" t="n"/>
      <c r="K43" t="inlineStr">
        <is>
          <t>S2</t>
        </is>
      </c>
      <c r="L43" t="inlineStr">
        <is>
          <t>4G</t>
        </is>
      </c>
      <c r="M43" t="n">
        <v>2100</v>
      </c>
      <c r="N43" s="92" t="inlineStr">
        <is>
          <t>AQU4518R9v06</t>
        </is>
      </c>
      <c r="O43" t="n">
        <v>60</v>
      </c>
      <c r="P43" t="n">
        <v>150</v>
      </c>
      <c r="R43" t="n">
        <v>0</v>
      </c>
      <c r="Y43" s="91">
        <f>_xlfn.XLOOKUP(H43,'[1]4G Parameters'!$G:$G,'[1]4G Parameters'!$AA:$AA)</f>
        <v/>
      </c>
      <c r="Z43" s="91" t="inlineStr">
        <is>
          <t>6T6R</t>
        </is>
      </c>
      <c r="AA43" s="91" t="inlineStr">
        <is>
          <t>4T4R</t>
        </is>
      </c>
      <c r="AB43" s="91" t="inlineStr">
        <is>
          <t>R9264H M901821</t>
        </is>
      </c>
      <c r="AC43" s="91" t="inlineStr">
        <is>
          <t>A9652 S35*3+R9264H M901821*3+R9254E S8500*2+R9264 M1821N*2+FL8590A*3</t>
        </is>
      </c>
      <c r="AD43" s="91" t="inlineStr">
        <is>
          <t>AQU4518R9v06</t>
        </is>
      </c>
      <c r="AE43" s="91" t="n">
        <v>60</v>
      </c>
      <c r="AF43" s="91" t="n">
        <v>150</v>
      </c>
      <c r="AG43" s="91" t="n"/>
      <c r="AH43" s="91" t="n">
        <v>0</v>
      </c>
      <c r="AI43" s="91">
        <f>_xlfn.XLOOKUP(A43,'[2]177+10+50 Sites (detail)'!$B:$B,'[2]177+10+50 Sites (detail)'!$I:$I)</f>
        <v/>
      </c>
      <c r="AJ43" s="91">
        <f>_xlfn.XLOOKUP(A43,[3]最小距离站点!$A:$A,[3]最小距离站点!$B:$B)</f>
        <v/>
      </c>
      <c r="AK43" s="91">
        <f>_xlfn.XLOOKUP(A43,[3]最小距离站点!$A:$A,[3]最小距离站点!$C:$C)</f>
        <v/>
      </c>
      <c r="AL43" s="91" t="inlineStr">
        <is>
          <t>pilot'</t>
        </is>
      </c>
    </row>
    <row r="44" ht="15" customHeight="1" s="99">
      <c r="A44" t="inlineStr">
        <is>
          <t>GMMAG1</t>
        </is>
      </c>
      <c r="B44" t="inlineStr">
        <is>
          <t>GMMAG1_GUL00_Magalegoda_Gm</t>
        </is>
      </c>
      <c r="C44" s="89" t="inlineStr">
        <is>
          <t>Huawei</t>
        </is>
      </c>
      <c r="F44" t="n">
        <v>7.13739</v>
      </c>
      <c r="G44" t="n">
        <v>80.04000000000001</v>
      </c>
      <c r="H44" t="inlineStr">
        <is>
          <t>GMMAG1H</t>
        </is>
      </c>
      <c r="J44" s="91" t="n"/>
      <c r="K44" t="inlineStr">
        <is>
          <t>S2</t>
        </is>
      </c>
      <c r="L44" t="inlineStr">
        <is>
          <t>4G</t>
        </is>
      </c>
      <c r="M44" t="n">
        <v>1800</v>
      </c>
      <c r="N44" s="92" t="inlineStr">
        <is>
          <t>AQU4518R9v06</t>
        </is>
      </c>
      <c r="O44" t="n">
        <v>60</v>
      </c>
      <c r="P44" t="n">
        <v>150</v>
      </c>
      <c r="R44" t="n">
        <v>0</v>
      </c>
      <c r="Y44" s="91">
        <f>_xlfn.XLOOKUP(H44,'[1]4G Parameters'!$G:$G,'[1]4G Parameters'!$AA:$AA)</f>
        <v/>
      </c>
      <c r="Z44" s="91" t="inlineStr">
        <is>
          <t>6T6R</t>
        </is>
      </c>
      <c r="AA44" s="91" t="inlineStr">
        <is>
          <t>4T4R</t>
        </is>
      </c>
      <c r="AB44" s="91" t="inlineStr">
        <is>
          <t>R9264H M901821</t>
        </is>
      </c>
      <c r="AC44" s="91" t="inlineStr">
        <is>
          <t>A9652 S35*3+R9264H M901821*3+R9254E S8500*2+R9264 M1821N*2+FL8590A*3</t>
        </is>
      </c>
      <c r="AD44" s="91" t="inlineStr">
        <is>
          <t>AQU4518R9v06</t>
        </is>
      </c>
      <c r="AE44" s="91" t="n">
        <v>60</v>
      </c>
      <c r="AF44" s="91" t="n">
        <v>150</v>
      </c>
      <c r="AG44" s="91" t="n"/>
      <c r="AH44" s="91" t="n">
        <v>0</v>
      </c>
      <c r="AI44" s="91">
        <f>_xlfn.XLOOKUP(A44,'[2]177+10+50 Sites (detail)'!$B:$B,'[2]177+10+50 Sites (detail)'!$I:$I)</f>
        <v/>
      </c>
      <c r="AJ44" s="91">
        <f>_xlfn.XLOOKUP(A44,[3]最小距离站点!$A:$A,[3]最小距离站点!$B:$B)</f>
        <v/>
      </c>
      <c r="AK44" s="91">
        <f>_xlfn.XLOOKUP(A44,[3]最小距离站点!$A:$A,[3]最小距离站点!$C:$C)</f>
        <v/>
      </c>
      <c r="AL44" s="91" t="inlineStr">
        <is>
          <t>pilot'</t>
        </is>
      </c>
    </row>
    <row r="45" ht="15" customHeight="1" s="99">
      <c r="A45" t="inlineStr">
        <is>
          <t>GMMAG1</t>
        </is>
      </c>
      <c r="B45" t="inlineStr">
        <is>
          <t>GMMAG1_GUL00_Magalegoda_Gm</t>
        </is>
      </c>
      <c r="C45" s="89" t="inlineStr">
        <is>
          <t>Huawei</t>
        </is>
      </c>
      <c r="F45" t="n">
        <v>7.13739</v>
      </c>
      <c r="G45" t="n">
        <v>80.04000000000001</v>
      </c>
      <c r="H45" t="inlineStr">
        <is>
          <t>GMMAG1-M-L85-B1</t>
        </is>
      </c>
      <c r="J45" s="91" t="n"/>
      <c r="K45" t="inlineStr">
        <is>
          <t>S2</t>
        </is>
      </c>
      <c r="L45" t="inlineStr">
        <is>
          <t>4G</t>
        </is>
      </c>
      <c r="M45" t="n">
        <v>850</v>
      </c>
      <c r="N45" s="92" t="inlineStr">
        <is>
          <t>AQU4518R9v06</t>
        </is>
      </c>
      <c r="O45" t="n">
        <v>60</v>
      </c>
      <c r="P45" t="n">
        <v>150</v>
      </c>
      <c r="R45" t="n">
        <v>0</v>
      </c>
      <c r="Y45" s="91">
        <f>_xlfn.XLOOKUP(H45,'[1]4G Parameters'!$G:$G,'[1]4G Parameters'!$AA:$AA)</f>
        <v/>
      </c>
      <c r="Z45" s="91" t="inlineStr">
        <is>
          <t>2T2R</t>
        </is>
      </c>
      <c r="AA45" s="91" t="inlineStr">
        <is>
          <t>2T2R</t>
        </is>
      </c>
      <c r="AB45" s="91" t="inlineStr">
        <is>
          <t>R9254E S8500</t>
        </is>
      </c>
      <c r="AC45" s="91" t="inlineStr">
        <is>
          <t>A9652 S35*3+R9264H M901821*3+R9254E S8500*2+R9264 M1821N*2+FL8590A*3</t>
        </is>
      </c>
      <c r="AD45" s="91" t="inlineStr">
        <is>
          <t>AQU4518R9v06</t>
        </is>
      </c>
      <c r="AE45" s="91" t="n">
        <v>60</v>
      </c>
      <c r="AF45" s="91" t="n">
        <v>150</v>
      </c>
      <c r="AG45" s="91" t="n"/>
      <c r="AH45" s="91" t="n">
        <v>0</v>
      </c>
      <c r="AI45" s="91">
        <f>_xlfn.XLOOKUP(A45,'[2]177+10+50 Sites (detail)'!$B:$B,'[2]177+10+50 Sites (detail)'!$I:$I)</f>
        <v/>
      </c>
      <c r="AJ45" s="91">
        <f>_xlfn.XLOOKUP(A45,[3]最小距离站点!$A:$A,[3]最小距离站点!$B:$B)</f>
        <v/>
      </c>
      <c r="AK45" s="91">
        <f>_xlfn.XLOOKUP(A45,[3]最小距离站点!$A:$A,[3]最小距离站点!$C:$C)</f>
        <v/>
      </c>
      <c r="AL45" s="91" t="inlineStr">
        <is>
          <t>pilot'</t>
        </is>
      </c>
    </row>
    <row r="46" ht="15" customHeight="1" s="99">
      <c r="A46" t="inlineStr">
        <is>
          <t>GMMAG1</t>
        </is>
      </c>
      <c r="B46" t="inlineStr">
        <is>
          <t>GMMAG1_GUL00_Magalegoda_Gm</t>
        </is>
      </c>
      <c r="C46" s="89" t="inlineStr">
        <is>
          <t>Huawei</t>
        </is>
      </c>
      <c r="F46" t="n">
        <v>7.13739</v>
      </c>
      <c r="G46" t="n">
        <v>80.04000000000001</v>
      </c>
      <c r="H46" t="inlineStr">
        <is>
          <t>GMMAG1-M-L21-C2</t>
        </is>
      </c>
      <c r="J46" s="91" t="n"/>
      <c r="K46" t="inlineStr">
        <is>
          <t>S3</t>
        </is>
      </c>
      <c r="L46" t="inlineStr">
        <is>
          <t>4G</t>
        </is>
      </c>
      <c r="M46" t="n">
        <v>2100</v>
      </c>
      <c r="N46" s="92" t="inlineStr">
        <is>
          <t>AQU4518R9v06</t>
        </is>
      </c>
      <c r="O46" t="n">
        <v>60</v>
      </c>
      <c r="P46" t="n">
        <v>335</v>
      </c>
      <c r="R46" t="n">
        <v>0</v>
      </c>
      <c r="Y46" s="91">
        <f>_xlfn.XLOOKUP(H46,'[1]4G Parameters'!$G:$G,'[1]4G Parameters'!$AA:$AA)</f>
        <v/>
      </c>
      <c r="Z46" s="91" t="inlineStr">
        <is>
          <t>6T6R</t>
        </is>
      </c>
      <c r="AA46" s="91" t="inlineStr">
        <is>
          <t>4T4R</t>
        </is>
      </c>
      <c r="AB46" s="91" t="inlineStr">
        <is>
          <t>R9264H M901821</t>
        </is>
      </c>
      <c r="AC46" s="91" t="inlineStr">
        <is>
          <t>A9652 S35*3+R9264H M901821*3+R9254E S8500*2+R9264 M1821N*2+FL8590A*3</t>
        </is>
      </c>
      <c r="AD46" s="91" t="inlineStr">
        <is>
          <t>AQU4518R9v06</t>
        </is>
      </c>
      <c r="AE46" s="91" t="n">
        <v>60</v>
      </c>
      <c r="AF46" s="91" t="n">
        <v>335</v>
      </c>
      <c r="AG46" s="91" t="n"/>
      <c r="AH46" s="91" t="n">
        <v>0</v>
      </c>
      <c r="AI46" s="91">
        <f>_xlfn.XLOOKUP(A46,'[2]177+10+50 Sites (detail)'!$B:$B,'[2]177+10+50 Sites (detail)'!$I:$I)</f>
        <v/>
      </c>
      <c r="AJ46" s="91">
        <f>_xlfn.XLOOKUP(A46,[3]最小距离站点!$A:$A,[3]最小距离站点!$B:$B)</f>
        <v/>
      </c>
      <c r="AK46" s="91">
        <f>_xlfn.XLOOKUP(A46,[3]最小距离站点!$A:$A,[3]最小距离站点!$C:$C)</f>
        <v/>
      </c>
      <c r="AL46" s="91" t="inlineStr">
        <is>
          <t>pilot'</t>
        </is>
      </c>
    </row>
    <row r="47" ht="15" customHeight="1" s="99">
      <c r="A47" t="inlineStr">
        <is>
          <t>GMMAG1</t>
        </is>
      </c>
      <c r="B47" t="inlineStr">
        <is>
          <t>GMMAG1_GUL00_Magalegoda_Gm</t>
        </is>
      </c>
      <c r="C47" s="89" t="inlineStr">
        <is>
          <t>Huawei</t>
        </is>
      </c>
      <c r="F47" t="n">
        <v>7.13739</v>
      </c>
      <c r="G47" t="n">
        <v>80.04000000000001</v>
      </c>
      <c r="H47" t="inlineStr">
        <is>
          <t>GMMAG1I</t>
        </is>
      </c>
      <c r="J47" s="91" t="n"/>
      <c r="K47" t="inlineStr">
        <is>
          <t>S3</t>
        </is>
      </c>
      <c r="L47" t="inlineStr">
        <is>
          <t>4G</t>
        </is>
      </c>
      <c r="M47" t="n">
        <v>1800</v>
      </c>
      <c r="N47" s="92" t="inlineStr">
        <is>
          <t>AQU4518R9v06</t>
        </is>
      </c>
      <c r="O47" t="n">
        <v>60</v>
      </c>
      <c r="P47" t="n">
        <v>335</v>
      </c>
      <c r="R47" t="n">
        <v>0</v>
      </c>
      <c r="Y47" s="91">
        <f>_xlfn.XLOOKUP(H47,'[1]4G Parameters'!$G:$G,'[1]4G Parameters'!$AA:$AA)</f>
        <v/>
      </c>
      <c r="Z47" s="91" t="inlineStr">
        <is>
          <t>6T6R</t>
        </is>
      </c>
      <c r="AA47" s="91" t="inlineStr">
        <is>
          <t>4T4R</t>
        </is>
      </c>
      <c r="AB47" s="91" t="inlineStr">
        <is>
          <t>R9264H M901821</t>
        </is>
      </c>
      <c r="AC47" s="91" t="inlineStr">
        <is>
          <t>A9652 S35*3+R9264H M901821*3+R9254E S8500*2+R9264 M1821N*2+FL8590A*3</t>
        </is>
      </c>
      <c r="AD47" s="91" t="inlineStr">
        <is>
          <t>AQU4518R9v06</t>
        </is>
      </c>
      <c r="AE47" s="91" t="n">
        <v>60</v>
      </c>
      <c r="AF47" s="91" t="n">
        <v>335</v>
      </c>
      <c r="AG47" s="91" t="n"/>
      <c r="AH47" s="91" t="n">
        <v>0</v>
      </c>
      <c r="AI47" s="91">
        <f>_xlfn.XLOOKUP(A47,'[2]177+10+50 Sites (detail)'!$B:$B,'[2]177+10+50 Sites (detail)'!$I:$I)</f>
        <v/>
      </c>
      <c r="AJ47" s="91">
        <f>_xlfn.XLOOKUP(A47,[3]最小距离站点!$A:$A,[3]最小距离站点!$B:$B)</f>
        <v/>
      </c>
      <c r="AK47" s="91">
        <f>_xlfn.XLOOKUP(A47,[3]最小距离站点!$A:$A,[3]最小距离站点!$C:$C)</f>
        <v/>
      </c>
      <c r="AL47" s="91" t="inlineStr">
        <is>
          <t>pilot'</t>
        </is>
      </c>
    </row>
    <row r="48" ht="15" customHeight="1" s="99">
      <c r="A48" t="inlineStr">
        <is>
          <t>GMMAG1</t>
        </is>
      </c>
      <c r="B48" t="inlineStr">
        <is>
          <t>GMMAG1_GUL00_Magalegoda_Gm</t>
        </is>
      </c>
      <c r="C48" s="89" t="inlineStr">
        <is>
          <t>Huawei</t>
        </is>
      </c>
      <c r="F48" t="n">
        <v>7.13739</v>
      </c>
      <c r="G48" t="n">
        <v>80.04000000000001</v>
      </c>
      <c r="H48" t="inlineStr">
        <is>
          <t>GMMAG1-M-L85-C1</t>
        </is>
      </c>
      <c r="J48" s="91" t="n"/>
      <c r="K48" t="inlineStr">
        <is>
          <t>S3</t>
        </is>
      </c>
      <c r="L48" t="inlineStr">
        <is>
          <t>4G</t>
        </is>
      </c>
      <c r="M48" t="n">
        <v>850</v>
      </c>
      <c r="N48" s="92" t="inlineStr">
        <is>
          <t>AQU4518R9v06</t>
        </is>
      </c>
      <c r="O48" t="n">
        <v>60</v>
      </c>
      <c r="P48" t="n">
        <v>335</v>
      </c>
      <c r="R48" t="n">
        <v>0</v>
      </c>
      <c r="Y48" s="91">
        <f>_xlfn.XLOOKUP(H48,'[1]4G Parameters'!$G:$G,'[1]4G Parameters'!$AA:$AA)</f>
        <v/>
      </c>
      <c r="Z48" s="91" t="inlineStr">
        <is>
          <t>2T2R</t>
        </is>
      </c>
      <c r="AA48" s="91" t="inlineStr">
        <is>
          <t>2T2R</t>
        </is>
      </c>
      <c r="AB48" s="91" t="inlineStr">
        <is>
          <t>R9254E S8500</t>
        </is>
      </c>
      <c r="AC48" s="91" t="inlineStr">
        <is>
          <t>A9652 S35*3+R9264H M901821*3+R9254E S8500*2+R9264 M1821N*2+FL8590A*3</t>
        </is>
      </c>
      <c r="AD48" s="91" t="inlineStr">
        <is>
          <t>AQU4518R9v06</t>
        </is>
      </c>
      <c r="AE48" s="91" t="n">
        <v>60</v>
      </c>
      <c r="AF48" s="91" t="n">
        <v>335</v>
      </c>
      <c r="AG48" s="91" t="n"/>
      <c r="AH48" s="91" t="n">
        <v>0</v>
      </c>
      <c r="AI48" s="91">
        <f>_xlfn.XLOOKUP(A48,'[2]177+10+50 Sites (detail)'!$B:$B,'[2]177+10+50 Sites (detail)'!$I:$I)</f>
        <v/>
      </c>
      <c r="AJ48" s="91">
        <f>_xlfn.XLOOKUP(A48,[3]最小距离站点!$A:$A,[3]最小距离站点!$B:$B)</f>
        <v/>
      </c>
      <c r="AK48" s="91">
        <f>_xlfn.XLOOKUP(A48,[3]最小距离站点!$A:$A,[3]最小距离站点!$C:$C)</f>
        <v/>
      </c>
      <c r="AL48" s="91" t="inlineStr">
        <is>
          <t>pilot'</t>
        </is>
      </c>
    </row>
    <row r="49" ht="15" customHeight="1" s="99">
      <c r="A49" t="inlineStr">
        <is>
          <t>GMMAG1</t>
        </is>
      </c>
      <c r="B49" t="inlineStr">
        <is>
          <t>GMMAG1_GUL00_Magalegoda_Gm</t>
        </is>
      </c>
      <c r="C49" s="89" t="inlineStr">
        <is>
          <t>Huawei</t>
        </is>
      </c>
      <c r="F49" t="n">
        <v>7.13739</v>
      </c>
      <c r="G49" t="n">
        <v>80.04000000000001</v>
      </c>
      <c r="H49" t="inlineStr">
        <is>
          <t>GMMAG1-M-L21-D2</t>
        </is>
      </c>
      <c r="J49" s="91" t="n"/>
      <c r="K49" t="inlineStr">
        <is>
          <t>S4</t>
        </is>
      </c>
      <c r="L49" t="inlineStr">
        <is>
          <t>4G</t>
        </is>
      </c>
      <c r="M49" t="n">
        <v>2100</v>
      </c>
      <c r="N49" s="92" t="inlineStr">
        <is>
          <t>AQU4518R9v06</t>
        </is>
      </c>
      <c r="O49" t="n">
        <v>60</v>
      </c>
      <c r="P49" t="n">
        <v>270</v>
      </c>
      <c r="R49" t="n">
        <v>0</v>
      </c>
      <c r="Y49" s="91">
        <f>_xlfn.XLOOKUP(H49,'[1]4G Parameters'!$G:$G,'[1]4G Parameters'!$AA:$AA)</f>
        <v/>
      </c>
      <c r="Z49" s="91" t="inlineStr">
        <is>
          <t>6T6R</t>
        </is>
      </c>
      <c r="AA49" s="91" t="inlineStr">
        <is>
          <t>4T4R</t>
        </is>
      </c>
      <c r="AB49" s="91" t="inlineStr">
        <is>
          <t>R9264 M1821N</t>
        </is>
      </c>
      <c r="AC49" s="91" t="inlineStr">
        <is>
          <t>A9652 S35*3+R9264H M901821*3+R9254E S8500*2+R9264 M1821N*2+FL8590A*3</t>
        </is>
      </c>
      <c r="AD49" s="91" t="inlineStr">
        <is>
          <t>AMB4519R6v06</t>
        </is>
      </c>
      <c r="AE49" s="91" t="n">
        <v>60</v>
      </c>
      <c r="AF49" s="91" t="n">
        <v>270</v>
      </c>
      <c r="AG49" s="91" t="n"/>
      <c r="AH49" s="91" t="n">
        <v>0</v>
      </c>
      <c r="AI49" s="91">
        <f>_xlfn.XLOOKUP(A49,'[2]177+10+50 Sites (detail)'!$B:$B,'[2]177+10+50 Sites (detail)'!$I:$I)</f>
        <v/>
      </c>
      <c r="AJ49" s="91">
        <f>_xlfn.XLOOKUP(A49,[3]最小距离站点!$A:$A,[3]最小距离站点!$B:$B)</f>
        <v/>
      </c>
      <c r="AK49" s="91">
        <f>_xlfn.XLOOKUP(A49,[3]最小距离站点!$A:$A,[3]最小距离站点!$C:$C)</f>
        <v/>
      </c>
      <c r="AL49" s="91" t="inlineStr">
        <is>
          <t>pilot'</t>
        </is>
      </c>
    </row>
    <row r="50" ht="15" customHeight="1" s="99">
      <c r="A50" t="inlineStr">
        <is>
          <t>GMMAG1</t>
        </is>
      </c>
      <c r="B50" t="inlineStr">
        <is>
          <t>GMMAG1_GUL00_Magalegoda_Gm</t>
        </is>
      </c>
      <c r="C50" s="89" t="inlineStr">
        <is>
          <t>Huawei</t>
        </is>
      </c>
      <c r="D50" s="91" t="inlineStr">
        <is>
          <t>NEW</t>
        </is>
      </c>
      <c r="F50" t="n">
        <v>7.13739</v>
      </c>
      <c r="G50" t="n">
        <v>80.04000000000001</v>
      </c>
      <c r="I50" t="inlineStr">
        <is>
          <t>GMMAG1-M-L21-F2</t>
        </is>
      </c>
      <c r="K50" t="inlineStr">
        <is>
          <t>S4</t>
        </is>
      </c>
      <c r="L50" t="inlineStr">
        <is>
          <t>4G</t>
        </is>
      </c>
      <c r="M50" t="n">
        <v>2100</v>
      </c>
      <c r="O50" t="n">
        <v>60</v>
      </c>
      <c r="P50" t="n">
        <v>270</v>
      </c>
      <c r="R50" t="n">
        <v>0</v>
      </c>
      <c r="AA50" s="91" t="inlineStr">
        <is>
          <t>4T4R</t>
        </is>
      </c>
      <c r="AB50" s="91" t="inlineStr">
        <is>
          <t>R9264 M1821N</t>
        </is>
      </c>
      <c r="AC50" s="91" t="inlineStr">
        <is>
          <t>A9652 S35*3+R9264H M901821*3+R9254E S8500*2+R9264 M1821N*2+FL8590A*3</t>
        </is>
      </c>
      <c r="AD50" s="91" t="inlineStr">
        <is>
          <t>AMB4519R6v06</t>
        </is>
      </c>
      <c r="AE50" s="91" t="n">
        <v>60</v>
      </c>
      <c r="AF50" s="91" t="n">
        <v>270</v>
      </c>
      <c r="AG50" s="91" t="n"/>
      <c r="AH50" s="91" t="n">
        <v>0</v>
      </c>
      <c r="AI50" s="91">
        <f>_xlfn.XLOOKUP(A50,'[2]177+10+50 Sites (detail)'!$B:$B,'[2]177+10+50 Sites (detail)'!$I:$I)</f>
        <v/>
      </c>
      <c r="AJ50" s="91">
        <f>_xlfn.XLOOKUP(A50,[3]最小距离站点!$A:$A,[3]最小距离站点!$B:$B)</f>
        <v/>
      </c>
      <c r="AK50" s="91">
        <f>_xlfn.XLOOKUP(A50,[3]最小距离站点!$A:$A,[3]最小距离站点!$C:$C)</f>
        <v/>
      </c>
      <c r="AL50" s="91" t="inlineStr">
        <is>
          <t>pilot'</t>
        </is>
      </c>
    </row>
    <row r="51" ht="15" customHeight="1" s="99">
      <c r="A51" t="inlineStr">
        <is>
          <t>GMMAG1</t>
        </is>
      </c>
      <c r="B51" t="inlineStr">
        <is>
          <t>GMMAG1_GUL00_Magalegoda_Gm</t>
        </is>
      </c>
      <c r="C51" s="89" t="inlineStr">
        <is>
          <t>Huawei</t>
        </is>
      </c>
      <c r="F51" t="n">
        <v>7.13739</v>
      </c>
      <c r="G51" t="n">
        <v>80.04000000000001</v>
      </c>
      <c r="H51" t="inlineStr">
        <is>
          <t>GMMAG1F</t>
        </is>
      </c>
      <c r="J51" s="91" t="n"/>
      <c r="K51" t="inlineStr">
        <is>
          <t>S4</t>
        </is>
      </c>
      <c r="L51" t="inlineStr">
        <is>
          <t>4G</t>
        </is>
      </c>
      <c r="M51" t="n">
        <v>1800</v>
      </c>
      <c r="N51" s="93" t="inlineStr">
        <is>
          <t>AMB4519R6v06</t>
        </is>
      </c>
      <c r="O51" t="n">
        <v>60</v>
      </c>
      <c r="P51" t="n">
        <v>270</v>
      </c>
      <c r="R51" t="n">
        <v>0</v>
      </c>
      <c r="Y51" s="91">
        <f>_xlfn.XLOOKUP(H51,'[1]4G Parameters'!$G:$G,'[1]4G Parameters'!$AA:$AA)</f>
        <v/>
      </c>
      <c r="Z51" s="91" t="inlineStr">
        <is>
          <t>4T4R</t>
        </is>
      </c>
      <c r="AA51" s="91" t="inlineStr">
        <is>
          <t>4T4R</t>
        </is>
      </c>
      <c r="AB51" s="91" t="inlineStr">
        <is>
          <t>R9264 M1821N</t>
        </is>
      </c>
      <c r="AC51" s="91" t="inlineStr">
        <is>
          <t>A9652 S35*3+R9264H M901821*3+R9254E S8500*2+R9264 M1821N*2+FL8590A*3</t>
        </is>
      </c>
      <c r="AD51" s="91" t="inlineStr">
        <is>
          <t>AMB4519R6v06</t>
        </is>
      </c>
      <c r="AE51" s="91" t="n">
        <v>60</v>
      </c>
      <c r="AF51" s="91" t="n">
        <v>270</v>
      </c>
      <c r="AG51" s="91" t="n"/>
      <c r="AH51" s="91" t="n">
        <v>0</v>
      </c>
      <c r="AI51" s="91">
        <f>_xlfn.XLOOKUP(A51,'[2]177+10+50 Sites (detail)'!$B:$B,'[2]177+10+50 Sites (detail)'!$I:$I)</f>
        <v/>
      </c>
      <c r="AJ51" s="91">
        <f>_xlfn.XLOOKUP(A51,[3]最小距离站点!$A:$A,[3]最小距离站点!$B:$B)</f>
        <v/>
      </c>
      <c r="AK51" s="91">
        <f>_xlfn.XLOOKUP(A51,[3]最小距离站点!$A:$A,[3]最小距离站点!$C:$C)</f>
        <v/>
      </c>
      <c r="AL51" s="91" t="inlineStr">
        <is>
          <t>pilot'</t>
        </is>
      </c>
    </row>
    <row r="52" ht="15" customHeight="1" s="99">
      <c r="A52" t="inlineStr">
        <is>
          <t>GMMAG1</t>
        </is>
      </c>
      <c r="B52" t="inlineStr">
        <is>
          <t>GMMAG1_GUL00_Magalegoda_Gm</t>
        </is>
      </c>
      <c r="C52" s="89" t="inlineStr">
        <is>
          <t>Huawei</t>
        </is>
      </c>
      <c r="F52" t="n">
        <v>7.13739</v>
      </c>
      <c r="G52" t="n">
        <v>80.04000000000001</v>
      </c>
      <c r="H52" t="inlineStr">
        <is>
          <t>GMMAG1-M-L18-F1</t>
        </is>
      </c>
      <c r="J52" s="91" t="n"/>
      <c r="K52" t="inlineStr">
        <is>
          <t>S4</t>
        </is>
      </c>
      <c r="L52" t="inlineStr">
        <is>
          <t>4G</t>
        </is>
      </c>
      <c r="M52" t="n">
        <v>1800</v>
      </c>
      <c r="N52" s="93" t="inlineStr">
        <is>
          <t>AMB4519R6v06</t>
        </is>
      </c>
      <c r="O52" t="n">
        <v>60</v>
      </c>
      <c r="P52" t="n">
        <v>270</v>
      </c>
      <c r="R52" t="n">
        <v>0</v>
      </c>
      <c r="Y52" s="91">
        <f>_xlfn.XLOOKUP(H52,'[1]4G Parameters'!$G:$G,'[1]4G Parameters'!$AA:$AA)</f>
        <v/>
      </c>
      <c r="Z52" s="91" t="inlineStr">
        <is>
          <t>4T4R</t>
        </is>
      </c>
      <c r="AA52" s="91" t="inlineStr">
        <is>
          <t>4T4R</t>
        </is>
      </c>
      <c r="AB52" s="91" t="inlineStr">
        <is>
          <t>R9264 M1821N</t>
        </is>
      </c>
      <c r="AC52" s="91" t="inlineStr">
        <is>
          <t>A9652 S35*3+R9264H M901821*3+R9254E S8500*2+R9264 M1821N*2+FL8590A*3</t>
        </is>
      </c>
      <c r="AD52" s="91" t="inlineStr">
        <is>
          <t>AMB4519R6v06</t>
        </is>
      </c>
      <c r="AE52" s="91" t="n">
        <v>60</v>
      </c>
      <c r="AF52" s="91" t="n">
        <v>270</v>
      </c>
      <c r="AG52" s="91" t="n"/>
      <c r="AH52" s="91" t="n">
        <v>0</v>
      </c>
      <c r="AI52" s="91">
        <f>_xlfn.XLOOKUP(A52,'[2]177+10+50 Sites (detail)'!$B:$B,'[2]177+10+50 Sites (detail)'!$I:$I)</f>
        <v/>
      </c>
      <c r="AJ52" s="91">
        <f>_xlfn.XLOOKUP(A52,[3]最小距离站点!$A:$A,[3]最小距离站点!$B:$B)</f>
        <v/>
      </c>
      <c r="AK52" s="91">
        <f>_xlfn.XLOOKUP(A52,[3]最小距离站点!$A:$A,[3]最小距离站点!$C:$C)</f>
        <v/>
      </c>
      <c r="AL52" s="91" t="inlineStr">
        <is>
          <t>pilot'</t>
        </is>
      </c>
    </row>
    <row r="53" ht="15" customHeight="1" s="99">
      <c r="A53" t="inlineStr">
        <is>
          <t>GMNIT1</t>
        </is>
      </c>
      <c r="B53" t="inlineStr">
        <is>
          <t>GMNIT1_G_Nittambuwa__89_Di</t>
        </is>
      </c>
      <c r="C53" s="89" t="inlineStr">
        <is>
          <t>Huawei</t>
        </is>
      </c>
      <c r="F53" t="n">
        <v>7.145555</v>
      </c>
      <c r="G53" t="n">
        <v>80.09305500000001</v>
      </c>
      <c r="H53" t="inlineStr">
        <is>
          <t>GMNIT1P</t>
        </is>
      </c>
      <c r="J53" s="91" t="n"/>
      <c r="K53" t="inlineStr">
        <is>
          <t>S1</t>
        </is>
      </c>
      <c r="L53" t="inlineStr">
        <is>
          <t>2G</t>
        </is>
      </c>
      <c r="M53" t="n">
        <v>1800</v>
      </c>
      <c r="N53" s="92" t="inlineStr">
        <is>
          <t>AQU4518R9v06</t>
        </is>
      </c>
      <c r="O53" t="n">
        <v>60</v>
      </c>
      <c r="P53" t="n">
        <v>50</v>
      </c>
      <c r="R53" t="n">
        <v>2</v>
      </c>
      <c r="AA53" s="91" t="inlineStr">
        <is>
          <t>1T1R</t>
        </is>
      </c>
      <c r="AB53" s="91" t="inlineStr">
        <is>
          <t>R9264H M901821</t>
        </is>
      </c>
      <c r="AC53" s="91" t="inlineStr">
        <is>
          <t>A9652 S35*3+R9254E S1800*1+R9264H M901821*3+R9254E S8500*2+R9244 S9000*1+FL8590A*4</t>
        </is>
      </c>
      <c r="AD53" s="91" t="inlineStr">
        <is>
          <t>AQU4518R9v06</t>
        </is>
      </c>
      <c r="AE53" s="91" t="n">
        <v>60</v>
      </c>
      <c r="AF53" s="91" t="n">
        <v>50</v>
      </c>
      <c r="AG53" s="91" t="n"/>
      <c r="AH53" s="91" t="n">
        <v>2</v>
      </c>
      <c r="AL53" s="91" t="inlineStr">
        <is>
          <t>pilot'</t>
        </is>
      </c>
    </row>
    <row r="54" ht="15" customHeight="1" s="99">
      <c r="A54" t="inlineStr">
        <is>
          <t>GMNIT1</t>
        </is>
      </c>
      <c r="B54" t="inlineStr">
        <is>
          <t>GMNIT1_G_Nittambuwa__89_Di</t>
        </is>
      </c>
      <c r="C54" s="89" t="inlineStr">
        <is>
          <t>Huawei</t>
        </is>
      </c>
      <c r="F54" t="n">
        <v>7.145555</v>
      </c>
      <c r="G54" t="n">
        <v>80.09305500000001</v>
      </c>
      <c r="H54" t="inlineStr">
        <is>
          <t>GMNIT1A</t>
        </is>
      </c>
      <c r="J54" s="91" t="n"/>
      <c r="K54" t="inlineStr">
        <is>
          <t>S1</t>
        </is>
      </c>
      <c r="L54" t="inlineStr">
        <is>
          <t>2G</t>
        </is>
      </c>
      <c r="M54" t="n">
        <v>900</v>
      </c>
      <c r="O54" t="n">
        <v>60</v>
      </c>
      <c r="P54" t="n">
        <v>50</v>
      </c>
      <c r="R54" t="n">
        <v>2</v>
      </c>
      <c r="AA54" s="91" t="inlineStr">
        <is>
          <t>1T1R</t>
        </is>
      </c>
      <c r="AB54" s="91" t="inlineStr">
        <is>
          <t>R9264H M901821</t>
        </is>
      </c>
      <c r="AC54" s="91" t="inlineStr">
        <is>
          <t>A9652 S35*3+R9254E S1800*1+R9264H M901821*3+R9254E S8500*2+R9244 S9000*1+FL8590A*4</t>
        </is>
      </c>
      <c r="AD54" s="91" t="inlineStr">
        <is>
          <t>AQU4518R9v06</t>
        </is>
      </c>
      <c r="AE54" s="91" t="n">
        <v>60</v>
      </c>
      <c r="AF54" s="91" t="n">
        <v>50</v>
      </c>
      <c r="AG54" s="91" t="n"/>
      <c r="AH54" s="91" t="n">
        <v>2</v>
      </c>
      <c r="AL54" s="91" t="inlineStr">
        <is>
          <t>pilot'</t>
        </is>
      </c>
    </row>
    <row r="55" ht="15" customHeight="1" s="99">
      <c r="A55" t="inlineStr">
        <is>
          <t>GMNIT1</t>
        </is>
      </c>
      <c r="B55" t="inlineStr">
        <is>
          <t>GMNIT1_G_Nittambuwa__89_Di</t>
        </is>
      </c>
      <c r="C55" s="89" t="inlineStr">
        <is>
          <t>Huawei</t>
        </is>
      </c>
      <c r="F55" t="n">
        <v>7.145555</v>
      </c>
      <c r="G55" t="n">
        <v>80.09305500000001</v>
      </c>
      <c r="H55" t="inlineStr">
        <is>
          <t>GMNIT1Q</t>
        </is>
      </c>
      <c r="J55" s="91" t="n"/>
      <c r="K55" t="inlineStr">
        <is>
          <t>S2</t>
        </is>
      </c>
      <c r="L55" t="inlineStr">
        <is>
          <t>2G</t>
        </is>
      </c>
      <c r="M55" t="n">
        <v>1800</v>
      </c>
      <c r="N55" s="92" t="inlineStr">
        <is>
          <t>AQU4518R9v06</t>
        </is>
      </c>
      <c r="O55" t="n">
        <v>60</v>
      </c>
      <c r="P55" t="n">
        <v>130</v>
      </c>
      <c r="R55" t="n">
        <v>2</v>
      </c>
      <c r="AA55" s="91" t="inlineStr">
        <is>
          <t>4T4R</t>
        </is>
      </c>
      <c r="AB55" s="91" t="inlineStr">
        <is>
          <t>R9264H M901821</t>
        </is>
      </c>
      <c r="AC55" s="91" t="inlineStr">
        <is>
          <t>A9652 S35*3+R9254E S1800*1+R9264H M901821*3+R9254E S8500*2+R9244 S9000*1+FL8590A*4</t>
        </is>
      </c>
      <c r="AD55" s="91" t="inlineStr">
        <is>
          <t>AQU4518R9v06</t>
        </is>
      </c>
      <c r="AE55" s="91" t="n">
        <v>60</v>
      </c>
      <c r="AF55" s="91" t="n">
        <v>130</v>
      </c>
      <c r="AG55" s="91" t="n"/>
      <c r="AH55" s="91" t="n">
        <v>2</v>
      </c>
      <c r="AL55" s="91" t="inlineStr">
        <is>
          <t>pilot'</t>
        </is>
      </c>
    </row>
    <row r="56" ht="15" customHeight="1" s="99">
      <c r="A56" t="inlineStr">
        <is>
          <t>GMNIT1</t>
        </is>
      </c>
      <c r="B56" t="inlineStr">
        <is>
          <t>GMNIT1_G_Nittambuwa__89_Di</t>
        </is>
      </c>
      <c r="C56" s="89" t="inlineStr">
        <is>
          <t>Huawei</t>
        </is>
      </c>
      <c r="F56" t="n">
        <v>7.145555</v>
      </c>
      <c r="G56" t="n">
        <v>80.09305500000001</v>
      </c>
      <c r="H56" t="inlineStr">
        <is>
          <t>GMNIT1B</t>
        </is>
      </c>
      <c r="J56" s="91" t="n"/>
      <c r="K56" t="inlineStr">
        <is>
          <t>S2</t>
        </is>
      </c>
      <c r="L56" t="inlineStr">
        <is>
          <t>2G</t>
        </is>
      </c>
      <c r="M56" t="n">
        <v>900</v>
      </c>
      <c r="O56" t="n">
        <v>60</v>
      </c>
      <c r="P56" t="n">
        <v>130</v>
      </c>
      <c r="R56" t="n">
        <v>2</v>
      </c>
      <c r="AA56" s="91" t="inlineStr">
        <is>
          <t>1T1R</t>
        </is>
      </c>
      <c r="AB56" s="91" t="inlineStr">
        <is>
          <t>R9264H M901821</t>
        </is>
      </c>
      <c r="AC56" s="91" t="inlineStr">
        <is>
          <t>A9652 S35*3+R9254E S1800*1+R9264H M901821*3+R9254E S8500*2+R9244 S9000*1+FL8590A*4</t>
        </is>
      </c>
      <c r="AD56" s="91" t="inlineStr">
        <is>
          <t>AQU4518R9v06</t>
        </is>
      </c>
      <c r="AE56" s="91" t="n">
        <v>60</v>
      </c>
      <c r="AF56" s="91" t="n">
        <v>130</v>
      </c>
      <c r="AG56" s="91" t="n"/>
      <c r="AH56" s="91" t="n">
        <v>2</v>
      </c>
      <c r="AL56" s="91" t="inlineStr">
        <is>
          <t>pilot'</t>
        </is>
      </c>
    </row>
    <row r="57" ht="15" customHeight="1" s="99">
      <c r="A57" t="inlineStr">
        <is>
          <t>GMNIT1</t>
        </is>
      </c>
      <c r="B57" t="inlineStr">
        <is>
          <t>GMNIT1_G_Nittambuwa__89_Di</t>
        </is>
      </c>
      <c r="C57" s="89" t="inlineStr">
        <is>
          <t>Huawei</t>
        </is>
      </c>
      <c r="F57" t="n">
        <v>7.145555</v>
      </c>
      <c r="G57" t="n">
        <v>80.09305500000001</v>
      </c>
      <c r="H57" t="inlineStr">
        <is>
          <t>GMNIT1C</t>
        </is>
      </c>
      <c r="J57" s="91" t="n"/>
      <c r="K57" t="inlineStr">
        <is>
          <t>S3</t>
        </is>
      </c>
      <c r="L57" t="inlineStr">
        <is>
          <t>2G</t>
        </is>
      </c>
      <c r="M57" t="n">
        <v>900</v>
      </c>
      <c r="O57" t="n">
        <v>60</v>
      </c>
      <c r="P57" t="n">
        <v>280</v>
      </c>
      <c r="R57" t="n">
        <v>2</v>
      </c>
      <c r="AA57" s="91" t="inlineStr">
        <is>
          <t>1T1R</t>
        </is>
      </c>
      <c r="AB57" s="91" t="inlineStr">
        <is>
          <t>R9264H M901821</t>
        </is>
      </c>
      <c r="AC57" s="91" t="inlineStr">
        <is>
          <t>A9652 S35*3+R9254E S1800*1+R9264H M901821*3+R9254E S8500*2+R9244 S9000*1+FL8590A*4</t>
        </is>
      </c>
      <c r="AD57" s="91" t="inlineStr">
        <is>
          <t>AQU4518R9v06</t>
        </is>
      </c>
      <c r="AE57" s="91" t="n">
        <v>60</v>
      </c>
      <c r="AF57" s="91" t="n">
        <v>280</v>
      </c>
      <c r="AG57" s="91" t="n"/>
      <c r="AH57" s="91" t="n">
        <v>2</v>
      </c>
      <c r="AL57" s="91" t="inlineStr">
        <is>
          <t>pilot'</t>
        </is>
      </c>
    </row>
    <row r="58" ht="15" customHeight="1" s="99">
      <c r="A58" t="inlineStr">
        <is>
          <t>GMNIT1</t>
        </is>
      </c>
      <c r="B58" t="inlineStr">
        <is>
          <t>GMNIT1_G_Nittambuwa__89_Di</t>
        </is>
      </c>
      <c r="C58" s="89" t="inlineStr">
        <is>
          <t>Huawei</t>
        </is>
      </c>
      <c r="F58" t="n">
        <v>7.145555</v>
      </c>
      <c r="G58" t="n">
        <v>80.09305500000001</v>
      </c>
      <c r="H58" t="inlineStr">
        <is>
          <t>GMNIT1D</t>
        </is>
      </c>
      <c r="J58" s="91" t="n"/>
      <c r="K58" t="inlineStr">
        <is>
          <t>S4</t>
        </is>
      </c>
      <c r="L58" t="inlineStr">
        <is>
          <t>2G</t>
        </is>
      </c>
      <c r="M58" t="n">
        <v>900</v>
      </c>
      <c r="O58" t="n">
        <v>60</v>
      </c>
      <c r="P58" t="n">
        <v>190</v>
      </c>
      <c r="R58" t="n">
        <v>2</v>
      </c>
      <c r="AA58" s="91" t="inlineStr">
        <is>
          <t>1T1R</t>
        </is>
      </c>
      <c r="AB58" s="91" t="inlineStr">
        <is>
          <t>R9244 S9000</t>
        </is>
      </c>
      <c r="AC58" s="91" t="inlineStr">
        <is>
          <t>A9652 S35*3+R9254E S1800*1+R9264H M901821*3+R9254E S8500*2+R9244 S9000*1+FL8590A*4</t>
        </is>
      </c>
      <c r="AD58" s="91" t="inlineStr">
        <is>
          <t>AQU4518R9v06</t>
        </is>
      </c>
      <c r="AE58" s="91" t="n">
        <v>60</v>
      </c>
      <c r="AF58" s="91" t="n">
        <v>190</v>
      </c>
      <c r="AG58" s="91" t="n"/>
      <c r="AH58" s="91" t="n">
        <v>2</v>
      </c>
      <c r="AL58" s="91" t="inlineStr">
        <is>
          <t>pilot'</t>
        </is>
      </c>
    </row>
    <row r="59" ht="15" customHeight="1" s="99">
      <c r="A59" t="inlineStr">
        <is>
          <t>GMNIT1</t>
        </is>
      </c>
      <c r="B59" t="inlineStr">
        <is>
          <t>GMNIT1_0UL00_Nittambuwa_Di</t>
        </is>
      </c>
      <c r="C59" s="89" t="inlineStr">
        <is>
          <t>Huawei</t>
        </is>
      </c>
      <c r="F59" t="n">
        <v>7.145555</v>
      </c>
      <c r="G59" t="n">
        <v>80.09305500000001</v>
      </c>
      <c r="H59" t="inlineStr">
        <is>
          <t>GMNIT1-M-L21-A2</t>
        </is>
      </c>
      <c r="J59" s="91" t="n"/>
      <c r="K59" t="inlineStr">
        <is>
          <t>S1</t>
        </is>
      </c>
      <c r="L59" t="inlineStr">
        <is>
          <t>4G</t>
        </is>
      </c>
      <c r="M59" t="n">
        <v>2100</v>
      </c>
      <c r="N59" t="inlineStr">
        <is>
          <t>AQU4518R9v06</t>
        </is>
      </c>
      <c r="O59" t="n">
        <v>60</v>
      </c>
      <c r="P59" t="n">
        <v>50</v>
      </c>
      <c r="R59" t="n">
        <v>0</v>
      </c>
      <c r="Y59" s="91">
        <f>_xlfn.XLOOKUP(H59,'[1]4G Parameters'!$G:$G,'[1]4G Parameters'!$AA:$AA)</f>
        <v/>
      </c>
      <c r="Z59" s="91" t="inlineStr">
        <is>
          <t>6T6R</t>
        </is>
      </c>
      <c r="AA59" s="91" t="inlineStr">
        <is>
          <t>4T4R</t>
        </is>
      </c>
      <c r="AB59" s="91" t="inlineStr">
        <is>
          <t>R9264H M901821</t>
        </is>
      </c>
      <c r="AC59" s="91" t="inlineStr">
        <is>
          <t>A9652 S35*3+R9254E S1800*1+R9264H M901821*3+R9254E S8500*2+R9244 S9000*1+FL8590A*4</t>
        </is>
      </c>
      <c r="AD59" s="91" t="inlineStr">
        <is>
          <t>AQU4518R9v06</t>
        </is>
      </c>
      <c r="AE59" s="91" t="n">
        <v>60</v>
      </c>
      <c r="AF59" s="91" t="n">
        <v>50</v>
      </c>
      <c r="AG59" s="91" t="n"/>
      <c r="AH59" s="91" t="n">
        <v>0</v>
      </c>
      <c r="AI59" s="91">
        <f>_xlfn.XLOOKUP(A59,'[2]177+10+50 Sites (detail)'!$B:$B,'[2]177+10+50 Sites (detail)'!$I:$I)</f>
        <v/>
      </c>
      <c r="AJ59" s="91">
        <f>_xlfn.XLOOKUP(A59,[3]最小距离站点!$A:$A,[3]最小距离站点!$B:$B)</f>
        <v/>
      </c>
      <c r="AK59" s="91">
        <f>_xlfn.XLOOKUP(A59,[3]最小距离站点!$A:$A,[3]最小距离站点!$C:$C)</f>
        <v/>
      </c>
      <c r="AL59" s="91" t="inlineStr">
        <is>
          <t>pilot'</t>
        </is>
      </c>
    </row>
    <row r="60" ht="15" customHeight="1" s="99">
      <c r="A60" t="inlineStr">
        <is>
          <t>GMNIT1</t>
        </is>
      </c>
      <c r="B60" t="inlineStr">
        <is>
          <t>GMNIT1_0UL00_Nittambuwa_Di</t>
        </is>
      </c>
      <c r="C60" s="89" t="inlineStr">
        <is>
          <t>Huawei</t>
        </is>
      </c>
      <c r="F60" t="n">
        <v>7.145555</v>
      </c>
      <c r="G60" t="n">
        <v>80.09305500000001</v>
      </c>
      <c r="H60" t="inlineStr">
        <is>
          <t>GMNIT1G</t>
        </is>
      </c>
      <c r="J60" s="91" t="n"/>
      <c r="K60" t="inlineStr">
        <is>
          <t>S1</t>
        </is>
      </c>
      <c r="L60" t="inlineStr">
        <is>
          <t>4G</t>
        </is>
      </c>
      <c r="M60" t="n">
        <v>1800</v>
      </c>
      <c r="N60" t="inlineStr">
        <is>
          <t>AQU4518R9v06</t>
        </is>
      </c>
      <c r="O60" t="n">
        <v>60</v>
      </c>
      <c r="P60" t="n">
        <v>50</v>
      </c>
      <c r="R60" t="n">
        <v>0</v>
      </c>
      <c r="Y60" s="91">
        <f>_xlfn.XLOOKUP(H60,'[1]4G Parameters'!$G:$G,'[1]4G Parameters'!$AA:$AA)</f>
        <v/>
      </c>
      <c r="Z60" s="91" t="inlineStr">
        <is>
          <t>6T6R</t>
        </is>
      </c>
      <c r="AA60" s="91" t="inlineStr">
        <is>
          <t>4T4R</t>
        </is>
      </c>
      <c r="AB60" s="91" t="inlineStr">
        <is>
          <t>R9264H M901821</t>
        </is>
      </c>
      <c r="AC60" s="91" t="inlineStr">
        <is>
          <t>A9652 S35*3+R9254E S1800*1+R9264H M901821*3+R9254E S8500*2+R9244 S9000*1+FL8590A*4</t>
        </is>
      </c>
      <c r="AD60" s="91" t="inlineStr">
        <is>
          <t>AQU4518R9v06</t>
        </is>
      </c>
      <c r="AE60" s="91" t="n">
        <v>60</v>
      </c>
      <c r="AF60" s="91" t="n">
        <v>50</v>
      </c>
      <c r="AG60" s="91" t="n"/>
      <c r="AH60" s="91" t="n">
        <v>0</v>
      </c>
      <c r="AI60" s="91">
        <f>_xlfn.XLOOKUP(A60,'[2]177+10+50 Sites (detail)'!$B:$B,'[2]177+10+50 Sites (detail)'!$I:$I)</f>
        <v/>
      </c>
      <c r="AJ60" s="91">
        <f>_xlfn.XLOOKUP(A60,[3]最小距离站点!$A:$A,[3]最小距离站点!$B:$B)</f>
        <v/>
      </c>
      <c r="AK60" s="91">
        <f>_xlfn.XLOOKUP(A60,[3]最小距离站点!$A:$A,[3]最小距离站点!$C:$C)</f>
        <v/>
      </c>
      <c r="AL60" s="91" t="inlineStr">
        <is>
          <t>pilot'</t>
        </is>
      </c>
    </row>
    <row r="61" ht="15" customHeight="1" s="99">
      <c r="A61" t="inlineStr">
        <is>
          <t>GMNIT1</t>
        </is>
      </c>
      <c r="B61" t="inlineStr">
        <is>
          <t>GMNIT1_0UL00_Nittambuwa_Di</t>
        </is>
      </c>
      <c r="C61" s="89" t="inlineStr">
        <is>
          <t>Huawei</t>
        </is>
      </c>
      <c r="F61" t="n">
        <v>7.145555</v>
      </c>
      <c r="G61" t="n">
        <v>80.09305500000001</v>
      </c>
      <c r="H61" t="inlineStr">
        <is>
          <t>GMNIT1-M-L85-A1</t>
        </is>
      </c>
      <c r="J61" s="91" t="n"/>
      <c r="K61" t="inlineStr">
        <is>
          <t>S1</t>
        </is>
      </c>
      <c r="L61" t="inlineStr">
        <is>
          <t>4G</t>
        </is>
      </c>
      <c r="M61" t="n">
        <v>850</v>
      </c>
      <c r="N61" t="inlineStr">
        <is>
          <t>AQU4518R9v06</t>
        </is>
      </c>
      <c r="O61" t="n">
        <v>60</v>
      </c>
      <c r="P61" t="n">
        <v>50</v>
      </c>
      <c r="R61" t="n">
        <v>0</v>
      </c>
      <c r="Y61" s="91">
        <f>_xlfn.XLOOKUP(H61,'[1]4G Parameters'!$G:$G,'[1]4G Parameters'!$AA:$AA)</f>
        <v/>
      </c>
      <c r="Z61" s="91" t="inlineStr">
        <is>
          <t>2T2R</t>
        </is>
      </c>
      <c r="AA61" s="91" t="inlineStr">
        <is>
          <t>2T2R</t>
        </is>
      </c>
      <c r="AB61" s="91" t="inlineStr">
        <is>
          <t>R9254E S8500</t>
        </is>
      </c>
      <c r="AC61" s="91" t="inlineStr">
        <is>
          <t>A9652 S35*3+R9254E S1800*1+R9264H M901821*3+R9254E S8500*2+R9244 S9000*1+FL8590A*4</t>
        </is>
      </c>
      <c r="AD61" s="91" t="inlineStr">
        <is>
          <t>AQU4518R9v06</t>
        </is>
      </c>
      <c r="AE61" s="91" t="n">
        <v>60</v>
      </c>
      <c r="AF61" s="91" t="n">
        <v>50</v>
      </c>
      <c r="AG61" s="91" t="n"/>
      <c r="AH61" s="91" t="n">
        <v>0</v>
      </c>
      <c r="AI61" s="91">
        <f>_xlfn.XLOOKUP(A61,'[2]177+10+50 Sites (detail)'!$B:$B,'[2]177+10+50 Sites (detail)'!$I:$I)</f>
        <v/>
      </c>
      <c r="AJ61" s="91">
        <f>_xlfn.XLOOKUP(A61,[3]最小距离站点!$A:$A,[3]最小距离站点!$B:$B)</f>
        <v/>
      </c>
      <c r="AK61" s="91">
        <f>_xlfn.XLOOKUP(A61,[3]最小距离站点!$A:$A,[3]最小距离站点!$C:$C)</f>
        <v/>
      </c>
      <c r="AL61" s="91" t="inlineStr">
        <is>
          <t>pilot'</t>
        </is>
      </c>
    </row>
    <row r="62" ht="15" customHeight="1" s="99">
      <c r="A62" t="inlineStr">
        <is>
          <t>GMNIT1</t>
        </is>
      </c>
      <c r="B62" t="inlineStr">
        <is>
          <t>GMNIT1_0UL00_Nittambuwa_Di</t>
        </is>
      </c>
      <c r="C62" s="89" t="inlineStr">
        <is>
          <t>Huawei</t>
        </is>
      </c>
      <c r="F62" t="n">
        <v>7.145555</v>
      </c>
      <c r="G62" t="n">
        <v>80.09305500000001</v>
      </c>
      <c r="H62" t="inlineStr">
        <is>
          <t>GMNIT1-M-L21-B2</t>
        </is>
      </c>
      <c r="J62" s="91" t="n"/>
      <c r="K62" t="inlineStr">
        <is>
          <t>S2</t>
        </is>
      </c>
      <c r="L62" t="inlineStr">
        <is>
          <t>4G</t>
        </is>
      </c>
      <c r="M62" t="n">
        <v>2100</v>
      </c>
      <c r="N62" t="inlineStr">
        <is>
          <t>AQU4518R9v06</t>
        </is>
      </c>
      <c r="O62" t="n">
        <v>60</v>
      </c>
      <c r="P62" t="n">
        <v>130</v>
      </c>
      <c r="R62" t="n">
        <v>0</v>
      </c>
      <c r="Y62" s="91">
        <f>_xlfn.XLOOKUP(H62,'[1]4G Parameters'!$G:$G,'[1]4G Parameters'!$AA:$AA)</f>
        <v/>
      </c>
      <c r="Z62" s="91" t="inlineStr">
        <is>
          <t>6T6R</t>
        </is>
      </c>
      <c r="AA62" s="91" t="inlineStr">
        <is>
          <t>4T4R</t>
        </is>
      </c>
      <c r="AB62" s="91" t="inlineStr">
        <is>
          <t>R9264H M901821</t>
        </is>
      </c>
      <c r="AC62" s="91" t="inlineStr">
        <is>
          <t>A9652 S35*3+R9254E S1800*1+R9264H M901821*3+R9254E S8500*2+R9244 S9000*1+FL8590A*4</t>
        </is>
      </c>
      <c r="AD62" s="91" t="inlineStr">
        <is>
          <t>AQU4518R9v06</t>
        </is>
      </c>
      <c r="AE62" s="91" t="n">
        <v>60</v>
      </c>
      <c r="AF62" s="91" t="n">
        <v>130</v>
      </c>
      <c r="AG62" s="91" t="n"/>
      <c r="AH62" s="91" t="n">
        <v>0</v>
      </c>
      <c r="AI62" s="91">
        <f>_xlfn.XLOOKUP(A62,'[2]177+10+50 Sites (detail)'!$B:$B,'[2]177+10+50 Sites (detail)'!$I:$I)</f>
        <v/>
      </c>
      <c r="AJ62" s="91">
        <f>_xlfn.XLOOKUP(A62,[3]最小距离站点!$A:$A,[3]最小距离站点!$B:$B)</f>
        <v/>
      </c>
      <c r="AK62" s="91">
        <f>_xlfn.XLOOKUP(A62,[3]最小距离站点!$A:$A,[3]最小距离站点!$C:$C)</f>
        <v/>
      </c>
      <c r="AL62" s="91" t="inlineStr">
        <is>
          <t>pilot'</t>
        </is>
      </c>
    </row>
    <row r="63" ht="15" customHeight="1" s="99">
      <c r="A63" t="inlineStr">
        <is>
          <t>GMNIT1</t>
        </is>
      </c>
      <c r="B63" t="inlineStr">
        <is>
          <t>GMNIT1_0UL00_Nittambuwa_Di</t>
        </is>
      </c>
      <c r="C63" s="89" t="inlineStr">
        <is>
          <t>Huawei</t>
        </is>
      </c>
      <c r="F63" t="n">
        <v>7.145555</v>
      </c>
      <c r="G63" t="n">
        <v>80.09305500000001</v>
      </c>
      <c r="H63" t="inlineStr">
        <is>
          <t>GMNIT1H</t>
        </is>
      </c>
      <c r="J63" s="91" t="n"/>
      <c r="K63" t="inlineStr">
        <is>
          <t>S2</t>
        </is>
      </c>
      <c r="L63" t="inlineStr">
        <is>
          <t>4G</t>
        </is>
      </c>
      <c r="M63" t="n">
        <v>1800</v>
      </c>
      <c r="N63" t="inlineStr">
        <is>
          <t>AQU4518R9v06</t>
        </is>
      </c>
      <c r="O63" t="n">
        <v>60</v>
      </c>
      <c r="P63" t="n">
        <v>130</v>
      </c>
      <c r="R63" t="n">
        <v>0</v>
      </c>
      <c r="Y63" s="91">
        <f>_xlfn.XLOOKUP(H63,'[1]4G Parameters'!$G:$G,'[1]4G Parameters'!$AA:$AA)</f>
        <v/>
      </c>
      <c r="Z63" s="91" t="inlineStr">
        <is>
          <t>6T6R</t>
        </is>
      </c>
      <c r="AA63" s="91" t="inlineStr">
        <is>
          <t>4T4R</t>
        </is>
      </c>
      <c r="AB63" s="91" t="inlineStr">
        <is>
          <t>R9264H M901821</t>
        </is>
      </c>
      <c r="AC63" s="91" t="inlineStr">
        <is>
          <t>A9652 S35*3+R9254E S1800*1+R9264H M901821*3+R9254E S8500*2+R9244 S9000*1+FL8590A*4</t>
        </is>
      </c>
      <c r="AD63" s="91" t="inlineStr">
        <is>
          <t>AQU4518R9v06</t>
        </is>
      </c>
      <c r="AE63" s="91" t="n">
        <v>60</v>
      </c>
      <c r="AF63" s="91" t="n">
        <v>130</v>
      </c>
      <c r="AG63" s="91" t="n"/>
      <c r="AH63" s="91" t="n">
        <v>0</v>
      </c>
      <c r="AI63" s="91">
        <f>_xlfn.XLOOKUP(A63,'[2]177+10+50 Sites (detail)'!$B:$B,'[2]177+10+50 Sites (detail)'!$I:$I)</f>
        <v/>
      </c>
      <c r="AJ63" s="91">
        <f>_xlfn.XLOOKUP(A63,[3]最小距离站点!$A:$A,[3]最小距离站点!$B:$B)</f>
        <v/>
      </c>
      <c r="AK63" s="91">
        <f>_xlfn.XLOOKUP(A63,[3]最小距离站点!$A:$A,[3]最小距离站点!$C:$C)</f>
        <v/>
      </c>
      <c r="AL63" s="91" t="inlineStr">
        <is>
          <t>pilot'</t>
        </is>
      </c>
    </row>
    <row r="64" ht="15" customHeight="1" s="99">
      <c r="A64" t="inlineStr">
        <is>
          <t>GMNIT1</t>
        </is>
      </c>
      <c r="B64" t="inlineStr">
        <is>
          <t>GMNIT1_0UL00_Nittambuwa_Di</t>
        </is>
      </c>
      <c r="C64" s="89" t="inlineStr">
        <is>
          <t>Huawei</t>
        </is>
      </c>
      <c r="F64" t="n">
        <v>7.145555</v>
      </c>
      <c r="G64" t="n">
        <v>80.09305500000001</v>
      </c>
      <c r="H64" t="inlineStr">
        <is>
          <t>GMNIT1-M-L85-B1</t>
        </is>
      </c>
      <c r="J64" s="91" t="n"/>
      <c r="K64" t="inlineStr">
        <is>
          <t>S2</t>
        </is>
      </c>
      <c r="L64" t="inlineStr">
        <is>
          <t>4G</t>
        </is>
      </c>
      <c r="M64" t="n">
        <v>850</v>
      </c>
      <c r="N64" t="inlineStr">
        <is>
          <t>AQU4518R9v06</t>
        </is>
      </c>
      <c r="O64" t="n">
        <v>60</v>
      </c>
      <c r="P64" t="n">
        <v>130</v>
      </c>
      <c r="R64" t="n">
        <v>0</v>
      </c>
      <c r="Y64" s="91">
        <f>_xlfn.XLOOKUP(H64,'[1]4G Parameters'!$G:$G,'[1]4G Parameters'!$AA:$AA)</f>
        <v/>
      </c>
      <c r="Z64" s="91" t="inlineStr">
        <is>
          <t>2T2R</t>
        </is>
      </c>
      <c r="AA64" s="91" t="inlineStr">
        <is>
          <t>2T2R</t>
        </is>
      </c>
      <c r="AB64" s="91" t="inlineStr">
        <is>
          <t>R9254E S8500</t>
        </is>
      </c>
      <c r="AC64" s="91" t="inlineStr">
        <is>
          <t>A9652 S35*3+R9254E S1800*1+R9264H M901821*3+R9254E S8500*2+R9244 S9000*1+FL8590A*4</t>
        </is>
      </c>
      <c r="AD64" s="91" t="inlineStr">
        <is>
          <t>AQU4518R9v06</t>
        </is>
      </c>
      <c r="AE64" s="91" t="n">
        <v>60</v>
      </c>
      <c r="AF64" s="91" t="n">
        <v>130</v>
      </c>
      <c r="AG64" s="91" t="n"/>
      <c r="AH64" s="91" t="n">
        <v>0</v>
      </c>
      <c r="AI64" s="91">
        <f>_xlfn.XLOOKUP(A64,'[2]177+10+50 Sites (detail)'!$B:$B,'[2]177+10+50 Sites (detail)'!$I:$I)</f>
        <v/>
      </c>
      <c r="AJ64" s="91">
        <f>_xlfn.XLOOKUP(A64,[3]最小距离站点!$A:$A,[3]最小距离站点!$B:$B)</f>
        <v/>
      </c>
      <c r="AK64" s="91">
        <f>_xlfn.XLOOKUP(A64,[3]最小距离站点!$A:$A,[3]最小距离站点!$C:$C)</f>
        <v/>
      </c>
      <c r="AL64" s="91" t="inlineStr">
        <is>
          <t>pilot'</t>
        </is>
      </c>
    </row>
    <row r="65" ht="15" customHeight="1" s="99">
      <c r="A65" t="inlineStr">
        <is>
          <t>GMNIT1</t>
        </is>
      </c>
      <c r="B65" t="inlineStr">
        <is>
          <t>GMNIT1_0UL00_Nittambuwa_Di</t>
        </is>
      </c>
      <c r="C65" s="89" t="inlineStr">
        <is>
          <t>Huawei</t>
        </is>
      </c>
      <c r="F65" t="n">
        <v>7.145555</v>
      </c>
      <c r="G65" t="n">
        <v>80.09305500000001</v>
      </c>
      <c r="H65" t="inlineStr">
        <is>
          <t>GMNIT1-M-L21-C2</t>
        </is>
      </c>
      <c r="J65" s="91" t="n"/>
      <c r="K65" t="inlineStr">
        <is>
          <t>S3</t>
        </is>
      </c>
      <c r="L65" t="inlineStr">
        <is>
          <t>4G</t>
        </is>
      </c>
      <c r="M65" t="n">
        <v>2100</v>
      </c>
      <c r="N65" t="inlineStr">
        <is>
          <t>AQU4518R9v06</t>
        </is>
      </c>
      <c r="O65" t="n">
        <v>60</v>
      </c>
      <c r="P65" t="n">
        <v>280</v>
      </c>
      <c r="R65" t="n">
        <v>0</v>
      </c>
      <c r="Y65" s="91">
        <f>_xlfn.XLOOKUP(H65,'[1]4G Parameters'!$G:$G,'[1]4G Parameters'!$AA:$AA)</f>
        <v/>
      </c>
      <c r="Z65" s="91" t="inlineStr">
        <is>
          <t>6T6R</t>
        </is>
      </c>
      <c r="AA65" s="91" t="inlineStr">
        <is>
          <t>4T4R</t>
        </is>
      </c>
      <c r="AB65" s="91" t="inlineStr">
        <is>
          <t>R9264H M901821</t>
        </is>
      </c>
      <c r="AC65" s="91" t="inlineStr">
        <is>
          <t>A9652 S35*3+R9254E S1800*1+R9264H M901821*3+R9254E S8500*2+R9244 S9000*1+FL8590A*4</t>
        </is>
      </c>
      <c r="AD65" s="91" t="inlineStr">
        <is>
          <t>AQU4518R9v06</t>
        </is>
      </c>
      <c r="AE65" s="91" t="n">
        <v>60</v>
      </c>
      <c r="AF65" s="91" t="n">
        <v>280</v>
      </c>
      <c r="AG65" s="91" t="n"/>
      <c r="AH65" s="91" t="n">
        <v>0</v>
      </c>
      <c r="AI65" s="91">
        <f>_xlfn.XLOOKUP(A65,'[2]177+10+50 Sites (detail)'!$B:$B,'[2]177+10+50 Sites (detail)'!$I:$I)</f>
        <v/>
      </c>
      <c r="AJ65" s="91">
        <f>_xlfn.XLOOKUP(A65,[3]最小距离站点!$A:$A,[3]最小距离站点!$B:$B)</f>
        <v/>
      </c>
      <c r="AK65" s="91">
        <f>_xlfn.XLOOKUP(A65,[3]最小距离站点!$A:$A,[3]最小距离站点!$C:$C)</f>
        <v/>
      </c>
      <c r="AL65" s="91" t="inlineStr">
        <is>
          <t>pilot'</t>
        </is>
      </c>
    </row>
    <row r="66" ht="15" customHeight="1" s="99">
      <c r="A66" t="inlineStr">
        <is>
          <t>GMNIT1</t>
        </is>
      </c>
      <c r="B66" t="inlineStr">
        <is>
          <t>GMNIT1_0UL00_Nittambuwa_Di</t>
        </is>
      </c>
      <c r="C66" s="89" t="inlineStr">
        <is>
          <t>Huawei</t>
        </is>
      </c>
      <c r="F66" t="n">
        <v>7.145555</v>
      </c>
      <c r="G66" t="n">
        <v>80.09305500000001</v>
      </c>
      <c r="H66" t="inlineStr">
        <is>
          <t>GMNIT1I</t>
        </is>
      </c>
      <c r="J66" s="91" t="n"/>
      <c r="K66" t="inlineStr">
        <is>
          <t>S3</t>
        </is>
      </c>
      <c r="L66" t="inlineStr">
        <is>
          <t>4G</t>
        </is>
      </c>
      <c r="M66" t="n">
        <v>1800</v>
      </c>
      <c r="N66" t="inlineStr">
        <is>
          <t>AQU4518R9v06</t>
        </is>
      </c>
      <c r="O66" t="n">
        <v>60</v>
      </c>
      <c r="P66" t="n">
        <v>280</v>
      </c>
      <c r="R66" t="n">
        <v>0</v>
      </c>
      <c r="Y66" s="91">
        <f>_xlfn.XLOOKUP(H66,'[1]4G Parameters'!$G:$G,'[1]4G Parameters'!$AA:$AA)</f>
        <v/>
      </c>
      <c r="Z66" s="91" t="inlineStr">
        <is>
          <t>6T6R</t>
        </is>
      </c>
      <c r="AA66" s="91" t="inlineStr">
        <is>
          <t>4T4R</t>
        </is>
      </c>
      <c r="AB66" s="91" t="inlineStr">
        <is>
          <t>R9264H M901821</t>
        </is>
      </c>
      <c r="AC66" s="91" t="inlineStr">
        <is>
          <t>A9652 S35*3+R9254E S1800*1+R9264H M901821*3+R9254E S8500*2+R9244 S9000*1+FL8590A*4</t>
        </is>
      </c>
      <c r="AD66" s="91" t="inlineStr">
        <is>
          <t>AQU4518R9v06</t>
        </is>
      </c>
      <c r="AE66" s="91" t="n">
        <v>60</v>
      </c>
      <c r="AF66" s="91" t="n">
        <v>280</v>
      </c>
      <c r="AG66" s="91" t="n"/>
      <c r="AH66" s="91" t="n">
        <v>0</v>
      </c>
      <c r="AI66" s="91">
        <f>_xlfn.XLOOKUP(A66,'[2]177+10+50 Sites (detail)'!$B:$B,'[2]177+10+50 Sites (detail)'!$I:$I)</f>
        <v/>
      </c>
      <c r="AJ66" s="91">
        <f>_xlfn.XLOOKUP(A66,[3]最小距离站点!$A:$A,[3]最小距离站点!$B:$B)</f>
        <v/>
      </c>
      <c r="AK66" s="91">
        <f>_xlfn.XLOOKUP(A66,[3]最小距离站点!$A:$A,[3]最小距离站点!$C:$C)</f>
        <v/>
      </c>
      <c r="AL66" s="91" t="inlineStr">
        <is>
          <t>pilot'</t>
        </is>
      </c>
    </row>
    <row r="67" ht="15" customHeight="1" s="99">
      <c r="A67" t="inlineStr">
        <is>
          <t>GMNIT1</t>
        </is>
      </c>
      <c r="B67" t="inlineStr">
        <is>
          <t>GMNIT1_0UL00_Nittambuwa_Di</t>
        </is>
      </c>
      <c r="C67" s="89" t="inlineStr">
        <is>
          <t>Huawei</t>
        </is>
      </c>
      <c r="F67" t="n">
        <v>7.145555</v>
      </c>
      <c r="G67" t="n">
        <v>80.09305500000001</v>
      </c>
      <c r="H67" t="inlineStr">
        <is>
          <t>GMNIT1-M-L85-C1</t>
        </is>
      </c>
      <c r="J67" s="91" t="n"/>
      <c r="K67" t="inlineStr">
        <is>
          <t>S3</t>
        </is>
      </c>
      <c r="L67" t="inlineStr">
        <is>
          <t>4G</t>
        </is>
      </c>
      <c r="M67" t="n">
        <v>850</v>
      </c>
      <c r="N67" t="inlineStr">
        <is>
          <t>AQU4518R9v06</t>
        </is>
      </c>
      <c r="O67" t="n">
        <v>60</v>
      </c>
      <c r="P67" t="n">
        <v>280</v>
      </c>
      <c r="R67" t="n">
        <v>0</v>
      </c>
      <c r="Y67" s="91">
        <f>_xlfn.XLOOKUP(H67,'[1]4G Parameters'!$G:$G,'[1]4G Parameters'!$AA:$AA)</f>
        <v/>
      </c>
      <c r="Z67" s="91" t="inlineStr">
        <is>
          <t>2T2R</t>
        </is>
      </c>
      <c r="AA67" s="91" t="inlineStr">
        <is>
          <t>2T2R</t>
        </is>
      </c>
      <c r="AB67" s="91" t="inlineStr">
        <is>
          <t>R9254E S8500</t>
        </is>
      </c>
      <c r="AC67" s="91" t="inlineStr">
        <is>
          <t>A9652 S35*3+R9254E S1800*1+R9264H M901821*3+R9254E S8500*2+R9244 S9000*1+FL8590A*4</t>
        </is>
      </c>
      <c r="AD67" s="91" t="inlineStr">
        <is>
          <t>AQU4518R9v06</t>
        </is>
      </c>
      <c r="AE67" s="91" t="n">
        <v>60</v>
      </c>
      <c r="AF67" s="91" t="n">
        <v>280</v>
      </c>
      <c r="AG67" s="91" t="n"/>
      <c r="AH67" s="91" t="n">
        <v>0</v>
      </c>
      <c r="AI67" s="91">
        <f>_xlfn.XLOOKUP(A67,'[2]177+10+50 Sites (detail)'!$B:$B,'[2]177+10+50 Sites (detail)'!$I:$I)</f>
        <v/>
      </c>
      <c r="AJ67" s="91">
        <f>_xlfn.XLOOKUP(A67,[3]最小距离站点!$A:$A,[3]最小距离站点!$B:$B)</f>
        <v/>
      </c>
      <c r="AK67" s="91">
        <f>_xlfn.XLOOKUP(A67,[3]最小距离站点!$A:$A,[3]最小距离站点!$C:$C)</f>
        <v/>
      </c>
      <c r="AL67" s="91" t="inlineStr">
        <is>
          <t>pilot'</t>
        </is>
      </c>
    </row>
    <row r="68" ht="15" customHeight="1" s="99">
      <c r="A68" t="inlineStr">
        <is>
          <t>GMNIT1</t>
        </is>
      </c>
      <c r="B68" t="inlineStr">
        <is>
          <t>GMNIT1_0UL00_Nittambuwa_Di</t>
        </is>
      </c>
      <c r="C68" s="89" t="inlineStr">
        <is>
          <t>Huawei</t>
        </is>
      </c>
      <c r="F68" t="n">
        <v>7.145555</v>
      </c>
      <c r="G68" t="n">
        <v>80.09305500000001</v>
      </c>
      <c r="H68" t="inlineStr">
        <is>
          <t>GMNIT1-M-L85-D1</t>
        </is>
      </c>
      <c r="J68" s="91" t="n"/>
      <c r="K68" t="inlineStr">
        <is>
          <t>S4</t>
        </is>
      </c>
      <c r="L68" t="inlineStr">
        <is>
          <t>4G</t>
        </is>
      </c>
      <c r="M68" t="n">
        <v>850</v>
      </c>
      <c r="N68" t="inlineStr">
        <is>
          <t>AQU4518R9v06</t>
        </is>
      </c>
      <c r="O68" t="n">
        <v>60</v>
      </c>
      <c r="P68" t="n">
        <v>190</v>
      </c>
      <c r="R68" t="n">
        <v>0</v>
      </c>
      <c r="Y68" s="91">
        <f>_xlfn.XLOOKUP(H68,'[1]4G Parameters'!$G:$G,'[1]4G Parameters'!$AA:$AA)</f>
        <v/>
      </c>
      <c r="Z68" s="91" t="inlineStr">
        <is>
          <t>2T2R</t>
        </is>
      </c>
      <c r="AA68" s="91" t="inlineStr">
        <is>
          <t>2T2R</t>
        </is>
      </c>
      <c r="AB68" s="91" t="inlineStr">
        <is>
          <t>R9254E S8500</t>
        </is>
      </c>
      <c r="AC68" s="91" t="inlineStr">
        <is>
          <t>A9652 S35*3+R9254E S1800*1+R9264H M901821*3+R9254E S8500*2+R9244 S9000*1+FL8590A*4</t>
        </is>
      </c>
      <c r="AD68" s="91" t="inlineStr">
        <is>
          <t>AQU4518R9v06</t>
        </is>
      </c>
      <c r="AE68" s="91" t="n">
        <v>60</v>
      </c>
      <c r="AF68" s="91" t="n">
        <v>190</v>
      </c>
      <c r="AG68" s="91" t="n"/>
      <c r="AH68" s="91" t="n">
        <v>0</v>
      </c>
      <c r="AI68" s="91">
        <f>_xlfn.XLOOKUP(A68,'[2]177+10+50 Sites (detail)'!$B:$B,'[2]177+10+50 Sites (detail)'!$I:$I)</f>
        <v/>
      </c>
      <c r="AJ68" s="91">
        <f>_xlfn.XLOOKUP(A68,[3]最小距离站点!$A:$A,[3]最小距离站点!$B:$B)</f>
        <v/>
      </c>
      <c r="AK68" s="91">
        <f>_xlfn.XLOOKUP(A68,[3]最小距离站点!$A:$A,[3]最小距离站点!$C:$C)</f>
        <v/>
      </c>
      <c r="AL68" s="91" t="inlineStr">
        <is>
          <t>pilot'</t>
        </is>
      </c>
    </row>
    <row r="69" ht="15" customHeight="1" s="99">
      <c r="A69" t="inlineStr">
        <is>
          <t>GMNIT3</t>
        </is>
      </c>
      <c r="B69" t="inlineStr">
        <is>
          <t>GMNIT3_0UL00_Nittambuwa Town_Gm</t>
        </is>
      </c>
      <c r="C69" s="89" t="inlineStr">
        <is>
          <t>Huawei</t>
        </is>
      </c>
      <c r="F69" t="n">
        <v>7.1397</v>
      </c>
      <c r="G69" t="n">
        <v>80.09610000000001</v>
      </c>
      <c r="H69" t="inlineStr">
        <is>
          <t>GMNIT3-M-L21-A2</t>
        </is>
      </c>
      <c r="J69" s="91" t="n"/>
      <c r="K69" t="inlineStr">
        <is>
          <t>S1</t>
        </is>
      </c>
      <c r="L69" t="inlineStr">
        <is>
          <t>4G</t>
        </is>
      </c>
      <c r="M69" t="n">
        <v>2100</v>
      </c>
      <c r="N69" s="92" t="inlineStr">
        <is>
          <t>TBXLHA-6565C-VTM</t>
        </is>
      </c>
      <c r="O69" t="n">
        <v>60</v>
      </c>
      <c r="P69" t="n">
        <v>0</v>
      </c>
      <c r="R69" t="n">
        <v>0</v>
      </c>
      <c r="Y69" s="91">
        <f>_xlfn.XLOOKUP(H69,'[1]4G Parameters'!$G:$G,'[1]4G Parameters'!$AA:$AA)</f>
        <v/>
      </c>
      <c r="AA69" s="91" t="inlineStr">
        <is>
          <t>4T4R</t>
        </is>
      </c>
      <c r="AB69" s="91" t="inlineStr">
        <is>
          <t>R9264H M901821</t>
        </is>
      </c>
      <c r="AC69" s="91" t="inlineStr">
        <is>
          <t>R9264H M901821*3</t>
        </is>
      </c>
      <c r="AD69" s="91" t="inlineStr">
        <is>
          <t>TBXLHA-6565C-VTM</t>
        </is>
      </c>
      <c r="AE69" s="91" t="n">
        <v>60</v>
      </c>
      <c r="AF69" s="91" t="n">
        <v>0</v>
      </c>
      <c r="AG69" s="91" t="n"/>
      <c r="AH69" s="91" t="n">
        <v>0</v>
      </c>
      <c r="AI69" s="91">
        <f>_xlfn.XLOOKUP(A69,'[2]177+10+50 Sites (detail)'!$B:$B,'[2]177+10+50 Sites (detail)'!$I:$I)</f>
        <v/>
      </c>
      <c r="AJ69" s="91">
        <f>_xlfn.XLOOKUP(A69,[3]最小距离站点!$A:$A,[3]最小距离站点!$B:$B)</f>
        <v/>
      </c>
      <c r="AK69" s="91">
        <f>_xlfn.XLOOKUP(A69,[3]最小距离站点!$A:$A,[3]最小距离站点!$C:$C)</f>
        <v/>
      </c>
      <c r="AL69" s="91" t="inlineStr">
        <is>
          <t>pilot'</t>
        </is>
      </c>
    </row>
    <row r="70" ht="15" customHeight="1" s="99">
      <c r="A70" t="inlineStr">
        <is>
          <t>GMNIT3</t>
        </is>
      </c>
      <c r="B70" t="inlineStr">
        <is>
          <t>GMNIT3_0UL00_Nittambuwa Town_Gm</t>
        </is>
      </c>
      <c r="C70" s="89" t="inlineStr">
        <is>
          <t>Huawei</t>
        </is>
      </c>
      <c r="F70" t="n">
        <v>7.1397</v>
      </c>
      <c r="G70" t="n">
        <v>80.09610000000001</v>
      </c>
      <c r="H70" t="inlineStr">
        <is>
          <t>GMNIT3G</t>
        </is>
      </c>
      <c r="J70" s="91" t="n"/>
      <c r="K70" t="inlineStr">
        <is>
          <t>S1</t>
        </is>
      </c>
      <c r="L70" t="inlineStr">
        <is>
          <t>4G</t>
        </is>
      </c>
      <c r="M70" t="n">
        <v>1800</v>
      </c>
      <c r="N70" s="92" t="inlineStr">
        <is>
          <t>TBXLHA-6565C-VTM</t>
        </is>
      </c>
      <c r="O70" t="n">
        <v>60</v>
      </c>
      <c r="P70" t="n">
        <v>0</v>
      </c>
      <c r="R70" t="n">
        <v>0</v>
      </c>
      <c r="Y70" s="91">
        <f>_xlfn.XLOOKUP(H70,'[1]4G Parameters'!$G:$G,'[1]4G Parameters'!$AA:$AA)</f>
        <v/>
      </c>
      <c r="AA70" s="91" t="inlineStr">
        <is>
          <t>4T4R</t>
        </is>
      </c>
      <c r="AB70" s="91" t="inlineStr">
        <is>
          <t>R9264H M901821</t>
        </is>
      </c>
      <c r="AC70" s="91" t="inlineStr">
        <is>
          <t>R9264H M901821*3</t>
        </is>
      </c>
      <c r="AD70" s="91" t="inlineStr">
        <is>
          <t>TBXLHA-6565C-VTM</t>
        </is>
      </c>
      <c r="AE70" s="91" t="n">
        <v>60</v>
      </c>
      <c r="AF70" s="91" t="n">
        <v>0</v>
      </c>
      <c r="AG70" s="91" t="n"/>
      <c r="AH70" s="91" t="n">
        <v>0</v>
      </c>
      <c r="AI70" s="91">
        <f>_xlfn.XLOOKUP(A70,'[2]177+10+50 Sites (detail)'!$B:$B,'[2]177+10+50 Sites (detail)'!$I:$I)</f>
        <v/>
      </c>
      <c r="AJ70" s="91">
        <f>_xlfn.XLOOKUP(A70,[3]最小距离站点!$A:$A,[3]最小距离站点!$B:$B)</f>
        <v/>
      </c>
      <c r="AK70" s="91">
        <f>_xlfn.XLOOKUP(A70,[3]最小距离站点!$A:$A,[3]最小距离站点!$C:$C)</f>
        <v/>
      </c>
      <c r="AL70" s="91" t="inlineStr">
        <is>
          <t>pilot'</t>
        </is>
      </c>
    </row>
    <row r="71" ht="15" customHeight="1" s="99">
      <c r="A71" t="inlineStr">
        <is>
          <t>GMNIT3</t>
        </is>
      </c>
      <c r="B71" t="inlineStr">
        <is>
          <t>GMNIT3_0UL00_Nittambuwa Town_Gm</t>
        </is>
      </c>
      <c r="C71" s="89" t="inlineStr">
        <is>
          <t>Huawei</t>
        </is>
      </c>
      <c r="F71" t="n">
        <v>7.1397</v>
      </c>
      <c r="G71" t="n">
        <v>80.09610000000001</v>
      </c>
      <c r="H71" t="inlineStr">
        <is>
          <t>GMNIT3-M-L21-B2</t>
        </is>
      </c>
      <c r="J71" s="91" t="n"/>
      <c r="K71" t="inlineStr">
        <is>
          <t>S2</t>
        </is>
      </c>
      <c r="L71" t="inlineStr">
        <is>
          <t>4G</t>
        </is>
      </c>
      <c r="M71" t="n">
        <v>2100</v>
      </c>
      <c r="N71" s="92" t="inlineStr">
        <is>
          <t>TBXLHA-6565C-VTM</t>
        </is>
      </c>
      <c r="O71" t="n">
        <v>60</v>
      </c>
      <c r="P71" t="n">
        <v>90</v>
      </c>
      <c r="R71" t="n">
        <v>0</v>
      </c>
      <c r="Y71" s="91">
        <f>_xlfn.XLOOKUP(H71,'[1]4G Parameters'!$G:$G,'[1]4G Parameters'!$AA:$AA)</f>
        <v/>
      </c>
      <c r="AA71" s="91" t="inlineStr">
        <is>
          <t>4T4R</t>
        </is>
      </c>
      <c r="AB71" s="91" t="inlineStr">
        <is>
          <t>R9264H M901821</t>
        </is>
      </c>
      <c r="AC71" s="91" t="inlineStr">
        <is>
          <t>R9264H M901821*3</t>
        </is>
      </c>
      <c r="AD71" s="91" t="inlineStr">
        <is>
          <t>TBXLHA-6565C-VTM</t>
        </is>
      </c>
      <c r="AE71" s="91" t="n">
        <v>60</v>
      </c>
      <c r="AF71" s="91" t="n">
        <v>90</v>
      </c>
      <c r="AG71" s="91" t="n"/>
      <c r="AH71" s="91" t="n">
        <v>0</v>
      </c>
      <c r="AI71" s="91">
        <f>_xlfn.XLOOKUP(A71,'[2]177+10+50 Sites (detail)'!$B:$B,'[2]177+10+50 Sites (detail)'!$I:$I)</f>
        <v/>
      </c>
      <c r="AJ71" s="91">
        <f>_xlfn.XLOOKUP(A71,[3]最小距离站点!$A:$A,[3]最小距离站点!$B:$B)</f>
        <v/>
      </c>
      <c r="AK71" s="91">
        <f>_xlfn.XLOOKUP(A71,[3]最小距离站点!$A:$A,[3]最小距离站点!$C:$C)</f>
        <v/>
      </c>
      <c r="AL71" s="91" t="inlineStr">
        <is>
          <t>pilot'</t>
        </is>
      </c>
    </row>
    <row r="72" ht="15" customHeight="1" s="99">
      <c r="A72" t="inlineStr">
        <is>
          <t>GMNIT3</t>
        </is>
      </c>
      <c r="B72" t="inlineStr">
        <is>
          <t>GMNIT3_0UL00_Nittambuwa Town_Gm</t>
        </is>
      </c>
      <c r="C72" s="89" t="inlineStr">
        <is>
          <t>Huawei</t>
        </is>
      </c>
      <c r="F72" t="n">
        <v>7.1397</v>
      </c>
      <c r="G72" t="n">
        <v>80.09610000000001</v>
      </c>
      <c r="H72" t="inlineStr">
        <is>
          <t>GMNIT3H</t>
        </is>
      </c>
      <c r="J72" s="91" t="n"/>
      <c r="K72" t="inlineStr">
        <is>
          <t>S2</t>
        </is>
      </c>
      <c r="L72" t="inlineStr">
        <is>
          <t>4G</t>
        </is>
      </c>
      <c r="M72" t="n">
        <v>1800</v>
      </c>
      <c r="N72" s="92" t="inlineStr">
        <is>
          <t>TBXLHA-6565C-VTM</t>
        </is>
      </c>
      <c r="O72" t="n">
        <v>60</v>
      </c>
      <c r="P72" t="n">
        <v>90</v>
      </c>
      <c r="R72" t="n">
        <v>0</v>
      </c>
      <c r="Y72" s="91">
        <f>_xlfn.XLOOKUP(H72,'[1]4G Parameters'!$G:$G,'[1]4G Parameters'!$AA:$AA)</f>
        <v/>
      </c>
      <c r="AA72" s="91" t="inlineStr">
        <is>
          <t>4T4R</t>
        </is>
      </c>
      <c r="AB72" s="91" t="inlineStr">
        <is>
          <t>R9264H M901821</t>
        </is>
      </c>
      <c r="AC72" s="91" t="inlineStr">
        <is>
          <t>R9264H M901821*3</t>
        </is>
      </c>
      <c r="AD72" s="91" t="inlineStr">
        <is>
          <t>TBXLHA-6565C-VTM</t>
        </is>
      </c>
      <c r="AE72" s="91" t="n">
        <v>60</v>
      </c>
      <c r="AF72" s="91" t="n">
        <v>90</v>
      </c>
      <c r="AG72" s="91" t="n"/>
      <c r="AH72" s="91" t="n">
        <v>0</v>
      </c>
      <c r="AI72" s="91">
        <f>_xlfn.XLOOKUP(A72,'[2]177+10+50 Sites (detail)'!$B:$B,'[2]177+10+50 Sites (detail)'!$I:$I)</f>
        <v/>
      </c>
      <c r="AJ72" s="91">
        <f>_xlfn.XLOOKUP(A72,[3]最小距离站点!$A:$A,[3]最小距离站点!$B:$B)</f>
        <v/>
      </c>
      <c r="AK72" s="91">
        <f>_xlfn.XLOOKUP(A72,[3]最小距离站点!$A:$A,[3]最小距离站点!$C:$C)</f>
        <v/>
      </c>
      <c r="AL72" s="91" t="inlineStr">
        <is>
          <t>pilot'</t>
        </is>
      </c>
    </row>
    <row r="73" ht="15" customHeight="1" s="99">
      <c r="A73" t="inlineStr">
        <is>
          <t>GMNIT3</t>
        </is>
      </c>
      <c r="B73" t="inlineStr">
        <is>
          <t>GMNIT3_0UL00_Nittambuwa Town_Gm</t>
        </is>
      </c>
      <c r="C73" s="89" t="inlineStr">
        <is>
          <t>Huawei</t>
        </is>
      </c>
      <c r="F73" t="n">
        <v>7.1397</v>
      </c>
      <c r="G73" t="n">
        <v>80.09610000000001</v>
      </c>
      <c r="H73" t="inlineStr">
        <is>
          <t>GMNIT3-M-L21-C2</t>
        </is>
      </c>
      <c r="J73" s="91" t="n"/>
      <c r="K73" t="inlineStr">
        <is>
          <t>S3</t>
        </is>
      </c>
      <c r="L73" t="inlineStr">
        <is>
          <t>4G</t>
        </is>
      </c>
      <c r="M73" t="n">
        <v>2100</v>
      </c>
      <c r="N73" s="92" t="inlineStr">
        <is>
          <t>TBXLHA-6565C-VTM</t>
        </is>
      </c>
      <c r="O73" t="n">
        <v>60</v>
      </c>
      <c r="P73" t="n">
        <v>180</v>
      </c>
      <c r="R73" t="n">
        <v>0</v>
      </c>
      <c r="Y73" s="91">
        <f>_xlfn.XLOOKUP(H73,'[1]4G Parameters'!$G:$G,'[1]4G Parameters'!$AA:$AA)</f>
        <v/>
      </c>
      <c r="AA73" s="91" t="inlineStr">
        <is>
          <t>4T4R</t>
        </is>
      </c>
      <c r="AB73" s="91" t="inlineStr">
        <is>
          <t>R9264H M901821</t>
        </is>
      </c>
      <c r="AC73" s="91" t="inlineStr">
        <is>
          <t>R9264H M901821*3</t>
        </is>
      </c>
      <c r="AD73" s="91" t="inlineStr">
        <is>
          <t>TBXLHA-6565C-VTM</t>
        </is>
      </c>
      <c r="AE73" s="91" t="n">
        <v>60</v>
      </c>
      <c r="AF73" s="91" t="n">
        <v>180</v>
      </c>
      <c r="AG73" s="91" t="n"/>
      <c r="AH73" s="91" t="n">
        <v>0</v>
      </c>
      <c r="AI73" s="91">
        <f>_xlfn.XLOOKUP(A73,'[2]177+10+50 Sites (detail)'!$B:$B,'[2]177+10+50 Sites (detail)'!$I:$I)</f>
        <v/>
      </c>
      <c r="AJ73" s="91">
        <f>_xlfn.XLOOKUP(A73,[3]最小距离站点!$A:$A,[3]最小距离站点!$B:$B)</f>
        <v/>
      </c>
      <c r="AK73" s="91">
        <f>_xlfn.XLOOKUP(A73,[3]最小距离站点!$A:$A,[3]最小距离站点!$C:$C)</f>
        <v/>
      </c>
      <c r="AL73" s="91" t="inlineStr">
        <is>
          <t>pilot'</t>
        </is>
      </c>
    </row>
    <row r="74" ht="15" customHeight="1" s="99">
      <c r="A74" t="inlineStr">
        <is>
          <t>GMNIT3</t>
        </is>
      </c>
      <c r="B74" t="inlineStr">
        <is>
          <t>GMNIT3_0UL00_Nittambuwa Town_Gm</t>
        </is>
      </c>
      <c r="C74" s="89" t="inlineStr">
        <is>
          <t>Huawei</t>
        </is>
      </c>
      <c r="F74" t="n">
        <v>7.1397</v>
      </c>
      <c r="G74" t="n">
        <v>80.09610000000001</v>
      </c>
      <c r="H74" t="inlineStr">
        <is>
          <t>GMNIT3I</t>
        </is>
      </c>
      <c r="J74" s="91" t="n"/>
      <c r="K74" t="inlineStr">
        <is>
          <t>S3</t>
        </is>
      </c>
      <c r="L74" t="inlineStr">
        <is>
          <t>4G</t>
        </is>
      </c>
      <c r="M74" t="n">
        <v>1800</v>
      </c>
      <c r="N74" s="92" t="inlineStr">
        <is>
          <t>TBXLHA-6565C-VTM</t>
        </is>
      </c>
      <c r="O74" t="n">
        <v>60</v>
      </c>
      <c r="P74" t="n">
        <v>180</v>
      </c>
      <c r="R74" t="n">
        <v>0</v>
      </c>
      <c r="Y74" s="91">
        <f>_xlfn.XLOOKUP(H74,'[1]4G Parameters'!$G:$G,'[1]4G Parameters'!$AA:$AA)</f>
        <v/>
      </c>
      <c r="AA74" s="91" t="inlineStr">
        <is>
          <t>4T4R</t>
        </is>
      </c>
      <c r="AB74" s="91" t="inlineStr">
        <is>
          <t>R9264H M901821</t>
        </is>
      </c>
      <c r="AC74" s="91" t="inlineStr">
        <is>
          <t>R9264H M901821*3</t>
        </is>
      </c>
      <c r="AD74" s="91" t="inlineStr">
        <is>
          <t>TBXLHA-6565C-VTM</t>
        </is>
      </c>
      <c r="AE74" s="91" t="n">
        <v>60</v>
      </c>
      <c r="AF74" s="91" t="n">
        <v>180</v>
      </c>
      <c r="AG74" s="91" t="n"/>
      <c r="AH74" s="91" t="n">
        <v>0</v>
      </c>
      <c r="AI74" s="91">
        <f>_xlfn.XLOOKUP(A74,'[2]177+10+50 Sites (detail)'!$B:$B,'[2]177+10+50 Sites (detail)'!$I:$I)</f>
        <v/>
      </c>
      <c r="AJ74" s="91">
        <f>_xlfn.XLOOKUP(A74,[3]最小距离站点!$A:$A,[3]最小距离站点!$B:$B)</f>
        <v/>
      </c>
      <c r="AK74" s="91">
        <f>_xlfn.XLOOKUP(A74,[3]最小距离站点!$A:$A,[3]最小距离站点!$C:$C)</f>
        <v/>
      </c>
      <c r="AL74" s="91" t="inlineStr">
        <is>
          <t>pilot'</t>
        </is>
      </c>
    </row>
    <row r="75" ht="15" customHeight="1" s="99">
      <c r="A75" t="inlineStr">
        <is>
          <t>GMTHI1</t>
        </is>
      </c>
      <c r="B75" t="inlineStr">
        <is>
          <t>GMTHI1_G_Thihariya_89__Gm</t>
        </is>
      </c>
      <c r="C75" s="89" t="inlineStr">
        <is>
          <t>Huawei</t>
        </is>
      </c>
      <c r="F75" t="n">
        <v>7.1285</v>
      </c>
      <c r="G75" t="n">
        <v>80.069</v>
      </c>
      <c r="H75" t="inlineStr">
        <is>
          <t>GMTHI1A</t>
        </is>
      </c>
      <c r="J75" s="91" t="n"/>
      <c r="K75" t="inlineStr">
        <is>
          <t>S1</t>
        </is>
      </c>
      <c r="L75" t="inlineStr">
        <is>
          <t>2G</t>
        </is>
      </c>
      <c r="M75" t="n">
        <v>900</v>
      </c>
      <c r="N75" s="91" t="inlineStr">
        <is>
          <t>AQU4518R9v06</t>
        </is>
      </c>
      <c r="O75" t="n">
        <v>55</v>
      </c>
      <c r="P75" t="n">
        <v>20</v>
      </c>
      <c r="R75" t="n">
        <v>2</v>
      </c>
      <c r="AA75" s="91" t="inlineStr">
        <is>
          <t>1T1R</t>
        </is>
      </c>
      <c r="AB75" s="91" t="inlineStr">
        <is>
          <t>R9264H M901821</t>
        </is>
      </c>
      <c r="AC75" s="91" t="inlineStr">
        <is>
          <t>A9652 S35*3+R9254E S1800*1+R9264H M901821*3+R9254E S8500*2+R9244 S9000*1+FL8590A*4</t>
        </is>
      </c>
      <c r="AD75" s="91" t="inlineStr">
        <is>
          <t>AQU4518R9v06</t>
        </is>
      </c>
      <c r="AE75" s="91" t="n">
        <v>55</v>
      </c>
      <c r="AF75" s="91" t="n">
        <v>20</v>
      </c>
      <c r="AG75" s="91" t="n"/>
      <c r="AH75" s="91" t="n">
        <v>2</v>
      </c>
      <c r="AL75" s="91" t="inlineStr">
        <is>
          <t>pilot'</t>
        </is>
      </c>
    </row>
    <row r="76" ht="15" customHeight="1" s="99">
      <c r="A76" t="inlineStr">
        <is>
          <t>GMTHI1</t>
        </is>
      </c>
      <c r="B76" t="inlineStr">
        <is>
          <t>GMTHI1_G_Thihariya_89__Gm</t>
        </is>
      </c>
      <c r="C76" s="89" t="inlineStr">
        <is>
          <t>Huawei</t>
        </is>
      </c>
      <c r="F76" t="n">
        <v>7.1285</v>
      </c>
      <c r="G76" t="n">
        <v>80.069</v>
      </c>
      <c r="H76" t="inlineStr">
        <is>
          <t>GMTHI1B</t>
        </is>
      </c>
      <c r="J76" s="91" t="n"/>
      <c r="K76" t="inlineStr">
        <is>
          <t>S2</t>
        </is>
      </c>
      <c r="L76" t="inlineStr">
        <is>
          <t>2G</t>
        </is>
      </c>
      <c r="M76" t="n">
        <v>900</v>
      </c>
      <c r="N76" s="91" t="inlineStr">
        <is>
          <t>AQU4518R9v06</t>
        </is>
      </c>
      <c r="O76" t="n">
        <v>55</v>
      </c>
      <c r="P76" t="n">
        <v>150</v>
      </c>
      <c r="R76" t="n">
        <v>2</v>
      </c>
      <c r="AA76" s="91" t="inlineStr">
        <is>
          <t>1T1R</t>
        </is>
      </c>
      <c r="AB76" s="91" t="inlineStr">
        <is>
          <t>R9264H M901821</t>
        </is>
      </c>
      <c r="AC76" s="91" t="inlineStr">
        <is>
          <t>A9652 S35*3+R9254E S1800*1+R9264H M901821*3+R9254E S8500*2+R9244 S9000*1+FL8590A*4</t>
        </is>
      </c>
      <c r="AD76" s="91" t="inlineStr">
        <is>
          <t>AQU4518R9v06</t>
        </is>
      </c>
      <c r="AE76" s="91" t="n">
        <v>55</v>
      </c>
      <c r="AF76" s="91" t="n">
        <v>150</v>
      </c>
      <c r="AG76" s="91" t="n"/>
      <c r="AH76" s="91" t="n">
        <v>2</v>
      </c>
      <c r="AL76" s="91" t="inlineStr">
        <is>
          <t>pilot'</t>
        </is>
      </c>
    </row>
    <row r="77" ht="15" customHeight="1" s="99">
      <c r="A77" t="inlineStr">
        <is>
          <t>GMTHI1</t>
        </is>
      </c>
      <c r="B77" t="inlineStr">
        <is>
          <t>GMTHI1_G_Thihariya_8__Gm</t>
        </is>
      </c>
      <c r="C77" s="89" t="inlineStr">
        <is>
          <t>Huawei</t>
        </is>
      </c>
      <c r="F77" t="n">
        <v>7.1285</v>
      </c>
      <c r="G77" t="n">
        <v>80.069</v>
      </c>
      <c r="H77" t="inlineStr">
        <is>
          <t>GMTHI1R</t>
        </is>
      </c>
      <c r="J77" s="91" t="n"/>
      <c r="K77" t="inlineStr">
        <is>
          <t>S3</t>
        </is>
      </c>
      <c r="L77" t="inlineStr">
        <is>
          <t>2G</t>
        </is>
      </c>
      <c r="M77" t="n">
        <v>1800</v>
      </c>
      <c r="N77" s="91" t="inlineStr">
        <is>
          <t>AQU4518R9v06</t>
        </is>
      </c>
      <c r="O77" t="n">
        <v>55</v>
      </c>
      <c r="P77" t="n">
        <v>260</v>
      </c>
      <c r="R77" t="n">
        <v>2</v>
      </c>
      <c r="AA77" s="91" t="inlineStr">
        <is>
          <t>1T1R</t>
        </is>
      </c>
      <c r="AB77" s="91" t="inlineStr">
        <is>
          <t>R9264H M901821</t>
        </is>
      </c>
      <c r="AC77" s="91" t="inlineStr">
        <is>
          <t>A9652 S35*3+R9254E S1800*1+R9264H M901821*3+R9254E S8500*2+R9244 S9000*1+FL8590A*4</t>
        </is>
      </c>
      <c r="AD77" s="91" t="inlineStr">
        <is>
          <t>AQU4518R9v06</t>
        </is>
      </c>
      <c r="AE77" s="91" t="n">
        <v>55</v>
      </c>
      <c r="AF77" s="91" t="n">
        <v>260</v>
      </c>
      <c r="AG77" s="91" t="n"/>
      <c r="AH77" s="91" t="n">
        <v>2</v>
      </c>
      <c r="AL77" s="91" t="inlineStr">
        <is>
          <t>pilot'</t>
        </is>
      </c>
    </row>
    <row r="78" ht="15" customHeight="1" s="99">
      <c r="A78" t="inlineStr">
        <is>
          <t>GMTHI1</t>
        </is>
      </c>
      <c r="B78" t="inlineStr">
        <is>
          <t>GMTHI1_G_Thihariya_89__Gm</t>
        </is>
      </c>
      <c r="C78" s="89" t="inlineStr">
        <is>
          <t>Huawei</t>
        </is>
      </c>
      <c r="F78" t="n">
        <v>7.1285</v>
      </c>
      <c r="G78" t="n">
        <v>80.069</v>
      </c>
      <c r="H78" t="inlineStr">
        <is>
          <t>GMTHI1C</t>
        </is>
      </c>
      <c r="J78" s="91" t="n"/>
      <c r="K78" t="inlineStr">
        <is>
          <t>S3</t>
        </is>
      </c>
      <c r="L78" t="inlineStr">
        <is>
          <t>2G</t>
        </is>
      </c>
      <c r="M78" t="n">
        <v>900</v>
      </c>
      <c r="N78" s="91" t="inlineStr">
        <is>
          <t>AQU4518R9v06</t>
        </is>
      </c>
      <c r="O78" t="n">
        <v>55</v>
      </c>
      <c r="P78" t="n">
        <v>260</v>
      </c>
      <c r="R78" t="n">
        <v>2</v>
      </c>
      <c r="AA78" s="91" t="inlineStr">
        <is>
          <t>1T1R</t>
        </is>
      </c>
      <c r="AB78" s="91" t="inlineStr">
        <is>
          <t>R9264H M901821</t>
        </is>
      </c>
      <c r="AC78" s="91" t="inlineStr">
        <is>
          <t>A9652 S35*3+R9254E S1800*1+R9264H M901821*3+R9254E S8500*2+R9244 S9000*1+FL8590A*4</t>
        </is>
      </c>
      <c r="AD78" s="91" t="inlineStr">
        <is>
          <t>AQU4518R9v06</t>
        </is>
      </c>
      <c r="AE78" s="91" t="n">
        <v>55</v>
      </c>
      <c r="AF78" s="91" t="n">
        <v>260</v>
      </c>
      <c r="AG78" s="91" t="n"/>
      <c r="AH78" s="91" t="n">
        <v>2</v>
      </c>
      <c r="AL78" s="91" t="inlineStr">
        <is>
          <t>pilot'</t>
        </is>
      </c>
    </row>
    <row r="79" ht="15" customHeight="1" s="99">
      <c r="A79" t="inlineStr">
        <is>
          <t>GMTHI1</t>
        </is>
      </c>
      <c r="B79" t="inlineStr">
        <is>
          <t>GMTHI1_G_Thihariya_9__Gm</t>
        </is>
      </c>
      <c r="C79" s="89" t="inlineStr">
        <is>
          <t>Huawei</t>
        </is>
      </c>
      <c r="F79" t="n">
        <v>7.1285</v>
      </c>
      <c r="G79" t="n">
        <v>80.069</v>
      </c>
      <c r="H79" t="inlineStr">
        <is>
          <t>GMTHI1D</t>
        </is>
      </c>
      <c r="J79" s="91" t="n"/>
      <c r="K79" t="inlineStr">
        <is>
          <t>S4</t>
        </is>
      </c>
      <c r="L79" t="inlineStr">
        <is>
          <t>2G</t>
        </is>
      </c>
      <c r="M79" t="n">
        <v>900</v>
      </c>
      <c r="N79" s="91" t="inlineStr">
        <is>
          <t>AQU4518R9v06</t>
        </is>
      </c>
      <c r="O79" t="n">
        <v>55</v>
      </c>
      <c r="P79" t="n">
        <v>355</v>
      </c>
      <c r="R79" t="n">
        <v>2</v>
      </c>
      <c r="AA79" s="91" t="inlineStr">
        <is>
          <t>1T1R</t>
        </is>
      </c>
      <c r="AB79" s="91" t="inlineStr">
        <is>
          <t>R9244 S9000</t>
        </is>
      </c>
      <c r="AC79" s="91" t="inlineStr">
        <is>
          <t>A9652 S35*3+R9254E S1800*1+R9264H M901821*3+R9254E S8500*2+R9244 S9000*1+FL8590A*4</t>
        </is>
      </c>
      <c r="AD79" s="91" t="inlineStr">
        <is>
          <t>AQU4518R9v06</t>
        </is>
      </c>
      <c r="AE79" s="91" t="n">
        <v>55</v>
      </c>
      <c r="AF79" s="91" t="n">
        <v>355</v>
      </c>
      <c r="AG79" s="91" t="n"/>
      <c r="AH79" s="91" t="n">
        <v>2</v>
      </c>
      <c r="AL79" s="91" t="inlineStr">
        <is>
          <t>pilot'</t>
        </is>
      </c>
    </row>
    <row r="80" ht="15" customHeight="1" s="99">
      <c r="A80" t="inlineStr">
        <is>
          <t>GMTHI1</t>
        </is>
      </c>
      <c r="B80" t="inlineStr">
        <is>
          <t>GMTHI1_GUL00_Thihariya_Gm</t>
        </is>
      </c>
      <c r="C80" s="89" t="inlineStr">
        <is>
          <t>Huawei</t>
        </is>
      </c>
      <c r="F80" t="n">
        <v>7.1285</v>
      </c>
      <c r="G80" t="n">
        <v>80.069</v>
      </c>
      <c r="H80" t="inlineStr">
        <is>
          <t>GMTHI1-M-L21-A2</t>
        </is>
      </c>
      <c r="J80" s="91" t="n"/>
      <c r="K80" t="inlineStr">
        <is>
          <t>S1</t>
        </is>
      </c>
      <c r="L80" t="inlineStr">
        <is>
          <t>4G</t>
        </is>
      </c>
      <c r="M80" t="n">
        <v>2100</v>
      </c>
      <c r="N80" s="93" t="inlineStr">
        <is>
          <t>AQU4518R9v06</t>
        </is>
      </c>
      <c r="O80" t="n">
        <v>60</v>
      </c>
      <c r="P80" t="n">
        <v>20</v>
      </c>
      <c r="R80" t="n">
        <v>0</v>
      </c>
      <c r="Y80" s="91">
        <f>_xlfn.XLOOKUP(H80,'[1]4G Parameters'!$G:$G,'[1]4G Parameters'!$AA:$AA)</f>
        <v/>
      </c>
      <c r="Z80" s="91" t="inlineStr">
        <is>
          <t>6T6R</t>
        </is>
      </c>
      <c r="AA80" s="91" t="inlineStr">
        <is>
          <t>4T4R</t>
        </is>
      </c>
      <c r="AB80" s="91" t="inlineStr">
        <is>
          <t>R9264H M901821</t>
        </is>
      </c>
      <c r="AC80" s="91" t="inlineStr">
        <is>
          <t>A9652 S35*3+R9254E S1800*1+R9264H M901821*3+R9254E S8500*2+R9244 S9000*1+FL8590A*4</t>
        </is>
      </c>
      <c r="AD80" s="93" t="inlineStr">
        <is>
          <t>AQU4518R9v06</t>
        </is>
      </c>
      <c r="AE80" s="91" t="n">
        <v>60</v>
      </c>
      <c r="AF80" s="91" t="n">
        <v>20</v>
      </c>
      <c r="AG80" s="91" t="n"/>
      <c r="AH80" s="91" t="n">
        <v>0</v>
      </c>
      <c r="AI80" s="91">
        <f>_xlfn.XLOOKUP(A80,'[2]177+10+50 Sites (detail)'!$B:$B,'[2]177+10+50 Sites (detail)'!$I:$I)</f>
        <v/>
      </c>
      <c r="AJ80" s="91">
        <f>_xlfn.XLOOKUP(A80,[3]最小距离站点!$A:$A,[3]最小距离站点!$B:$B)</f>
        <v/>
      </c>
      <c r="AK80" s="91">
        <f>_xlfn.XLOOKUP(A80,[3]最小距离站点!$A:$A,[3]最小距离站点!$C:$C)</f>
        <v/>
      </c>
      <c r="AL80" s="91" t="inlineStr">
        <is>
          <t>pilot'</t>
        </is>
      </c>
    </row>
    <row r="81" ht="15" customHeight="1" s="99">
      <c r="A81" t="inlineStr">
        <is>
          <t>GMTHI1</t>
        </is>
      </c>
      <c r="B81" t="inlineStr">
        <is>
          <t>GMTHI1_GUL00_Thihariya_Gm</t>
        </is>
      </c>
      <c r="C81" s="89" t="inlineStr">
        <is>
          <t>Huawei</t>
        </is>
      </c>
      <c r="F81" t="n">
        <v>7.1285</v>
      </c>
      <c r="G81" t="n">
        <v>80.069</v>
      </c>
      <c r="H81" t="inlineStr">
        <is>
          <t>GMTHI1G</t>
        </is>
      </c>
      <c r="J81" s="91" t="n"/>
      <c r="K81" t="inlineStr">
        <is>
          <t>S1</t>
        </is>
      </c>
      <c r="L81" t="inlineStr">
        <is>
          <t>4G</t>
        </is>
      </c>
      <c r="M81" t="n">
        <v>1800</v>
      </c>
      <c r="N81" s="93" t="inlineStr">
        <is>
          <t>AQU4518R9v06</t>
        </is>
      </c>
      <c r="O81" t="n">
        <v>60</v>
      </c>
      <c r="P81" t="n">
        <v>20</v>
      </c>
      <c r="R81" t="n">
        <v>0</v>
      </c>
      <c r="Y81" s="91">
        <f>_xlfn.XLOOKUP(H81,'[1]4G Parameters'!$G:$G,'[1]4G Parameters'!$AA:$AA)</f>
        <v/>
      </c>
      <c r="Z81" s="91" t="inlineStr">
        <is>
          <t>6T6R</t>
        </is>
      </c>
      <c r="AA81" s="91" t="inlineStr">
        <is>
          <t>4T4R</t>
        </is>
      </c>
      <c r="AB81" s="91" t="inlineStr">
        <is>
          <t>R9264H M901821</t>
        </is>
      </c>
      <c r="AC81" s="91" t="inlineStr">
        <is>
          <t>A9652 S35*3+R9254E S1800*1+R9264H M901821*3+R9254E S8500*2+R9244 S9000*1+FL8590A*4</t>
        </is>
      </c>
      <c r="AD81" s="93" t="inlineStr">
        <is>
          <t>AQU4518R9v06</t>
        </is>
      </c>
      <c r="AE81" s="91" t="n">
        <v>60</v>
      </c>
      <c r="AF81" s="91" t="n">
        <v>20</v>
      </c>
      <c r="AG81" s="91" t="n"/>
      <c r="AH81" s="91" t="n">
        <v>0</v>
      </c>
      <c r="AI81" s="91">
        <f>_xlfn.XLOOKUP(A81,'[2]177+10+50 Sites (detail)'!$B:$B,'[2]177+10+50 Sites (detail)'!$I:$I)</f>
        <v/>
      </c>
      <c r="AJ81" s="91">
        <f>_xlfn.XLOOKUP(A81,[3]最小距离站点!$A:$A,[3]最小距离站点!$B:$B)</f>
        <v/>
      </c>
      <c r="AK81" s="91">
        <f>_xlfn.XLOOKUP(A81,[3]最小距离站点!$A:$A,[3]最小距离站点!$C:$C)</f>
        <v/>
      </c>
      <c r="AL81" s="91" t="inlineStr">
        <is>
          <t>pilot'</t>
        </is>
      </c>
    </row>
    <row r="82" ht="15" customHeight="1" s="99">
      <c r="A82" t="inlineStr">
        <is>
          <t>GMTHI1</t>
        </is>
      </c>
      <c r="B82" t="inlineStr">
        <is>
          <t>GMTHI1_GUL00_Thihariya_Gm</t>
        </is>
      </c>
      <c r="C82" s="89" t="inlineStr">
        <is>
          <t>Huawei</t>
        </is>
      </c>
      <c r="F82" t="n">
        <v>7.1285</v>
      </c>
      <c r="G82" t="n">
        <v>80.069</v>
      </c>
      <c r="H82" t="inlineStr">
        <is>
          <t>GMTHI1-M-L85-A1</t>
        </is>
      </c>
      <c r="J82" s="91" t="n"/>
      <c r="K82" t="inlineStr">
        <is>
          <t>S1</t>
        </is>
      </c>
      <c r="L82" t="inlineStr">
        <is>
          <t>4G</t>
        </is>
      </c>
      <c r="M82" t="n">
        <v>850</v>
      </c>
      <c r="N82" s="93" t="inlineStr">
        <is>
          <t>AQU4518R9v06</t>
        </is>
      </c>
      <c r="O82" t="n">
        <v>60</v>
      </c>
      <c r="P82" t="n">
        <v>20</v>
      </c>
      <c r="R82" t="n">
        <v>0</v>
      </c>
      <c r="Y82" s="91">
        <f>_xlfn.XLOOKUP(H82,'[1]4G Parameters'!$G:$G,'[1]4G Parameters'!$AA:$AA)</f>
        <v/>
      </c>
      <c r="Z82" s="91" t="inlineStr">
        <is>
          <t>2T2R</t>
        </is>
      </c>
      <c r="AA82" s="91" t="inlineStr">
        <is>
          <t>2T2R</t>
        </is>
      </c>
      <c r="AB82" s="91" t="inlineStr">
        <is>
          <t>R9254E S8500</t>
        </is>
      </c>
      <c r="AC82" s="91" t="inlineStr">
        <is>
          <t>A9652 S35*3+R9254E S1800*1+R9264H M901821*3+R9254E S8500*2+R9244 S9000*1+FL8590A*4</t>
        </is>
      </c>
      <c r="AD82" s="93" t="inlineStr">
        <is>
          <t>AQU4518R9v06</t>
        </is>
      </c>
      <c r="AE82" s="91" t="n">
        <v>60</v>
      </c>
      <c r="AF82" s="91" t="n">
        <v>20</v>
      </c>
      <c r="AG82" s="91" t="n"/>
      <c r="AH82" s="91" t="n">
        <v>0</v>
      </c>
      <c r="AI82" s="91">
        <f>_xlfn.XLOOKUP(A82,'[2]177+10+50 Sites (detail)'!$B:$B,'[2]177+10+50 Sites (detail)'!$I:$I)</f>
        <v/>
      </c>
      <c r="AJ82" s="91">
        <f>_xlfn.XLOOKUP(A82,[3]最小距离站点!$A:$A,[3]最小距离站点!$B:$B)</f>
        <v/>
      </c>
      <c r="AK82" s="91">
        <f>_xlfn.XLOOKUP(A82,[3]最小距离站点!$A:$A,[3]最小距离站点!$C:$C)</f>
        <v/>
      </c>
      <c r="AL82" s="91" t="inlineStr">
        <is>
          <t>pilot'</t>
        </is>
      </c>
    </row>
    <row r="83" ht="15" customHeight="1" s="99">
      <c r="A83" t="inlineStr">
        <is>
          <t>GMTHI1</t>
        </is>
      </c>
      <c r="B83" t="inlineStr">
        <is>
          <t>GMTHI1_GUL00_Thihariya_Gm</t>
        </is>
      </c>
      <c r="C83" s="89" t="inlineStr">
        <is>
          <t>Huawei</t>
        </is>
      </c>
      <c r="F83" t="n">
        <v>7.1285</v>
      </c>
      <c r="G83" t="n">
        <v>80.069</v>
      </c>
      <c r="H83" t="inlineStr">
        <is>
          <t>GMTHI1-M-L21-B2</t>
        </is>
      </c>
      <c r="J83" s="91" t="n"/>
      <c r="K83" t="inlineStr">
        <is>
          <t>S2</t>
        </is>
      </c>
      <c r="L83" t="inlineStr">
        <is>
          <t>4G</t>
        </is>
      </c>
      <c r="M83" t="n">
        <v>2100</v>
      </c>
      <c r="N83" s="93" t="inlineStr">
        <is>
          <t>AQU4518R9v06</t>
        </is>
      </c>
      <c r="O83" t="n">
        <v>60</v>
      </c>
      <c r="P83" t="n">
        <v>150</v>
      </c>
      <c r="R83" t="n">
        <v>0</v>
      </c>
      <c r="Y83" s="91">
        <f>_xlfn.XLOOKUP(H83,'[1]4G Parameters'!$G:$G,'[1]4G Parameters'!$AA:$AA)</f>
        <v/>
      </c>
      <c r="Z83" s="91" t="inlineStr">
        <is>
          <t>6T6R</t>
        </is>
      </c>
      <c r="AA83" s="91" t="inlineStr">
        <is>
          <t>4T4R</t>
        </is>
      </c>
      <c r="AB83" s="91" t="inlineStr">
        <is>
          <t>R9264H M901821</t>
        </is>
      </c>
      <c r="AC83" s="91" t="inlineStr">
        <is>
          <t>A9652 S35*3+R9254E S1800*1+R9264H M901821*3+R9254E S8500*2+R9244 S9000*1+FL8590A*4</t>
        </is>
      </c>
      <c r="AD83" s="93" t="inlineStr">
        <is>
          <t>AQU4518R9v06</t>
        </is>
      </c>
      <c r="AE83" s="91" t="n">
        <v>60</v>
      </c>
      <c r="AF83" s="91" t="n">
        <v>150</v>
      </c>
      <c r="AG83" s="91" t="n"/>
      <c r="AH83" s="91" t="n">
        <v>0</v>
      </c>
      <c r="AI83" s="91">
        <f>_xlfn.XLOOKUP(A83,'[2]177+10+50 Sites (detail)'!$B:$B,'[2]177+10+50 Sites (detail)'!$I:$I)</f>
        <v/>
      </c>
      <c r="AJ83" s="91">
        <f>_xlfn.XLOOKUP(A83,[3]最小距离站点!$A:$A,[3]最小距离站点!$B:$B)</f>
        <v/>
      </c>
      <c r="AK83" s="91">
        <f>_xlfn.XLOOKUP(A83,[3]最小距离站点!$A:$A,[3]最小距离站点!$C:$C)</f>
        <v/>
      </c>
      <c r="AL83" s="91" t="inlineStr">
        <is>
          <t>pilot'</t>
        </is>
      </c>
    </row>
    <row r="84" ht="15" customHeight="1" s="99">
      <c r="A84" t="inlineStr">
        <is>
          <t>GMTHI1</t>
        </is>
      </c>
      <c r="B84" t="inlineStr">
        <is>
          <t>GMTHI1_GUL00_Thihariya_Gm</t>
        </is>
      </c>
      <c r="C84" s="89" t="inlineStr">
        <is>
          <t>Huawei</t>
        </is>
      </c>
      <c r="F84" t="n">
        <v>7.1285</v>
      </c>
      <c r="G84" t="n">
        <v>80.069</v>
      </c>
      <c r="H84" t="inlineStr">
        <is>
          <t>GMTHI1H</t>
        </is>
      </c>
      <c r="J84" s="91" t="n"/>
      <c r="K84" t="inlineStr">
        <is>
          <t>S2</t>
        </is>
      </c>
      <c r="L84" t="inlineStr">
        <is>
          <t>4G</t>
        </is>
      </c>
      <c r="M84" t="n">
        <v>1800</v>
      </c>
      <c r="N84" s="93" t="inlineStr">
        <is>
          <t>AQU4518R9v06</t>
        </is>
      </c>
      <c r="O84" t="n">
        <v>60</v>
      </c>
      <c r="P84" t="n">
        <v>150</v>
      </c>
      <c r="R84" t="n">
        <v>0</v>
      </c>
      <c r="Y84" s="91">
        <f>_xlfn.XLOOKUP(H84,'[1]4G Parameters'!$G:$G,'[1]4G Parameters'!$AA:$AA)</f>
        <v/>
      </c>
      <c r="Z84" s="91" t="inlineStr">
        <is>
          <t>6T6R</t>
        </is>
      </c>
      <c r="AA84" s="91" t="inlineStr">
        <is>
          <t>4T4R</t>
        </is>
      </c>
      <c r="AB84" s="91" t="inlineStr">
        <is>
          <t>R9264H M901821</t>
        </is>
      </c>
      <c r="AC84" s="91" t="inlineStr">
        <is>
          <t>A9652 S35*3+R9254E S1800*1+R9264H M901821*3+R9254E S8500*2+R9244 S9000*1+FL8590A*4</t>
        </is>
      </c>
      <c r="AD84" s="93" t="inlineStr">
        <is>
          <t>AQU4518R9v06</t>
        </is>
      </c>
      <c r="AE84" s="91" t="n">
        <v>60</v>
      </c>
      <c r="AF84" s="91" t="n">
        <v>150</v>
      </c>
      <c r="AG84" s="91" t="n"/>
      <c r="AH84" s="91" t="n">
        <v>0</v>
      </c>
      <c r="AI84" s="91">
        <f>_xlfn.XLOOKUP(A84,'[2]177+10+50 Sites (detail)'!$B:$B,'[2]177+10+50 Sites (detail)'!$I:$I)</f>
        <v/>
      </c>
      <c r="AJ84" s="91">
        <f>_xlfn.XLOOKUP(A84,[3]最小距离站点!$A:$A,[3]最小距离站点!$B:$B)</f>
        <v/>
      </c>
      <c r="AK84" s="91">
        <f>_xlfn.XLOOKUP(A84,[3]最小距离站点!$A:$A,[3]最小距离站点!$C:$C)</f>
        <v/>
      </c>
      <c r="AL84" s="91" t="inlineStr">
        <is>
          <t>pilot'</t>
        </is>
      </c>
    </row>
    <row r="85" ht="15" customHeight="1" s="99">
      <c r="A85" t="inlineStr">
        <is>
          <t>GMTHI1</t>
        </is>
      </c>
      <c r="B85" t="inlineStr">
        <is>
          <t>GMTHI1_GUL00_Thihariya_Gm</t>
        </is>
      </c>
      <c r="C85" s="89" t="inlineStr">
        <is>
          <t>Huawei</t>
        </is>
      </c>
      <c r="F85" t="n">
        <v>7.1285</v>
      </c>
      <c r="G85" t="n">
        <v>80.069</v>
      </c>
      <c r="H85" t="inlineStr">
        <is>
          <t>GMTHI1-M-L85-B1</t>
        </is>
      </c>
      <c r="J85" s="91" t="n"/>
      <c r="K85" t="inlineStr">
        <is>
          <t>S2</t>
        </is>
      </c>
      <c r="L85" t="inlineStr">
        <is>
          <t>4G</t>
        </is>
      </c>
      <c r="M85" t="n">
        <v>850</v>
      </c>
      <c r="N85" s="93" t="inlineStr">
        <is>
          <t>AQU4518R9v06</t>
        </is>
      </c>
      <c r="O85" t="n">
        <v>60</v>
      </c>
      <c r="P85" t="n">
        <v>150</v>
      </c>
      <c r="R85" t="n">
        <v>0</v>
      </c>
      <c r="Y85" s="91">
        <f>_xlfn.XLOOKUP(H85,'[1]4G Parameters'!$G:$G,'[1]4G Parameters'!$AA:$AA)</f>
        <v/>
      </c>
      <c r="Z85" s="91" t="inlineStr">
        <is>
          <t>2T2R</t>
        </is>
      </c>
      <c r="AA85" s="91" t="inlineStr">
        <is>
          <t>2T2R</t>
        </is>
      </c>
      <c r="AB85" s="91" t="inlineStr">
        <is>
          <t>R9254E S8500</t>
        </is>
      </c>
      <c r="AC85" s="91" t="inlineStr">
        <is>
          <t>A9652 S35*3+R9254E S1800*1+R9264H M901821*3+R9254E S8500*2+R9244 S9000*1+FL8590A*4</t>
        </is>
      </c>
      <c r="AD85" s="93" t="inlineStr">
        <is>
          <t>AQU4518R9v06</t>
        </is>
      </c>
      <c r="AE85" s="91" t="n">
        <v>60</v>
      </c>
      <c r="AF85" s="91" t="n">
        <v>150</v>
      </c>
      <c r="AG85" s="91" t="n"/>
      <c r="AH85" s="91" t="n">
        <v>0</v>
      </c>
      <c r="AI85" s="91">
        <f>_xlfn.XLOOKUP(A85,'[2]177+10+50 Sites (detail)'!$B:$B,'[2]177+10+50 Sites (detail)'!$I:$I)</f>
        <v/>
      </c>
      <c r="AJ85" s="91">
        <f>_xlfn.XLOOKUP(A85,[3]最小距离站点!$A:$A,[3]最小距离站点!$B:$B)</f>
        <v/>
      </c>
      <c r="AK85" s="91">
        <f>_xlfn.XLOOKUP(A85,[3]最小距离站点!$A:$A,[3]最小距离站点!$C:$C)</f>
        <v/>
      </c>
      <c r="AL85" s="91" t="inlineStr">
        <is>
          <t>pilot'</t>
        </is>
      </c>
    </row>
    <row r="86" ht="15" customHeight="1" s="99">
      <c r="A86" t="inlineStr">
        <is>
          <t>GMTHI1</t>
        </is>
      </c>
      <c r="B86" t="inlineStr">
        <is>
          <t>GMTHI1_GUL00_Thihariya_Gm</t>
        </is>
      </c>
      <c r="C86" s="89" t="inlineStr">
        <is>
          <t>Huawei</t>
        </is>
      </c>
      <c r="F86" t="n">
        <v>7.1285</v>
      </c>
      <c r="G86" t="n">
        <v>80.069</v>
      </c>
      <c r="H86" t="inlineStr">
        <is>
          <t>GMTHI1-M-L21-C2</t>
        </is>
      </c>
      <c r="J86" s="91" t="n"/>
      <c r="K86" t="inlineStr">
        <is>
          <t>S3</t>
        </is>
      </c>
      <c r="L86" t="inlineStr">
        <is>
          <t>4G</t>
        </is>
      </c>
      <c r="M86" t="n">
        <v>2100</v>
      </c>
      <c r="N86" s="93" t="inlineStr">
        <is>
          <t>AQU4518R9v06</t>
        </is>
      </c>
      <c r="O86" t="n">
        <v>60</v>
      </c>
      <c r="P86" t="n">
        <v>260</v>
      </c>
      <c r="R86" t="n">
        <v>0</v>
      </c>
      <c r="Y86" s="91">
        <f>_xlfn.XLOOKUP(H86,'[1]4G Parameters'!$G:$G,'[1]4G Parameters'!$AA:$AA)</f>
        <v/>
      </c>
      <c r="Z86" s="91" t="inlineStr">
        <is>
          <t>6T6R</t>
        </is>
      </c>
      <c r="AA86" s="91" t="inlineStr">
        <is>
          <t>4T4R</t>
        </is>
      </c>
      <c r="AB86" s="91" t="inlineStr">
        <is>
          <t>R9264H M901821</t>
        </is>
      </c>
      <c r="AC86" s="91" t="inlineStr">
        <is>
          <t>A9652 S35*3+R9254E S1800*1+R9264H M901821*3+R9254E S8500*2+R9244 S9000*1+FL8590A*4</t>
        </is>
      </c>
      <c r="AD86" s="93" t="inlineStr">
        <is>
          <t>AQU4518R9v06</t>
        </is>
      </c>
      <c r="AE86" s="91" t="n">
        <v>60</v>
      </c>
      <c r="AF86" s="91" t="n">
        <v>260</v>
      </c>
      <c r="AG86" s="91" t="n"/>
      <c r="AH86" s="91" t="n">
        <v>0</v>
      </c>
      <c r="AI86" s="91">
        <f>_xlfn.XLOOKUP(A86,'[2]177+10+50 Sites (detail)'!$B:$B,'[2]177+10+50 Sites (detail)'!$I:$I)</f>
        <v/>
      </c>
      <c r="AJ86" s="91">
        <f>_xlfn.XLOOKUP(A86,[3]最小距离站点!$A:$A,[3]最小距离站点!$B:$B)</f>
        <v/>
      </c>
      <c r="AK86" s="91">
        <f>_xlfn.XLOOKUP(A86,[3]最小距离站点!$A:$A,[3]最小距离站点!$C:$C)</f>
        <v/>
      </c>
      <c r="AL86" s="91" t="inlineStr">
        <is>
          <t>pilot'</t>
        </is>
      </c>
    </row>
    <row r="87" ht="15" customHeight="1" s="99">
      <c r="A87" t="inlineStr">
        <is>
          <t>GMTHI1</t>
        </is>
      </c>
      <c r="B87" t="inlineStr">
        <is>
          <t>GMTHI1_GUL00_Thihariya_Gm</t>
        </is>
      </c>
      <c r="C87" s="89" t="inlineStr">
        <is>
          <t>Huawei</t>
        </is>
      </c>
      <c r="F87" t="n">
        <v>7.1285</v>
      </c>
      <c r="G87" t="n">
        <v>80.069</v>
      </c>
      <c r="H87" t="inlineStr">
        <is>
          <t>GMTHI1I</t>
        </is>
      </c>
      <c r="J87" s="91" t="n"/>
      <c r="K87" t="inlineStr">
        <is>
          <t>S3</t>
        </is>
      </c>
      <c r="L87" t="inlineStr">
        <is>
          <t>4G</t>
        </is>
      </c>
      <c r="M87" t="n">
        <v>1800</v>
      </c>
      <c r="N87" s="93" t="inlineStr">
        <is>
          <t>AQU4518R9v06</t>
        </is>
      </c>
      <c r="O87" t="n">
        <v>60</v>
      </c>
      <c r="P87" t="n">
        <v>260</v>
      </c>
      <c r="R87" t="n">
        <v>0</v>
      </c>
      <c r="Y87" s="91">
        <f>_xlfn.XLOOKUP(H87,'[1]4G Parameters'!$G:$G,'[1]4G Parameters'!$AA:$AA)</f>
        <v/>
      </c>
      <c r="Z87" s="91" t="inlineStr">
        <is>
          <t>6T6R</t>
        </is>
      </c>
      <c r="AA87" s="91" t="inlineStr">
        <is>
          <t>4T4R</t>
        </is>
      </c>
      <c r="AB87" s="91" t="inlineStr">
        <is>
          <t>R9264H M901821</t>
        </is>
      </c>
      <c r="AC87" s="91" t="inlineStr">
        <is>
          <t>A9652 S35*3+R9254E S1800*1+R9264H M901821*3+R9254E S8500*2+R9244 S9000*1+FL8590A*4</t>
        </is>
      </c>
      <c r="AD87" s="93" t="inlineStr">
        <is>
          <t>AQU4518R9v06</t>
        </is>
      </c>
      <c r="AE87" s="91" t="n">
        <v>60</v>
      </c>
      <c r="AF87" s="91" t="n">
        <v>260</v>
      </c>
      <c r="AG87" s="91" t="n"/>
      <c r="AH87" s="91" t="n">
        <v>0</v>
      </c>
      <c r="AI87" s="91">
        <f>_xlfn.XLOOKUP(A87,'[2]177+10+50 Sites (detail)'!$B:$B,'[2]177+10+50 Sites (detail)'!$I:$I)</f>
        <v/>
      </c>
      <c r="AJ87" s="91">
        <f>_xlfn.XLOOKUP(A87,[3]最小距离站点!$A:$A,[3]最小距离站点!$B:$B)</f>
        <v/>
      </c>
      <c r="AK87" s="91">
        <f>_xlfn.XLOOKUP(A87,[3]最小距离站点!$A:$A,[3]最小距离站点!$C:$C)</f>
        <v/>
      </c>
      <c r="AL87" s="91" t="inlineStr">
        <is>
          <t>pilot'</t>
        </is>
      </c>
    </row>
    <row r="88" ht="15" customHeight="1" s="99">
      <c r="A88" t="inlineStr">
        <is>
          <t>GMTHI1</t>
        </is>
      </c>
      <c r="B88" t="inlineStr">
        <is>
          <t>GMTHI1_GUL00_Thihariya_Gm</t>
        </is>
      </c>
      <c r="C88" s="89" t="inlineStr">
        <is>
          <t>Huawei</t>
        </is>
      </c>
      <c r="F88" t="n">
        <v>7.1285</v>
      </c>
      <c r="G88" t="n">
        <v>80.069</v>
      </c>
      <c r="H88" t="inlineStr">
        <is>
          <t>GMTHI1-M-L85-C1</t>
        </is>
      </c>
      <c r="J88" s="91" t="n"/>
      <c r="K88" t="inlineStr">
        <is>
          <t>S3</t>
        </is>
      </c>
      <c r="L88" t="inlineStr">
        <is>
          <t>4G</t>
        </is>
      </c>
      <c r="M88" t="n">
        <v>850</v>
      </c>
      <c r="N88" s="93" t="inlineStr">
        <is>
          <t>AQU4518R9v06</t>
        </is>
      </c>
      <c r="O88" t="n">
        <v>60</v>
      </c>
      <c r="P88" t="n">
        <v>260</v>
      </c>
      <c r="R88" t="n">
        <v>0</v>
      </c>
      <c r="Y88" s="91">
        <f>_xlfn.XLOOKUP(H88,'[1]4G Parameters'!$G:$G,'[1]4G Parameters'!$AA:$AA)</f>
        <v/>
      </c>
      <c r="Z88" s="91" t="inlineStr">
        <is>
          <t>2T2R</t>
        </is>
      </c>
      <c r="AA88" s="91" t="inlineStr">
        <is>
          <t>2T2R</t>
        </is>
      </c>
      <c r="AB88" s="91" t="inlineStr">
        <is>
          <t>R9254E S8500</t>
        </is>
      </c>
      <c r="AC88" s="91" t="inlineStr">
        <is>
          <t>A9652 S35*3+R9254E S1800*1+R9264H M901821*3+R9254E S8500*2+R9244 S9000*1+FL8590A*4</t>
        </is>
      </c>
      <c r="AD88" s="93" t="inlineStr">
        <is>
          <t>AQU4518R9v06</t>
        </is>
      </c>
      <c r="AE88" s="91" t="n">
        <v>60</v>
      </c>
      <c r="AF88" s="91" t="n">
        <v>260</v>
      </c>
      <c r="AG88" s="91" t="n"/>
      <c r="AH88" s="91" t="n">
        <v>0</v>
      </c>
      <c r="AI88" s="91">
        <f>_xlfn.XLOOKUP(A88,'[2]177+10+50 Sites (detail)'!$B:$B,'[2]177+10+50 Sites (detail)'!$I:$I)</f>
        <v/>
      </c>
      <c r="AJ88" s="91">
        <f>_xlfn.XLOOKUP(A88,[3]最小距离站点!$A:$A,[3]最小距离站点!$B:$B)</f>
        <v/>
      </c>
      <c r="AK88" s="91">
        <f>_xlfn.XLOOKUP(A88,[3]最小距离站点!$A:$A,[3]最小距离站点!$C:$C)</f>
        <v/>
      </c>
      <c r="AL88" s="91" t="inlineStr">
        <is>
          <t>pilot'</t>
        </is>
      </c>
    </row>
    <row r="89" ht="15" customHeight="1" s="99">
      <c r="A89" t="inlineStr">
        <is>
          <t>GMTHI1</t>
        </is>
      </c>
      <c r="B89" t="inlineStr">
        <is>
          <t>GMTHI1_GUL00_Thihariya_Gm</t>
        </is>
      </c>
      <c r="C89" s="89" t="inlineStr">
        <is>
          <t>Huawei</t>
        </is>
      </c>
      <c r="F89" t="n">
        <v>7.1285</v>
      </c>
      <c r="G89" t="n">
        <v>80.069</v>
      </c>
      <c r="H89" t="inlineStr">
        <is>
          <t>GMTHI1F</t>
        </is>
      </c>
      <c r="J89" s="91" t="n"/>
      <c r="K89" t="inlineStr">
        <is>
          <t>S4</t>
        </is>
      </c>
      <c r="L89" t="inlineStr">
        <is>
          <t>4G</t>
        </is>
      </c>
      <c r="M89" t="n">
        <v>1800</v>
      </c>
      <c r="N89" s="93" t="inlineStr">
        <is>
          <t>AQU4518R9v06</t>
        </is>
      </c>
      <c r="O89" t="n">
        <v>60</v>
      </c>
      <c r="P89" t="n">
        <v>355</v>
      </c>
      <c r="R89" t="n">
        <v>0</v>
      </c>
      <c r="Y89" s="91">
        <f>_xlfn.XLOOKUP(H89,'[1]4G Parameters'!$G:$G,'[1]4G Parameters'!$AA:$AA)</f>
        <v/>
      </c>
      <c r="Z89" s="91" t="inlineStr">
        <is>
          <t>6T6R</t>
        </is>
      </c>
      <c r="AA89" s="91" t="inlineStr">
        <is>
          <t>4T4R</t>
        </is>
      </c>
      <c r="AB89" s="91" t="inlineStr">
        <is>
          <t>R9254E S1800</t>
        </is>
      </c>
      <c r="AC89" s="91" t="inlineStr">
        <is>
          <t>A9652 S35*3+R9254E S1800*1+R9264H M901821*3+R9254E S8500*2+R9244 S9000*1+FL8590A*4</t>
        </is>
      </c>
      <c r="AD89" s="93" t="inlineStr">
        <is>
          <t>AQU4518R9v06</t>
        </is>
      </c>
      <c r="AE89" s="91" t="n">
        <v>60</v>
      </c>
      <c r="AF89" s="91" t="n">
        <v>355</v>
      </c>
      <c r="AG89" s="91" t="n"/>
      <c r="AH89" s="91" t="n">
        <v>0</v>
      </c>
      <c r="AI89" s="91">
        <f>_xlfn.XLOOKUP(A89,'[2]177+10+50 Sites (detail)'!$B:$B,'[2]177+10+50 Sites (detail)'!$I:$I)</f>
        <v/>
      </c>
      <c r="AJ89" s="91">
        <f>_xlfn.XLOOKUP(A89,[3]最小距离站点!$A:$A,[3]最小距离站点!$B:$B)</f>
        <v/>
      </c>
      <c r="AK89" s="91">
        <f>_xlfn.XLOOKUP(A89,[3]最小距离站点!$A:$A,[3]最小距离站点!$C:$C)</f>
        <v/>
      </c>
      <c r="AL89" s="91" t="inlineStr">
        <is>
          <t>pilot'</t>
        </is>
      </c>
    </row>
    <row r="90" ht="15" customHeight="1" s="99">
      <c r="A90" t="inlineStr">
        <is>
          <t>GMTHI1</t>
        </is>
      </c>
      <c r="B90" t="inlineStr">
        <is>
          <t>GMTHI1_GUL00_Thihariya_Gm</t>
        </is>
      </c>
      <c r="C90" s="89" t="inlineStr">
        <is>
          <t>Huawei</t>
        </is>
      </c>
      <c r="F90" t="n">
        <v>7.1285</v>
      </c>
      <c r="G90" t="n">
        <v>80.069</v>
      </c>
      <c r="H90" t="inlineStr">
        <is>
          <t>GMTHI1-M-L85-D1</t>
        </is>
      </c>
      <c r="J90" s="91" t="n"/>
      <c r="K90" t="inlineStr">
        <is>
          <t>S4</t>
        </is>
      </c>
      <c r="L90" t="inlineStr">
        <is>
          <t>4G</t>
        </is>
      </c>
      <c r="M90" t="n">
        <v>850</v>
      </c>
      <c r="N90" s="93" t="inlineStr">
        <is>
          <t>AQU4518R9v06</t>
        </is>
      </c>
      <c r="O90" t="n">
        <v>60</v>
      </c>
      <c r="P90" t="n">
        <v>355</v>
      </c>
      <c r="R90" t="n">
        <v>0</v>
      </c>
      <c r="Y90" s="91">
        <f>_xlfn.XLOOKUP(H90,'[1]4G Parameters'!$G:$G,'[1]4G Parameters'!$AA:$AA)</f>
        <v/>
      </c>
      <c r="Z90" s="91" t="inlineStr">
        <is>
          <t>2T2R</t>
        </is>
      </c>
      <c r="AA90" s="91" t="inlineStr">
        <is>
          <t>2T2R</t>
        </is>
      </c>
      <c r="AB90" s="91" t="inlineStr">
        <is>
          <t>R9254E S8500</t>
        </is>
      </c>
      <c r="AC90" s="91" t="inlineStr">
        <is>
          <t>A9652 S35*3+R9254E S1800*1+R9264H M901821*3+R9254E S8500*2+R9244 S9000*1+FL8590A*4</t>
        </is>
      </c>
      <c r="AD90" s="93" t="inlineStr">
        <is>
          <t>AQU4518R9v06</t>
        </is>
      </c>
      <c r="AE90" s="91" t="n">
        <v>60</v>
      </c>
      <c r="AF90" s="91" t="n">
        <v>355</v>
      </c>
      <c r="AG90" s="91" t="n"/>
      <c r="AH90" s="91" t="n">
        <v>0</v>
      </c>
      <c r="AI90" s="91">
        <f>_xlfn.XLOOKUP(A90,'[2]177+10+50 Sites (detail)'!$B:$B,'[2]177+10+50 Sites (detail)'!$I:$I)</f>
        <v/>
      </c>
      <c r="AJ90" s="91">
        <f>_xlfn.XLOOKUP(A90,[3]最小距离站点!$A:$A,[3]最小距离站点!$B:$B)</f>
        <v/>
      </c>
      <c r="AK90" s="91">
        <f>_xlfn.XLOOKUP(A90,[3]最小距离站点!$A:$A,[3]最小距离站点!$C:$C)</f>
        <v/>
      </c>
      <c r="AL90" s="91" t="inlineStr">
        <is>
          <t>pilot'</t>
        </is>
      </c>
    </row>
    <row r="91" ht="15" customHeight="1" s="99">
      <c r="A91" t="inlineStr">
        <is>
          <t>GMTHI2</t>
        </is>
      </c>
      <c r="B91" t="inlineStr">
        <is>
          <t>GMTHI2_G_Thihariya_2_8_Gm</t>
        </is>
      </c>
      <c r="C91" s="89" t="inlineStr">
        <is>
          <t>Huawei</t>
        </is>
      </c>
      <c r="F91" t="n">
        <v>7.1341</v>
      </c>
      <c r="G91" t="n">
        <v>80.07980000000001</v>
      </c>
      <c r="H91" t="inlineStr">
        <is>
          <t>GMTHI2P</t>
        </is>
      </c>
      <c r="J91" s="91" t="n"/>
      <c r="K91" t="inlineStr">
        <is>
          <t>S1</t>
        </is>
      </c>
      <c r="L91" t="inlineStr">
        <is>
          <t>2G</t>
        </is>
      </c>
      <c r="M91" t="n">
        <v>1800</v>
      </c>
      <c r="N91" s="92" t="inlineStr">
        <is>
          <t>AQU4518R9v06</t>
        </is>
      </c>
      <c r="O91" t="n">
        <v>0</v>
      </c>
      <c r="P91" t="n">
        <v>80</v>
      </c>
      <c r="R91" t="n">
        <v>2</v>
      </c>
      <c r="AA91" s="91" t="inlineStr">
        <is>
          <t>1T1R</t>
        </is>
      </c>
      <c r="AB91" s="91" t="inlineStr">
        <is>
          <t>R9264H M901821*3</t>
        </is>
      </c>
      <c r="AC91" s="91" t="inlineStr">
        <is>
          <t>A9652 S35*3+R9264H M901821*3+R9254E S8500*2+FL8590A*3</t>
        </is>
      </c>
      <c r="AD91" s="91" t="inlineStr">
        <is>
          <t>AQU4518R9v06</t>
        </is>
      </c>
      <c r="AE91" s="91" t="n">
        <v>0</v>
      </c>
      <c r="AF91" s="91" t="n">
        <v>80</v>
      </c>
      <c r="AG91" s="91" t="n"/>
      <c r="AH91" s="91" t="n">
        <v>2</v>
      </c>
      <c r="AL91" s="91" t="inlineStr">
        <is>
          <t>pilot'</t>
        </is>
      </c>
    </row>
    <row r="92" ht="15" customHeight="1" s="99">
      <c r="A92" t="inlineStr">
        <is>
          <t>GMTHI2</t>
        </is>
      </c>
      <c r="B92" t="inlineStr">
        <is>
          <t>GMTHI2_G_Thihariya2__9__Gm</t>
        </is>
      </c>
      <c r="C92" s="89" t="inlineStr">
        <is>
          <t>Huawei</t>
        </is>
      </c>
      <c r="F92" t="n">
        <v>7.13409</v>
      </c>
      <c r="G92" t="n">
        <v>80.07980000000001</v>
      </c>
      <c r="H92" t="inlineStr">
        <is>
          <t>GMTHI2A</t>
        </is>
      </c>
      <c r="J92" s="91" t="n"/>
      <c r="K92" t="inlineStr">
        <is>
          <t>S1</t>
        </is>
      </c>
      <c r="L92" t="inlineStr">
        <is>
          <t>2G</t>
        </is>
      </c>
      <c r="M92" t="n">
        <v>900</v>
      </c>
      <c r="N92" s="92" t="inlineStr">
        <is>
          <t>AQU4518R9v06</t>
        </is>
      </c>
      <c r="O92" t="n">
        <v>45</v>
      </c>
      <c r="P92" t="n">
        <v>80</v>
      </c>
      <c r="R92" t="n">
        <v>2</v>
      </c>
      <c r="AA92" s="91" t="inlineStr">
        <is>
          <t>1T1R</t>
        </is>
      </c>
      <c r="AB92" s="91" t="inlineStr">
        <is>
          <t>R9264H M901821*3</t>
        </is>
      </c>
      <c r="AC92" s="91" t="inlineStr">
        <is>
          <t>A9652 S35*3+R9264H M901821*3+R9254E S8500*2+FL8590A*3</t>
        </is>
      </c>
      <c r="AD92" s="91" t="inlineStr">
        <is>
          <t>AQU4518R9v06</t>
        </is>
      </c>
      <c r="AE92" s="91" t="n">
        <v>45</v>
      </c>
      <c r="AF92" s="91" t="n">
        <v>80</v>
      </c>
      <c r="AG92" s="91" t="n"/>
      <c r="AH92" s="91" t="n">
        <v>2</v>
      </c>
      <c r="AL92" s="91" t="inlineStr">
        <is>
          <t>pilot'</t>
        </is>
      </c>
    </row>
    <row r="93" ht="15" customHeight="1" s="99">
      <c r="A93" t="inlineStr">
        <is>
          <t>GMTHI2</t>
        </is>
      </c>
      <c r="B93" t="inlineStr">
        <is>
          <t>GMTHI2_G_Thihariya_2_8_Gm</t>
        </is>
      </c>
      <c r="C93" s="89" t="inlineStr">
        <is>
          <t>Huawei</t>
        </is>
      </c>
      <c r="F93" t="n">
        <v>7.1341</v>
      </c>
      <c r="G93" t="n">
        <v>80.07980000000001</v>
      </c>
      <c r="H93" t="inlineStr">
        <is>
          <t>GMTHI2Q</t>
        </is>
      </c>
      <c r="J93" s="91" t="n"/>
      <c r="K93" t="inlineStr">
        <is>
          <t>S2</t>
        </is>
      </c>
      <c r="L93" t="inlineStr">
        <is>
          <t>2G</t>
        </is>
      </c>
      <c r="M93" t="n">
        <v>1800</v>
      </c>
      <c r="N93" s="92" t="inlineStr">
        <is>
          <t>AQU4518R9v06</t>
        </is>
      </c>
      <c r="O93" t="n">
        <v>0</v>
      </c>
      <c r="P93" t="n">
        <v>160</v>
      </c>
      <c r="R93" t="n">
        <v>2</v>
      </c>
      <c r="AA93" s="91" t="inlineStr">
        <is>
          <t>1T1R</t>
        </is>
      </c>
      <c r="AB93" s="91" t="inlineStr">
        <is>
          <t>R9264H M901821*3</t>
        </is>
      </c>
      <c r="AC93" s="91" t="inlineStr">
        <is>
          <t>A9652 S35*3+R9264H M901821*3+R9254E S8500*2+FL8590A*3</t>
        </is>
      </c>
      <c r="AD93" s="91" t="inlineStr">
        <is>
          <t>AQU4518R9v06</t>
        </is>
      </c>
      <c r="AE93" s="91" t="n">
        <v>0</v>
      </c>
      <c r="AF93" s="91" t="n">
        <v>160</v>
      </c>
      <c r="AG93" s="91" t="n"/>
      <c r="AH93" s="91" t="n">
        <v>2</v>
      </c>
      <c r="AL93" s="91" t="inlineStr">
        <is>
          <t>pilot'</t>
        </is>
      </c>
    </row>
    <row r="94" ht="15" customHeight="1" s="99">
      <c r="A94" t="inlineStr">
        <is>
          <t>GMTHI2</t>
        </is>
      </c>
      <c r="B94" t="inlineStr">
        <is>
          <t>GMTHI2_G_Thihariya2__9__Gm</t>
        </is>
      </c>
      <c r="C94" s="89" t="inlineStr">
        <is>
          <t>Huawei</t>
        </is>
      </c>
      <c r="F94" t="n">
        <v>7.13409</v>
      </c>
      <c r="G94" t="n">
        <v>80.07980000000001</v>
      </c>
      <c r="H94" t="inlineStr">
        <is>
          <t>GMTHI2B</t>
        </is>
      </c>
      <c r="J94" s="91" t="n"/>
      <c r="K94" t="inlineStr">
        <is>
          <t>S2</t>
        </is>
      </c>
      <c r="L94" t="inlineStr">
        <is>
          <t>2G</t>
        </is>
      </c>
      <c r="M94" t="n">
        <v>900</v>
      </c>
      <c r="N94" s="92" t="inlineStr">
        <is>
          <t>AQU4518R9v06</t>
        </is>
      </c>
      <c r="O94" t="n">
        <v>45</v>
      </c>
      <c r="P94" t="n">
        <v>160</v>
      </c>
      <c r="R94" t="n">
        <v>2</v>
      </c>
      <c r="AA94" s="91" t="inlineStr">
        <is>
          <t>1T1R</t>
        </is>
      </c>
      <c r="AB94" s="91" t="inlineStr">
        <is>
          <t>R9264H M901821*3</t>
        </is>
      </c>
      <c r="AC94" s="91" t="inlineStr">
        <is>
          <t>A9652 S35*3+R9264H M901821*3+R9254E S8500*2+FL8590A*3</t>
        </is>
      </c>
      <c r="AD94" s="91" t="inlineStr">
        <is>
          <t>AQU4518R9v06</t>
        </is>
      </c>
      <c r="AE94" s="91" t="n">
        <v>45</v>
      </c>
      <c r="AF94" s="91" t="n">
        <v>160</v>
      </c>
      <c r="AG94" s="91" t="n"/>
      <c r="AH94" s="91" t="n">
        <v>2</v>
      </c>
      <c r="AL94" s="91" t="inlineStr">
        <is>
          <t>pilot'</t>
        </is>
      </c>
    </row>
    <row r="95" ht="15" customHeight="1" s="99">
      <c r="A95" t="inlineStr">
        <is>
          <t>GMTHI2</t>
        </is>
      </c>
      <c r="B95" t="inlineStr">
        <is>
          <t>GMTHI2_G_Thihariya_2_8_Gm</t>
        </is>
      </c>
      <c r="C95" s="89" t="inlineStr">
        <is>
          <t>Huawei</t>
        </is>
      </c>
      <c r="F95" t="n">
        <v>7.1341</v>
      </c>
      <c r="G95" t="n">
        <v>80.07980000000001</v>
      </c>
      <c r="H95" t="inlineStr">
        <is>
          <t>GMTHI2R</t>
        </is>
      </c>
      <c r="J95" s="91" t="n"/>
      <c r="K95" t="inlineStr">
        <is>
          <t>S3</t>
        </is>
      </c>
      <c r="L95" t="inlineStr">
        <is>
          <t>2G</t>
        </is>
      </c>
      <c r="M95" t="n">
        <v>1800</v>
      </c>
      <c r="N95" s="92" t="inlineStr">
        <is>
          <t>AQU4518R9v06</t>
        </is>
      </c>
      <c r="O95" t="n">
        <v>0</v>
      </c>
      <c r="P95" t="n">
        <v>305</v>
      </c>
      <c r="R95" t="n">
        <v>2</v>
      </c>
      <c r="AA95" s="91" t="inlineStr">
        <is>
          <t>1T1R</t>
        </is>
      </c>
      <c r="AB95" s="91" t="inlineStr">
        <is>
          <t>R9264H M901821*3</t>
        </is>
      </c>
      <c r="AC95" s="91" t="inlineStr">
        <is>
          <t>A9652 S35*3+R9264H M901821*3+R9254E S8500*2+FL8590A*3</t>
        </is>
      </c>
      <c r="AD95" s="91" t="inlineStr">
        <is>
          <t>AQU4518R9v06</t>
        </is>
      </c>
      <c r="AE95" s="91" t="n">
        <v>0</v>
      </c>
      <c r="AF95" s="91" t="n">
        <v>305</v>
      </c>
      <c r="AG95" s="91" t="n"/>
      <c r="AH95" s="91" t="n">
        <v>2</v>
      </c>
      <c r="AL95" s="91" t="inlineStr">
        <is>
          <t>pilot'</t>
        </is>
      </c>
    </row>
    <row r="96" ht="15" customHeight="1" s="99">
      <c r="A96" t="inlineStr">
        <is>
          <t>GMTHI2</t>
        </is>
      </c>
      <c r="B96" t="inlineStr">
        <is>
          <t>GMTHI2_G_Thihariya2__9__Gm</t>
        </is>
      </c>
      <c r="C96" s="89" t="inlineStr">
        <is>
          <t>Huawei</t>
        </is>
      </c>
      <c r="F96" t="n">
        <v>7.13409</v>
      </c>
      <c r="G96" t="n">
        <v>80.07980000000001</v>
      </c>
      <c r="H96" t="inlineStr">
        <is>
          <t>GMTHI2C</t>
        </is>
      </c>
      <c r="J96" s="91" t="n"/>
      <c r="K96" t="inlineStr">
        <is>
          <t>S3</t>
        </is>
      </c>
      <c r="L96" t="inlineStr">
        <is>
          <t>2G</t>
        </is>
      </c>
      <c r="M96" t="n">
        <v>900</v>
      </c>
      <c r="N96" s="92" t="inlineStr">
        <is>
          <t>AQU4518R9v06</t>
        </is>
      </c>
      <c r="O96" t="n">
        <v>45</v>
      </c>
      <c r="P96" t="n">
        <v>305</v>
      </c>
      <c r="R96" t="n">
        <v>2</v>
      </c>
      <c r="AA96" s="91" t="inlineStr">
        <is>
          <t>1T1R</t>
        </is>
      </c>
      <c r="AB96" s="91" t="inlineStr">
        <is>
          <t>R9264H M901821*3</t>
        </is>
      </c>
      <c r="AC96" s="91" t="inlineStr">
        <is>
          <t>A9652 S35*3+R9264H M901821*3+R9254E S8500*2+FL8590A*3</t>
        </is>
      </c>
      <c r="AD96" s="91" t="inlineStr">
        <is>
          <t>AQU4518R9v06</t>
        </is>
      </c>
      <c r="AE96" s="91" t="n">
        <v>45</v>
      </c>
      <c r="AF96" s="91" t="n">
        <v>305</v>
      </c>
      <c r="AG96" s="91" t="n"/>
      <c r="AH96" s="91" t="n">
        <v>2</v>
      </c>
      <c r="AL96" s="91" t="inlineStr">
        <is>
          <t>pilot'</t>
        </is>
      </c>
    </row>
    <row r="97" ht="15" customHeight="1" s="99">
      <c r="A97" t="inlineStr">
        <is>
          <t>GMTHI2</t>
        </is>
      </c>
      <c r="B97" t="inlineStr">
        <is>
          <t>GMTHI2_GUL00_Thihariya2_Gm</t>
        </is>
      </c>
      <c r="C97" s="89" t="inlineStr">
        <is>
          <t>Huawei</t>
        </is>
      </c>
      <c r="D97" s="91" t="inlineStr">
        <is>
          <t>无850</t>
        </is>
      </c>
      <c r="F97" t="n">
        <v>7.13409</v>
      </c>
      <c r="G97" t="n">
        <v>80.07980000000001</v>
      </c>
      <c r="H97" t="inlineStr">
        <is>
          <t>GMTHI2-M-L21-A2</t>
        </is>
      </c>
      <c r="J97" s="91" t="n"/>
      <c r="K97" t="inlineStr">
        <is>
          <t>S1</t>
        </is>
      </c>
      <c r="L97" t="inlineStr">
        <is>
          <t>4G</t>
        </is>
      </c>
      <c r="M97" t="n">
        <v>2100</v>
      </c>
      <c r="N97" s="93" t="inlineStr">
        <is>
          <t>AQU4518R9v06</t>
        </is>
      </c>
      <c r="O97" t="n">
        <v>70</v>
      </c>
      <c r="P97" t="n">
        <v>80</v>
      </c>
      <c r="R97" t="n">
        <v>0</v>
      </c>
      <c r="Y97" s="91">
        <f>_xlfn.XLOOKUP(H97,'[1]4G Parameters'!$G:$G,'[1]4G Parameters'!$AA:$AA)</f>
        <v/>
      </c>
      <c r="Z97" s="91" t="inlineStr">
        <is>
          <t>6T6R</t>
        </is>
      </c>
      <c r="AA97" s="91" t="inlineStr">
        <is>
          <t>4T4R</t>
        </is>
      </c>
      <c r="AB97" s="91" t="inlineStr">
        <is>
          <t>R9264H M901821*3</t>
        </is>
      </c>
      <c r="AC97" s="91" t="inlineStr">
        <is>
          <t>A9652 S35*3+R9264H M901821*3+R9254E S8500*2+FL8590A*3</t>
        </is>
      </c>
      <c r="AD97" s="91" t="inlineStr">
        <is>
          <t>AQU4518R9v06</t>
        </is>
      </c>
      <c r="AE97" s="91" t="n">
        <v>70</v>
      </c>
      <c r="AF97" s="91" t="n">
        <v>80</v>
      </c>
      <c r="AG97" s="91" t="n"/>
      <c r="AH97" s="91" t="n">
        <v>0</v>
      </c>
      <c r="AI97" s="91">
        <f>_xlfn.XLOOKUP(A97,'[2]177+10+50 Sites (detail)'!$B:$B,'[2]177+10+50 Sites (detail)'!$I:$I)</f>
        <v/>
      </c>
      <c r="AJ97" s="91">
        <f>_xlfn.XLOOKUP(A97,[3]最小距离站点!$A:$A,[3]最小距离站点!$B:$B)</f>
        <v/>
      </c>
      <c r="AK97" s="91">
        <f>_xlfn.XLOOKUP(A97,[3]最小距离站点!$A:$A,[3]最小距离站点!$C:$C)</f>
        <v/>
      </c>
      <c r="AL97" s="91" t="inlineStr">
        <is>
          <t>pilot'</t>
        </is>
      </c>
    </row>
    <row r="98" ht="15" customHeight="1" s="99">
      <c r="A98" t="inlineStr">
        <is>
          <t>GMTHI2</t>
        </is>
      </c>
      <c r="B98" t="inlineStr">
        <is>
          <t>GMTHI2_GUL00_Thihariya2_Gm</t>
        </is>
      </c>
      <c r="C98" s="89" t="inlineStr">
        <is>
          <t>Huawei</t>
        </is>
      </c>
      <c r="D98" s="91" t="inlineStr">
        <is>
          <t>无850</t>
        </is>
      </c>
      <c r="F98" t="n">
        <v>7.13409</v>
      </c>
      <c r="G98" t="n">
        <v>80.07980000000001</v>
      </c>
      <c r="H98" t="inlineStr">
        <is>
          <t>GMTHI2G</t>
        </is>
      </c>
      <c r="J98" s="91" t="n"/>
      <c r="K98" t="inlineStr">
        <is>
          <t>S1</t>
        </is>
      </c>
      <c r="L98" t="inlineStr">
        <is>
          <t>4G</t>
        </is>
      </c>
      <c r="M98" t="n">
        <v>1800</v>
      </c>
      <c r="N98" s="93" t="inlineStr">
        <is>
          <t>AQU4518R9v06</t>
        </is>
      </c>
      <c r="O98" t="n">
        <v>70</v>
      </c>
      <c r="P98" t="n">
        <v>80</v>
      </c>
      <c r="R98" t="n">
        <v>0</v>
      </c>
      <c r="Y98" s="91">
        <f>_xlfn.XLOOKUP(H98,'[1]4G Parameters'!$G:$G,'[1]4G Parameters'!$AA:$AA)</f>
        <v/>
      </c>
      <c r="Z98" s="91" t="inlineStr">
        <is>
          <t>6T6R</t>
        </is>
      </c>
      <c r="AA98" s="91" t="inlineStr">
        <is>
          <t>4T4R</t>
        </is>
      </c>
      <c r="AB98" s="91" t="inlineStr">
        <is>
          <t>R9264H M901821*3</t>
        </is>
      </c>
      <c r="AC98" s="91" t="inlineStr">
        <is>
          <t>A9652 S35*3+R9264H M901821*3+R9254E S8500*2+FL8590A*3</t>
        </is>
      </c>
      <c r="AD98" s="91" t="inlineStr">
        <is>
          <t>AQU4518R9v06</t>
        </is>
      </c>
      <c r="AE98" s="91" t="n">
        <v>70</v>
      </c>
      <c r="AF98" s="91" t="n">
        <v>80</v>
      </c>
      <c r="AG98" s="91" t="n"/>
      <c r="AH98" s="91" t="n">
        <v>0</v>
      </c>
      <c r="AI98" s="91">
        <f>_xlfn.XLOOKUP(A98,'[2]177+10+50 Sites (detail)'!$B:$B,'[2]177+10+50 Sites (detail)'!$I:$I)</f>
        <v/>
      </c>
      <c r="AJ98" s="91">
        <f>_xlfn.XLOOKUP(A98,[3]最小距离站点!$A:$A,[3]最小距离站点!$B:$B)</f>
        <v/>
      </c>
      <c r="AK98" s="91">
        <f>_xlfn.XLOOKUP(A98,[3]最小距离站点!$A:$A,[3]最小距离站点!$C:$C)</f>
        <v/>
      </c>
      <c r="AL98" s="91" t="inlineStr">
        <is>
          <t>pilot'</t>
        </is>
      </c>
    </row>
    <row r="99" ht="15" customHeight="1" s="99">
      <c r="A99" t="inlineStr">
        <is>
          <t>GMTHI2</t>
        </is>
      </c>
      <c r="B99" t="inlineStr">
        <is>
          <t>GMTHI2_GUL00_Thihariya2_Gm</t>
        </is>
      </c>
      <c r="C99" s="89" t="inlineStr">
        <is>
          <t>Huawei</t>
        </is>
      </c>
      <c r="D99" s="91" t="inlineStr">
        <is>
          <t>无850</t>
        </is>
      </c>
      <c r="F99" t="n">
        <v>7.13409</v>
      </c>
      <c r="G99" t="n">
        <v>80.07980000000001</v>
      </c>
      <c r="H99" t="inlineStr">
        <is>
          <t>GMTHI2-M-L21-B2</t>
        </is>
      </c>
      <c r="J99" s="91" t="n"/>
      <c r="K99" t="inlineStr">
        <is>
          <t>S2</t>
        </is>
      </c>
      <c r="L99" t="inlineStr">
        <is>
          <t>4G</t>
        </is>
      </c>
      <c r="M99" t="n">
        <v>2100</v>
      </c>
      <c r="N99" s="93" t="inlineStr">
        <is>
          <t>AQU4518R9v06</t>
        </is>
      </c>
      <c r="O99" t="n">
        <v>70</v>
      </c>
      <c r="P99" t="n">
        <v>160</v>
      </c>
      <c r="R99" t="n">
        <v>0</v>
      </c>
      <c r="Y99" s="91">
        <f>_xlfn.XLOOKUP(H99,'[1]4G Parameters'!$G:$G,'[1]4G Parameters'!$AA:$AA)</f>
        <v/>
      </c>
      <c r="Z99" s="91" t="inlineStr">
        <is>
          <t>6T6R</t>
        </is>
      </c>
      <c r="AA99" s="91" t="inlineStr">
        <is>
          <t>4T4R</t>
        </is>
      </c>
      <c r="AB99" s="91" t="inlineStr">
        <is>
          <t>R9264H M901821*3</t>
        </is>
      </c>
      <c r="AC99" s="91" t="inlineStr">
        <is>
          <t>A9652 S35*3+R9264H M901821*3+R9254E S8500*2+FL8590A*3</t>
        </is>
      </c>
      <c r="AD99" s="91" t="inlineStr">
        <is>
          <t>AQU4518R9v06</t>
        </is>
      </c>
      <c r="AE99" s="91" t="n">
        <v>70</v>
      </c>
      <c r="AF99" s="91" t="n">
        <v>160</v>
      </c>
      <c r="AG99" s="91" t="n"/>
      <c r="AH99" s="91" t="n">
        <v>0</v>
      </c>
      <c r="AI99" s="91">
        <f>_xlfn.XLOOKUP(A99,'[2]177+10+50 Sites (detail)'!$B:$B,'[2]177+10+50 Sites (detail)'!$I:$I)</f>
        <v/>
      </c>
      <c r="AJ99" s="91">
        <f>_xlfn.XLOOKUP(A99,[3]最小距离站点!$A:$A,[3]最小距离站点!$B:$B)</f>
        <v/>
      </c>
      <c r="AK99" s="91">
        <f>_xlfn.XLOOKUP(A99,[3]最小距离站点!$A:$A,[3]最小距离站点!$C:$C)</f>
        <v/>
      </c>
      <c r="AL99" s="91" t="inlineStr">
        <is>
          <t>pilot'</t>
        </is>
      </c>
    </row>
    <row r="100" ht="15" customHeight="1" s="99">
      <c r="A100" t="inlineStr">
        <is>
          <t>GMTHI2</t>
        </is>
      </c>
      <c r="B100" t="inlineStr">
        <is>
          <t>GMTHI2_GUL00_Thihariya2_Gm</t>
        </is>
      </c>
      <c r="C100" s="89" t="inlineStr">
        <is>
          <t>Huawei</t>
        </is>
      </c>
      <c r="D100" s="91" t="inlineStr">
        <is>
          <t>无850</t>
        </is>
      </c>
      <c r="F100" t="n">
        <v>7.13409</v>
      </c>
      <c r="G100" t="n">
        <v>80.07980000000001</v>
      </c>
      <c r="H100" t="inlineStr">
        <is>
          <t>GMTHI2H</t>
        </is>
      </c>
      <c r="J100" s="91" t="n"/>
      <c r="K100" t="inlineStr">
        <is>
          <t>S2</t>
        </is>
      </c>
      <c r="L100" t="inlineStr">
        <is>
          <t>4G</t>
        </is>
      </c>
      <c r="M100" t="n">
        <v>1800</v>
      </c>
      <c r="N100" s="93" t="inlineStr">
        <is>
          <t>AQU4518R9v06</t>
        </is>
      </c>
      <c r="O100" t="n">
        <v>70</v>
      </c>
      <c r="P100" t="n">
        <v>160</v>
      </c>
      <c r="R100" t="n">
        <v>0</v>
      </c>
      <c r="Y100" s="91">
        <f>_xlfn.XLOOKUP(H100,'[1]4G Parameters'!$G:$G,'[1]4G Parameters'!$AA:$AA)</f>
        <v/>
      </c>
      <c r="Z100" s="91" t="inlineStr">
        <is>
          <t>6T6R</t>
        </is>
      </c>
      <c r="AA100" s="91" t="inlineStr">
        <is>
          <t>4T4R</t>
        </is>
      </c>
      <c r="AB100" s="91" t="inlineStr">
        <is>
          <t>R9264H M901821*3</t>
        </is>
      </c>
      <c r="AC100" s="91" t="inlineStr">
        <is>
          <t>A9652 S35*3+R9264H M901821*3+R9254E S8500*2+FL8590A*3</t>
        </is>
      </c>
      <c r="AD100" s="91" t="inlineStr">
        <is>
          <t>AQU4518R9v06</t>
        </is>
      </c>
      <c r="AE100" s="91" t="n">
        <v>70</v>
      </c>
      <c r="AF100" s="91" t="n">
        <v>160</v>
      </c>
      <c r="AG100" s="91" t="n"/>
      <c r="AH100" s="91" t="n">
        <v>0</v>
      </c>
      <c r="AI100" s="91">
        <f>_xlfn.XLOOKUP(A100,'[2]177+10+50 Sites (detail)'!$B:$B,'[2]177+10+50 Sites (detail)'!$I:$I)</f>
        <v/>
      </c>
      <c r="AJ100" s="91">
        <f>_xlfn.XLOOKUP(A100,[3]最小距离站点!$A:$A,[3]最小距离站点!$B:$B)</f>
        <v/>
      </c>
      <c r="AK100" s="91">
        <f>_xlfn.XLOOKUP(A100,[3]最小距离站点!$A:$A,[3]最小距离站点!$C:$C)</f>
        <v/>
      </c>
      <c r="AL100" s="91" t="inlineStr">
        <is>
          <t>pilot'</t>
        </is>
      </c>
    </row>
    <row r="101" ht="15" customHeight="1" s="99">
      <c r="A101" t="inlineStr">
        <is>
          <t>GMTHI2</t>
        </is>
      </c>
      <c r="B101" t="inlineStr">
        <is>
          <t>GMTHI2_GUL00_Thihariya2_Gm</t>
        </is>
      </c>
      <c r="C101" s="89" t="inlineStr">
        <is>
          <t>Huawei</t>
        </is>
      </c>
      <c r="D101" s="91" t="inlineStr">
        <is>
          <t>无850</t>
        </is>
      </c>
      <c r="F101" t="n">
        <v>7.13409</v>
      </c>
      <c r="G101" t="n">
        <v>80.07980000000001</v>
      </c>
      <c r="H101" t="inlineStr">
        <is>
          <t>GMTHI2-M-L21-C2</t>
        </is>
      </c>
      <c r="J101" s="91" t="n"/>
      <c r="K101" t="inlineStr">
        <is>
          <t>S3</t>
        </is>
      </c>
      <c r="L101" t="inlineStr">
        <is>
          <t>4G</t>
        </is>
      </c>
      <c r="M101" t="n">
        <v>2100</v>
      </c>
      <c r="N101" s="93" t="inlineStr">
        <is>
          <t>AQU4518R9v06</t>
        </is>
      </c>
      <c r="O101" t="n">
        <v>70</v>
      </c>
      <c r="P101" t="n">
        <v>305</v>
      </c>
      <c r="R101" t="n">
        <v>0</v>
      </c>
      <c r="Y101" s="91">
        <f>_xlfn.XLOOKUP(H101,'[1]4G Parameters'!$G:$G,'[1]4G Parameters'!$AA:$AA)</f>
        <v/>
      </c>
      <c r="Z101" s="91" t="inlineStr">
        <is>
          <t>6T6R</t>
        </is>
      </c>
      <c r="AA101" s="91" t="inlineStr">
        <is>
          <t>4T4R</t>
        </is>
      </c>
      <c r="AB101" s="91" t="inlineStr">
        <is>
          <t>R9264H M901821*3</t>
        </is>
      </c>
      <c r="AC101" s="91" t="inlineStr">
        <is>
          <t>A9652 S35*3+R9264H M901821*3+R9254E S8500*2+FL8590A*3</t>
        </is>
      </c>
      <c r="AD101" s="91" t="inlineStr">
        <is>
          <t>AQU4518R9v06</t>
        </is>
      </c>
      <c r="AE101" s="91" t="n">
        <v>70</v>
      </c>
      <c r="AF101" s="91" t="n">
        <v>305</v>
      </c>
      <c r="AG101" s="91" t="n"/>
      <c r="AH101" s="91" t="n">
        <v>0</v>
      </c>
      <c r="AI101" s="91">
        <f>_xlfn.XLOOKUP(A101,'[2]177+10+50 Sites (detail)'!$B:$B,'[2]177+10+50 Sites (detail)'!$I:$I)</f>
        <v/>
      </c>
      <c r="AJ101" s="91">
        <f>_xlfn.XLOOKUP(A101,[3]最小距离站点!$A:$A,[3]最小距离站点!$B:$B)</f>
        <v/>
      </c>
      <c r="AK101" s="91">
        <f>_xlfn.XLOOKUP(A101,[3]最小距离站点!$A:$A,[3]最小距离站点!$C:$C)</f>
        <v/>
      </c>
      <c r="AL101" s="91" t="inlineStr">
        <is>
          <t>pilot'</t>
        </is>
      </c>
    </row>
    <row r="102" ht="15" customHeight="1" s="99">
      <c r="A102" t="inlineStr">
        <is>
          <t>GMTHI2</t>
        </is>
      </c>
      <c r="B102" t="inlineStr">
        <is>
          <t>GMTHI2_GUL00_Thihariya2_Gm</t>
        </is>
      </c>
      <c r="C102" s="89" t="inlineStr">
        <is>
          <t>Huawei</t>
        </is>
      </c>
      <c r="D102" s="91" t="inlineStr">
        <is>
          <t>无850</t>
        </is>
      </c>
      <c r="F102" t="n">
        <v>7.13409</v>
      </c>
      <c r="G102" t="n">
        <v>80.07980000000001</v>
      </c>
      <c r="H102" t="inlineStr">
        <is>
          <t>GMTHI2I</t>
        </is>
      </c>
      <c r="J102" s="91" t="n"/>
      <c r="K102" t="inlineStr">
        <is>
          <t>S3</t>
        </is>
      </c>
      <c r="L102" t="inlineStr">
        <is>
          <t>4G</t>
        </is>
      </c>
      <c r="M102" t="n">
        <v>1800</v>
      </c>
      <c r="N102" s="93" t="inlineStr">
        <is>
          <t>AQU4518R9v06</t>
        </is>
      </c>
      <c r="O102" t="n">
        <v>70</v>
      </c>
      <c r="P102" t="n">
        <v>305</v>
      </c>
      <c r="R102" t="n">
        <v>0</v>
      </c>
      <c r="Y102" s="91">
        <f>_xlfn.XLOOKUP(H102,'[1]4G Parameters'!$G:$G,'[1]4G Parameters'!$AA:$AA)</f>
        <v/>
      </c>
      <c r="Z102" s="91" t="inlineStr">
        <is>
          <t>6T6R</t>
        </is>
      </c>
      <c r="AA102" s="91" t="inlineStr">
        <is>
          <t>4T4R</t>
        </is>
      </c>
      <c r="AB102" s="91" t="inlineStr">
        <is>
          <t>R9264H M901821*3</t>
        </is>
      </c>
      <c r="AC102" s="91" t="inlineStr">
        <is>
          <t>A9652 S35*3+R9264H M901821*3+R9254E S8500*2+FL8590A*3</t>
        </is>
      </c>
      <c r="AD102" s="91" t="inlineStr">
        <is>
          <t>AQU4518R9v06</t>
        </is>
      </c>
      <c r="AE102" s="91" t="n">
        <v>70</v>
      </c>
      <c r="AF102" s="91" t="n">
        <v>305</v>
      </c>
      <c r="AG102" s="91" t="n"/>
      <c r="AH102" s="91" t="n">
        <v>0</v>
      </c>
      <c r="AI102" s="91">
        <f>_xlfn.XLOOKUP(A102,'[2]177+10+50 Sites (detail)'!$B:$B,'[2]177+10+50 Sites (detail)'!$I:$I)</f>
        <v/>
      </c>
      <c r="AJ102" s="91">
        <f>_xlfn.XLOOKUP(A102,[3]最小距离站点!$A:$A,[3]最小距离站点!$B:$B)</f>
        <v/>
      </c>
      <c r="AK102" s="91">
        <f>_xlfn.XLOOKUP(A102,[3]最小距离站点!$A:$A,[3]最小距离站点!$C:$C)</f>
        <v/>
      </c>
      <c r="AL102" s="91" t="inlineStr">
        <is>
          <t>pilot'</t>
        </is>
      </c>
    </row>
    <row r="103" ht="15" customHeight="1" s="99">
      <c r="A103" t="inlineStr">
        <is>
          <t>GMUDM1</t>
        </is>
      </c>
      <c r="B103" t="inlineStr">
        <is>
          <t>GMUDM1_G_Udammita_89_Di</t>
        </is>
      </c>
      <c r="C103" s="89" t="inlineStr">
        <is>
          <t>Huawei</t>
        </is>
      </c>
      <c r="F103" t="n">
        <v>7.14889</v>
      </c>
      <c r="G103" t="n">
        <v>80.0774</v>
      </c>
      <c r="H103" t="inlineStr">
        <is>
          <t>GMUDM1A</t>
        </is>
      </c>
      <c r="J103" s="91" t="n"/>
      <c r="K103" t="inlineStr">
        <is>
          <t>S1</t>
        </is>
      </c>
      <c r="L103" t="inlineStr">
        <is>
          <t>2G</t>
        </is>
      </c>
      <c r="M103" t="n">
        <v>900</v>
      </c>
      <c r="N103" s="92" t="inlineStr">
        <is>
          <t>TBXLHA-6565C-VTM</t>
        </is>
      </c>
      <c r="O103" t="n">
        <v>0</v>
      </c>
      <c r="P103" t="n">
        <v>170</v>
      </c>
      <c r="R103" t="n">
        <v>2</v>
      </c>
      <c r="AA103" s="91" t="inlineStr">
        <is>
          <t>1T1R</t>
        </is>
      </c>
      <c r="AB103" s="91" t="inlineStr">
        <is>
          <t>R9264H M901821</t>
        </is>
      </c>
      <c r="AC103" s="91" t="inlineStr">
        <is>
          <t>A9652 S35*3+R9264H M901821*3+R9254E S8500*2+FL8590A*3</t>
        </is>
      </c>
      <c r="AD103" s="91" t="inlineStr">
        <is>
          <t>TBXLHA-6565C-VTM</t>
        </is>
      </c>
      <c r="AE103" s="91" t="n">
        <v>0</v>
      </c>
      <c r="AF103" s="91" t="n">
        <v>170</v>
      </c>
      <c r="AG103" s="91" t="n"/>
      <c r="AH103" s="91" t="n">
        <v>2</v>
      </c>
      <c r="AL103" s="91" t="inlineStr">
        <is>
          <t>pilot'</t>
        </is>
      </c>
    </row>
    <row r="104" ht="15" customHeight="1" s="99">
      <c r="A104" t="inlineStr">
        <is>
          <t>GMUDM1</t>
        </is>
      </c>
      <c r="B104" t="inlineStr">
        <is>
          <t>GMUDM1_G_Udammita_89_Di</t>
        </is>
      </c>
      <c r="C104" s="89" t="inlineStr">
        <is>
          <t>Huawei</t>
        </is>
      </c>
      <c r="F104" t="n">
        <v>7.14889</v>
      </c>
      <c r="G104" t="n">
        <v>80.0774</v>
      </c>
      <c r="H104" t="inlineStr">
        <is>
          <t>GMUDM1B</t>
        </is>
      </c>
      <c r="J104" s="91" t="n"/>
      <c r="K104" t="inlineStr">
        <is>
          <t>S2</t>
        </is>
      </c>
      <c r="L104" t="inlineStr">
        <is>
          <t>2G</t>
        </is>
      </c>
      <c r="M104" t="n">
        <v>900</v>
      </c>
      <c r="N104" s="92" t="inlineStr">
        <is>
          <t>TBXLHA-6565C-VTM</t>
        </is>
      </c>
      <c r="O104" t="n">
        <v>0</v>
      </c>
      <c r="P104" t="n">
        <v>250</v>
      </c>
      <c r="R104" t="n">
        <v>2</v>
      </c>
      <c r="AA104" s="91" t="inlineStr">
        <is>
          <t>1T1R</t>
        </is>
      </c>
      <c r="AB104" s="91" t="inlineStr">
        <is>
          <t>R9264H M901821</t>
        </is>
      </c>
      <c r="AC104" s="91" t="inlineStr">
        <is>
          <t>A9652 S35*3+R9264H M901821*3+R9254E S8500*2+FL8590A*3</t>
        </is>
      </c>
      <c r="AD104" s="91" t="inlineStr">
        <is>
          <t>TBXLHA-6565C-VTM</t>
        </is>
      </c>
      <c r="AE104" s="91" t="n">
        <v>0</v>
      </c>
      <c r="AF104" s="91" t="n">
        <v>250</v>
      </c>
      <c r="AG104" s="91" t="n"/>
      <c r="AH104" s="91" t="n">
        <v>2</v>
      </c>
      <c r="AL104" s="91" t="inlineStr">
        <is>
          <t>pilot'</t>
        </is>
      </c>
    </row>
    <row r="105" ht="15" customHeight="1" s="99">
      <c r="A105" t="inlineStr">
        <is>
          <t>GMUDM1</t>
        </is>
      </c>
      <c r="B105" t="inlineStr">
        <is>
          <t>GMUDM1_G_Udammita_89_Di</t>
        </is>
      </c>
      <c r="C105" s="89" t="inlineStr">
        <is>
          <t>Huawei</t>
        </is>
      </c>
      <c r="F105" t="n">
        <v>7.14889</v>
      </c>
      <c r="G105" t="n">
        <v>80.0774</v>
      </c>
      <c r="H105" t="inlineStr">
        <is>
          <t>GMUDM1C</t>
        </is>
      </c>
      <c r="J105" s="91" t="n"/>
      <c r="K105" t="inlineStr">
        <is>
          <t>S3</t>
        </is>
      </c>
      <c r="L105" t="inlineStr">
        <is>
          <t>2G</t>
        </is>
      </c>
      <c r="M105" t="n">
        <v>900</v>
      </c>
      <c r="N105" s="92" t="inlineStr">
        <is>
          <t>TBXLHA-6565C-VTM</t>
        </is>
      </c>
      <c r="O105" t="n">
        <v>0</v>
      </c>
      <c r="P105" t="n">
        <v>340</v>
      </c>
      <c r="R105" t="n">
        <v>2</v>
      </c>
      <c r="AA105" s="91" t="inlineStr">
        <is>
          <t>1T1R</t>
        </is>
      </c>
      <c r="AB105" s="91" t="inlineStr">
        <is>
          <t>R9264H M901821</t>
        </is>
      </c>
      <c r="AC105" s="91" t="inlineStr">
        <is>
          <t>A9652 S35*3+R9264H M901821*3+R9254E S8500*2+FL8590A*3</t>
        </is>
      </c>
      <c r="AD105" s="91" t="inlineStr">
        <is>
          <t>TBXLHA-6565C-VTM</t>
        </is>
      </c>
      <c r="AE105" s="91" t="n">
        <v>0</v>
      </c>
      <c r="AF105" s="91" t="n">
        <v>340</v>
      </c>
      <c r="AG105" s="91" t="n"/>
      <c r="AH105" s="91" t="n">
        <v>2</v>
      </c>
      <c r="AL105" s="91" t="inlineStr">
        <is>
          <t>pilot'</t>
        </is>
      </c>
    </row>
    <row r="106" ht="15" customHeight="1" s="99">
      <c r="A106" t="inlineStr">
        <is>
          <t>GMUDM1</t>
        </is>
      </c>
      <c r="B106" t="inlineStr">
        <is>
          <t>GMUDM1_GUL00_Udammita_TXD_Di</t>
        </is>
      </c>
      <c r="C106" s="89" t="inlineStr">
        <is>
          <t>Huawei</t>
        </is>
      </c>
      <c r="F106" t="n">
        <v>7.14889</v>
      </c>
      <c r="G106" t="n">
        <v>80.0774</v>
      </c>
      <c r="H106" t="inlineStr">
        <is>
          <t>GMUDM1-M-L21-A2</t>
        </is>
      </c>
      <c r="J106" s="91" t="n"/>
      <c r="K106" t="inlineStr">
        <is>
          <t>S1</t>
        </is>
      </c>
      <c r="L106" t="inlineStr">
        <is>
          <t>4G</t>
        </is>
      </c>
      <c r="M106" t="n">
        <v>2100</v>
      </c>
      <c r="N106" s="92" t="inlineStr">
        <is>
          <t>TBXLHA-6565C-VTM</t>
        </is>
      </c>
      <c r="O106" t="n">
        <v>40</v>
      </c>
      <c r="P106" t="n">
        <v>170</v>
      </c>
      <c r="R106" t="n">
        <v>0</v>
      </c>
      <c r="Y106" s="91">
        <f>_xlfn.XLOOKUP(H106,'[1]4G Parameters'!$G:$G,'[1]4G Parameters'!$AA:$AA)</f>
        <v/>
      </c>
      <c r="AA106" s="91" t="inlineStr">
        <is>
          <t>4T4R</t>
        </is>
      </c>
      <c r="AB106" s="91" t="inlineStr">
        <is>
          <t>R9264H M901821</t>
        </is>
      </c>
      <c r="AC106" s="91" t="inlineStr">
        <is>
          <t>A9652 S35*3+R9264H M901821*3+R9254E S8500*2+FL8590A*3</t>
        </is>
      </c>
      <c r="AD106" s="91" t="inlineStr">
        <is>
          <t>TBXLHA-6565C-VTM</t>
        </is>
      </c>
      <c r="AE106" s="91" t="n">
        <v>40</v>
      </c>
      <c r="AF106" s="91" t="n">
        <v>170</v>
      </c>
      <c r="AG106" s="91" t="n"/>
      <c r="AH106" s="91" t="n">
        <v>0</v>
      </c>
      <c r="AI106" s="91">
        <f>_xlfn.XLOOKUP(A106,'[2]177+10+50 Sites (detail)'!$B:$B,'[2]177+10+50 Sites (detail)'!$I:$I)</f>
        <v/>
      </c>
      <c r="AJ106" s="91">
        <f>_xlfn.XLOOKUP(A106,[3]最小距离站点!$A:$A,[3]最小距离站点!$B:$B)</f>
        <v/>
      </c>
      <c r="AK106" s="91">
        <f>_xlfn.XLOOKUP(A106,[3]最小距离站点!$A:$A,[3]最小距离站点!$C:$C)</f>
        <v/>
      </c>
      <c r="AL106" s="91" t="inlineStr">
        <is>
          <t>pilot'</t>
        </is>
      </c>
    </row>
    <row r="107" ht="15" customHeight="1" s="99">
      <c r="A107" t="inlineStr">
        <is>
          <t>GMUDM1</t>
        </is>
      </c>
      <c r="B107" t="inlineStr">
        <is>
          <t>GMUDM1_GUL00_Udammita_TXD_Di</t>
        </is>
      </c>
      <c r="C107" s="89" t="inlineStr">
        <is>
          <t>Huawei</t>
        </is>
      </c>
      <c r="F107" t="n">
        <v>7.14889</v>
      </c>
      <c r="G107" t="n">
        <v>80.0774</v>
      </c>
      <c r="H107" t="inlineStr">
        <is>
          <t>GMUDM1G</t>
        </is>
      </c>
      <c r="J107" s="91" t="n"/>
      <c r="K107" t="inlineStr">
        <is>
          <t>S1</t>
        </is>
      </c>
      <c r="L107" t="inlineStr">
        <is>
          <t>4G</t>
        </is>
      </c>
      <c r="M107" t="n">
        <v>1800</v>
      </c>
      <c r="N107" s="92" t="inlineStr">
        <is>
          <t>TBXLHA-6565C-VTM</t>
        </is>
      </c>
      <c r="O107" t="n">
        <v>40</v>
      </c>
      <c r="P107" t="n">
        <v>170</v>
      </c>
      <c r="R107" t="n">
        <v>0</v>
      </c>
      <c r="Y107" s="91">
        <f>_xlfn.XLOOKUP(H107,'[1]4G Parameters'!$G:$G,'[1]4G Parameters'!$AA:$AA)</f>
        <v/>
      </c>
      <c r="AA107" s="91" t="inlineStr">
        <is>
          <t>4T4R</t>
        </is>
      </c>
      <c r="AB107" s="91" t="inlineStr">
        <is>
          <t>R9264H M901821</t>
        </is>
      </c>
      <c r="AC107" s="91" t="inlineStr">
        <is>
          <t>A9652 S35*3+R9264H M901821*3+R9254E S8500*2+FL8590A*3</t>
        </is>
      </c>
      <c r="AD107" s="91" t="inlineStr">
        <is>
          <t>TBXLHA-6565C-VTM</t>
        </is>
      </c>
      <c r="AE107" s="91" t="n">
        <v>40</v>
      </c>
      <c r="AF107" s="91" t="n">
        <v>170</v>
      </c>
      <c r="AG107" s="91" t="n"/>
      <c r="AH107" s="91" t="n">
        <v>0</v>
      </c>
      <c r="AI107" s="91">
        <f>_xlfn.XLOOKUP(A107,'[2]177+10+50 Sites (detail)'!$B:$B,'[2]177+10+50 Sites (detail)'!$I:$I)</f>
        <v/>
      </c>
      <c r="AJ107" s="91">
        <f>_xlfn.XLOOKUP(A107,[3]最小距离站点!$A:$A,[3]最小距离站点!$B:$B)</f>
        <v/>
      </c>
      <c r="AK107" s="91">
        <f>_xlfn.XLOOKUP(A107,[3]最小距离站点!$A:$A,[3]最小距离站点!$C:$C)</f>
        <v/>
      </c>
      <c r="AL107" s="91" t="inlineStr">
        <is>
          <t>pilot'</t>
        </is>
      </c>
    </row>
    <row r="108" ht="15" customHeight="1" s="99">
      <c r="A108" t="inlineStr">
        <is>
          <t>GMUDM1</t>
        </is>
      </c>
      <c r="B108" t="inlineStr">
        <is>
          <t>GMUDM1_GUL00_Udammita_TXD_Di</t>
        </is>
      </c>
      <c r="C108" s="89" t="inlineStr">
        <is>
          <t>Huawei</t>
        </is>
      </c>
      <c r="F108" t="n">
        <v>7.14889</v>
      </c>
      <c r="G108" t="n">
        <v>80.0774</v>
      </c>
      <c r="H108" t="inlineStr">
        <is>
          <t>GMUDM1-M-L85-A1</t>
        </is>
      </c>
      <c r="J108" s="91" t="n"/>
      <c r="K108" t="inlineStr">
        <is>
          <t>S1</t>
        </is>
      </c>
      <c r="L108" t="inlineStr">
        <is>
          <t>4G</t>
        </is>
      </c>
      <c r="M108" t="n">
        <v>850</v>
      </c>
      <c r="N108" s="92" t="inlineStr">
        <is>
          <t>TBXLHA-6565C-VTM</t>
        </is>
      </c>
      <c r="O108" t="n">
        <v>40</v>
      </c>
      <c r="P108" t="n">
        <v>170</v>
      </c>
      <c r="R108" t="n">
        <v>0</v>
      </c>
      <c r="Y108" s="91">
        <f>_xlfn.XLOOKUP(H108,'[1]4G Parameters'!$G:$G,'[1]4G Parameters'!$AA:$AA)</f>
        <v/>
      </c>
      <c r="AA108" s="91" t="inlineStr">
        <is>
          <t>2T2R</t>
        </is>
      </c>
      <c r="AB108" s="91" t="inlineStr">
        <is>
          <t>R9254E S8500</t>
        </is>
      </c>
      <c r="AC108" s="91" t="inlineStr">
        <is>
          <t>A9652 S35*3+R9264H M901821*3+R9254E S8500*2+FL8590A*3</t>
        </is>
      </c>
      <c r="AD108" s="91" t="inlineStr">
        <is>
          <t>TBXLHA-6565C-VTM</t>
        </is>
      </c>
      <c r="AE108" s="91" t="n">
        <v>40</v>
      </c>
      <c r="AF108" s="91" t="n">
        <v>170</v>
      </c>
      <c r="AG108" s="91" t="n"/>
      <c r="AH108" s="91" t="n">
        <v>0</v>
      </c>
      <c r="AI108" s="91">
        <f>_xlfn.XLOOKUP(A108,'[2]177+10+50 Sites (detail)'!$B:$B,'[2]177+10+50 Sites (detail)'!$I:$I)</f>
        <v/>
      </c>
      <c r="AJ108" s="91">
        <f>_xlfn.XLOOKUP(A108,[3]最小距离站点!$A:$A,[3]最小距离站点!$B:$B)</f>
        <v/>
      </c>
      <c r="AK108" s="91">
        <f>_xlfn.XLOOKUP(A108,[3]最小距离站点!$A:$A,[3]最小距离站点!$C:$C)</f>
        <v/>
      </c>
      <c r="AL108" s="91" t="inlineStr">
        <is>
          <t>pilot'</t>
        </is>
      </c>
    </row>
    <row r="109" ht="15" customHeight="1" s="99">
      <c r="A109" t="inlineStr">
        <is>
          <t>GMUDM1</t>
        </is>
      </c>
      <c r="B109" t="inlineStr">
        <is>
          <t>GMUDM1_GUL00_Udammita_TXD_Di</t>
        </is>
      </c>
      <c r="C109" s="89" t="inlineStr">
        <is>
          <t>Huawei</t>
        </is>
      </c>
      <c r="F109" t="n">
        <v>7.14889</v>
      </c>
      <c r="G109" t="n">
        <v>80.0774</v>
      </c>
      <c r="H109" t="inlineStr">
        <is>
          <t>GMUDM1-M-L21-B2</t>
        </is>
      </c>
      <c r="J109" s="91" t="n"/>
      <c r="K109" t="inlineStr">
        <is>
          <t>S2</t>
        </is>
      </c>
      <c r="L109" t="inlineStr">
        <is>
          <t>4G</t>
        </is>
      </c>
      <c r="M109" t="n">
        <v>2100</v>
      </c>
      <c r="N109" s="92" t="inlineStr">
        <is>
          <t>TBXLHA-6565C-VTM</t>
        </is>
      </c>
      <c r="O109" t="n">
        <v>40</v>
      </c>
      <c r="P109" t="n">
        <v>250</v>
      </c>
      <c r="R109" t="n">
        <v>0</v>
      </c>
      <c r="Y109" s="91">
        <f>_xlfn.XLOOKUP(H109,'[1]4G Parameters'!$G:$G,'[1]4G Parameters'!$AA:$AA)</f>
        <v/>
      </c>
      <c r="AA109" s="91" t="inlineStr">
        <is>
          <t>4T4R</t>
        </is>
      </c>
      <c r="AB109" s="91" t="inlineStr">
        <is>
          <t>R9264H M901821</t>
        </is>
      </c>
      <c r="AC109" s="91" t="inlineStr">
        <is>
          <t>A9652 S35*3+R9264H M901821*3+R9254E S8500*2+FL8590A*3</t>
        </is>
      </c>
      <c r="AD109" s="91" t="inlineStr">
        <is>
          <t>TBXLHA-6565C-VTM</t>
        </is>
      </c>
      <c r="AE109" s="91" t="n">
        <v>40</v>
      </c>
      <c r="AF109" s="91" t="n">
        <v>250</v>
      </c>
      <c r="AG109" s="91" t="n"/>
      <c r="AH109" s="91" t="n">
        <v>0</v>
      </c>
      <c r="AI109" s="91">
        <f>_xlfn.XLOOKUP(A109,'[2]177+10+50 Sites (detail)'!$B:$B,'[2]177+10+50 Sites (detail)'!$I:$I)</f>
        <v/>
      </c>
      <c r="AJ109" s="91">
        <f>_xlfn.XLOOKUP(A109,[3]最小距离站点!$A:$A,[3]最小距离站点!$B:$B)</f>
        <v/>
      </c>
      <c r="AK109" s="91">
        <f>_xlfn.XLOOKUP(A109,[3]最小距离站点!$A:$A,[3]最小距离站点!$C:$C)</f>
        <v/>
      </c>
      <c r="AL109" s="91" t="inlineStr">
        <is>
          <t>pilot'</t>
        </is>
      </c>
    </row>
    <row r="110" ht="15" customHeight="1" s="99">
      <c r="A110" t="inlineStr">
        <is>
          <t>GMUDM1</t>
        </is>
      </c>
      <c r="B110" t="inlineStr">
        <is>
          <t>GMUDM1_GUL00_Udammita_TXD_Di</t>
        </is>
      </c>
      <c r="C110" s="89" t="inlineStr">
        <is>
          <t>Huawei</t>
        </is>
      </c>
      <c r="F110" t="n">
        <v>7.14889</v>
      </c>
      <c r="G110" t="n">
        <v>80.0774</v>
      </c>
      <c r="H110" t="inlineStr">
        <is>
          <t>GMUDM1H</t>
        </is>
      </c>
      <c r="J110" s="91" t="n"/>
      <c r="K110" t="inlineStr">
        <is>
          <t>S2</t>
        </is>
      </c>
      <c r="L110" t="inlineStr">
        <is>
          <t>4G</t>
        </is>
      </c>
      <c r="M110" t="n">
        <v>1800</v>
      </c>
      <c r="N110" s="92" t="inlineStr">
        <is>
          <t>TBXLHA-6565C-VTM</t>
        </is>
      </c>
      <c r="O110" t="n">
        <v>40</v>
      </c>
      <c r="P110" t="n">
        <v>250</v>
      </c>
      <c r="R110" t="n">
        <v>0</v>
      </c>
      <c r="Y110" s="91">
        <f>_xlfn.XLOOKUP(H110,'[1]4G Parameters'!$G:$G,'[1]4G Parameters'!$AA:$AA)</f>
        <v/>
      </c>
      <c r="AA110" s="91" t="inlineStr">
        <is>
          <t>4T4R</t>
        </is>
      </c>
      <c r="AB110" s="91" t="inlineStr">
        <is>
          <t>R9264H M901821</t>
        </is>
      </c>
      <c r="AC110" s="91" t="inlineStr">
        <is>
          <t>A9652 S35*3+R9264H M901821*3+R9254E S8500*2+FL8590A*3</t>
        </is>
      </c>
      <c r="AD110" s="91" t="inlineStr">
        <is>
          <t>TBXLHA-6565C-VTM</t>
        </is>
      </c>
      <c r="AE110" s="91" t="n">
        <v>40</v>
      </c>
      <c r="AF110" s="91" t="n">
        <v>250</v>
      </c>
      <c r="AG110" s="91" t="n"/>
      <c r="AH110" s="91" t="n">
        <v>0</v>
      </c>
      <c r="AI110" s="91">
        <f>_xlfn.XLOOKUP(A110,'[2]177+10+50 Sites (detail)'!$B:$B,'[2]177+10+50 Sites (detail)'!$I:$I)</f>
        <v/>
      </c>
      <c r="AJ110" s="91">
        <f>_xlfn.XLOOKUP(A110,[3]最小距离站点!$A:$A,[3]最小距离站点!$B:$B)</f>
        <v/>
      </c>
      <c r="AK110" s="91">
        <f>_xlfn.XLOOKUP(A110,[3]最小距离站点!$A:$A,[3]最小距离站点!$C:$C)</f>
        <v/>
      </c>
      <c r="AL110" s="91" t="inlineStr">
        <is>
          <t>pilot'</t>
        </is>
      </c>
    </row>
    <row r="111" ht="15" customHeight="1" s="99">
      <c r="A111" t="inlineStr">
        <is>
          <t>GMUDM1</t>
        </is>
      </c>
      <c r="B111" t="inlineStr">
        <is>
          <t>GMUDM1_GUL00_Udammita_TXD_Di</t>
        </is>
      </c>
      <c r="C111" s="89" t="inlineStr">
        <is>
          <t>Huawei</t>
        </is>
      </c>
      <c r="F111" t="n">
        <v>7.14889</v>
      </c>
      <c r="G111" t="n">
        <v>80.0774</v>
      </c>
      <c r="H111" t="inlineStr">
        <is>
          <t>GMUDM1-M-L85-B1</t>
        </is>
      </c>
      <c r="J111" s="91" t="n"/>
      <c r="K111" t="inlineStr">
        <is>
          <t>S2</t>
        </is>
      </c>
      <c r="L111" t="inlineStr">
        <is>
          <t>4G</t>
        </is>
      </c>
      <c r="M111" t="n">
        <v>850</v>
      </c>
      <c r="N111" s="92" t="inlineStr">
        <is>
          <t>TBXLHA-6565C-VTM</t>
        </is>
      </c>
      <c r="O111" t="n">
        <v>40</v>
      </c>
      <c r="P111" t="n">
        <v>250</v>
      </c>
      <c r="R111" t="n">
        <v>0</v>
      </c>
      <c r="Y111" s="91">
        <f>_xlfn.XLOOKUP(H111,'[1]4G Parameters'!$G:$G,'[1]4G Parameters'!$AA:$AA)</f>
        <v/>
      </c>
      <c r="AA111" s="91" t="inlineStr">
        <is>
          <t>2T2R</t>
        </is>
      </c>
      <c r="AB111" s="91" t="inlineStr">
        <is>
          <t>R9254E S8500</t>
        </is>
      </c>
      <c r="AC111" s="91" t="inlineStr">
        <is>
          <t>A9652 S35*3+R9264H M901821*3+R9254E S8500*2+FL8590A*3</t>
        </is>
      </c>
      <c r="AD111" s="91" t="inlineStr">
        <is>
          <t>TBXLHA-6565C-VTM</t>
        </is>
      </c>
      <c r="AE111" s="91" t="n">
        <v>40</v>
      </c>
      <c r="AF111" s="91" t="n">
        <v>250</v>
      </c>
      <c r="AG111" s="91" t="n"/>
      <c r="AH111" s="91" t="n">
        <v>0</v>
      </c>
      <c r="AI111" s="91">
        <f>_xlfn.XLOOKUP(A111,'[2]177+10+50 Sites (detail)'!$B:$B,'[2]177+10+50 Sites (detail)'!$I:$I)</f>
        <v/>
      </c>
      <c r="AJ111" s="91">
        <f>_xlfn.XLOOKUP(A111,[3]最小距离站点!$A:$A,[3]最小距离站点!$B:$B)</f>
        <v/>
      </c>
      <c r="AK111" s="91">
        <f>_xlfn.XLOOKUP(A111,[3]最小距离站点!$A:$A,[3]最小距离站点!$C:$C)</f>
        <v/>
      </c>
      <c r="AL111" s="91" t="inlineStr">
        <is>
          <t>pilot'</t>
        </is>
      </c>
    </row>
    <row r="112" ht="15" customHeight="1" s="99">
      <c r="A112" t="inlineStr">
        <is>
          <t>GMUDM1</t>
        </is>
      </c>
      <c r="B112" t="inlineStr">
        <is>
          <t>GMUDM1_GUL00_Udammita_TXD_Di</t>
        </is>
      </c>
      <c r="C112" s="89" t="inlineStr">
        <is>
          <t>Huawei</t>
        </is>
      </c>
      <c r="F112" t="n">
        <v>7.14889</v>
      </c>
      <c r="G112" t="n">
        <v>80.0774</v>
      </c>
      <c r="H112" t="inlineStr">
        <is>
          <t>GMUDM1-M-L21-C2</t>
        </is>
      </c>
      <c r="J112" s="91" t="n"/>
      <c r="K112" t="inlineStr">
        <is>
          <t>S3</t>
        </is>
      </c>
      <c r="L112" t="inlineStr">
        <is>
          <t>4G</t>
        </is>
      </c>
      <c r="M112" t="n">
        <v>2100</v>
      </c>
      <c r="N112" s="92" t="inlineStr">
        <is>
          <t>TBXLHA-6565C-VTM</t>
        </is>
      </c>
      <c r="O112" t="n">
        <v>40</v>
      </c>
      <c r="P112" t="n">
        <v>340</v>
      </c>
      <c r="R112" t="n">
        <v>0</v>
      </c>
      <c r="Y112" s="91">
        <f>_xlfn.XLOOKUP(H112,'[1]4G Parameters'!$G:$G,'[1]4G Parameters'!$AA:$AA)</f>
        <v/>
      </c>
      <c r="AA112" s="91" t="inlineStr">
        <is>
          <t>4T4R</t>
        </is>
      </c>
      <c r="AB112" s="91" t="inlineStr">
        <is>
          <t>R9264H M901821</t>
        </is>
      </c>
      <c r="AC112" s="91" t="inlineStr">
        <is>
          <t>A9652 S35*3+R9264H M901821*3+R9254E S8500*2+FL8590A*3</t>
        </is>
      </c>
      <c r="AD112" s="91" t="inlineStr">
        <is>
          <t>TBXLHA-6565C-VTM</t>
        </is>
      </c>
      <c r="AE112" s="91" t="n">
        <v>40</v>
      </c>
      <c r="AF112" s="91" t="n">
        <v>340</v>
      </c>
      <c r="AG112" s="91" t="n"/>
      <c r="AH112" s="91" t="n">
        <v>0</v>
      </c>
      <c r="AI112" s="91">
        <f>_xlfn.XLOOKUP(A112,'[2]177+10+50 Sites (detail)'!$B:$B,'[2]177+10+50 Sites (detail)'!$I:$I)</f>
        <v/>
      </c>
      <c r="AJ112" s="91">
        <f>_xlfn.XLOOKUP(A112,[3]最小距离站点!$A:$A,[3]最小距离站点!$B:$B)</f>
        <v/>
      </c>
      <c r="AK112" s="91">
        <f>_xlfn.XLOOKUP(A112,[3]最小距离站点!$A:$A,[3]最小距离站点!$C:$C)</f>
        <v/>
      </c>
      <c r="AL112" s="91" t="inlineStr">
        <is>
          <t>pilot'</t>
        </is>
      </c>
    </row>
    <row r="113" ht="15" customHeight="1" s="99">
      <c r="A113" t="inlineStr">
        <is>
          <t>GMUDM1</t>
        </is>
      </c>
      <c r="B113" t="inlineStr">
        <is>
          <t>GMUDM1_GUL00_Udammita_TXD_Di</t>
        </is>
      </c>
      <c r="C113" s="89" t="inlineStr">
        <is>
          <t>Huawei</t>
        </is>
      </c>
      <c r="F113" t="n">
        <v>7.14889</v>
      </c>
      <c r="G113" t="n">
        <v>80.0774</v>
      </c>
      <c r="H113" t="inlineStr">
        <is>
          <t>GMUDM1I</t>
        </is>
      </c>
      <c r="J113" s="91" t="n"/>
      <c r="K113" t="inlineStr">
        <is>
          <t>S3</t>
        </is>
      </c>
      <c r="L113" t="inlineStr">
        <is>
          <t>4G</t>
        </is>
      </c>
      <c r="M113" t="n">
        <v>1800</v>
      </c>
      <c r="N113" s="92" t="inlineStr">
        <is>
          <t>TBXLHA-6565C-VTM</t>
        </is>
      </c>
      <c r="O113" t="n">
        <v>40</v>
      </c>
      <c r="P113" t="n">
        <v>340</v>
      </c>
      <c r="R113" t="n">
        <v>0</v>
      </c>
      <c r="Y113" s="91">
        <f>_xlfn.XLOOKUP(H113,'[1]4G Parameters'!$G:$G,'[1]4G Parameters'!$AA:$AA)</f>
        <v/>
      </c>
      <c r="AA113" s="91" t="inlineStr">
        <is>
          <t>4T4R</t>
        </is>
      </c>
      <c r="AB113" s="91" t="inlineStr">
        <is>
          <t>R9264H M901821</t>
        </is>
      </c>
      <c r="AC113" s="91" t="inlineStr">
        <is>
          <t>A9652 S35*3+R9264H M901821*3+R9254E S8500*2+FL8590A*3</t>
        </is>
      </c>
      <c r="AD113" s="91" t="inlineStr">
        <is>
          <t>TBXLHA-6565C-VTM</t>
        </is>
      </c>
      <c r="AE113" s="91" t="n">
        <v>40</v>
      </c>
      <c r="AF113" s="91" t="n">
        <v>340</v>
      </c>
      <c r="AG113" s="91" t="n"/>
      <c r="AH113" s="91" t="n">
        <v>0</v>
      </c>
      <c r="AI113" s="91">
        <f>_xlfn.XLOOKUP(A113,'[2]177+10+50 Sites (detail)'!$B:$B,'[2]177+10+50 Sites (detail)'!$I:$I)</f>
        <v/>
      </c>
      <c r="AJ113" s="91">
        <f>_xlfn.XLOOKUP(A113,[3]最小距离站点!$A:$A,[3]最小距离站点!$B:$B)</f>
        <v/>
      </c>
      <c r="AK113" s="91">
        <f>_xlfn.XLOOKUP(A113,[3]最小距离站点!$A:$A,[3]最小距离站点!$C:$C)</f>
        <v/>
      </c>
      <c r="AL113" s="91" t="inlineStr">
        <is>
          <t>pilot'</t>
        </is>
      </c>
    </row>
    <row r="114" ht="15" customHeight="1" s="99">
      <c r="A114" t="inlineStr">
        <is>
          <t>GMUDM1</t>
        </is>
      </c>
      <c r="B114" t="inlineStr">
        <is>
          <t>GMUDM1_GUL00_Udammita_TXD_Di</t>
        </is>
      </c>
      <c r="C114" s="89" t="inlineStr">
        <is>
          <t>Huawei</t>
        </is>
      </c>
      <c r="F114" t="n">
        <v>7.14889</v>
      </c>
      <c r="G114" t="n">
        <v>80.0774</v>
      </c>
      <c r="H114" t="inlineStr">
        <is>
          <t>GMUDM1-M-L85-C1</t>
        </is>
      </c>
      <c r="J114" s="91" t="n"/>
      <c r="K114" t="inlineStr">
        <is>
          <t>S3</t>
        </is>
      </c>
      <c r="L114" t="inlineStr">
        <is>
          <t>4G</t>
        </is>
      </c>
      <c r="M114" t="n">
        <v>850</v>
      </c>
      <c r="N114" s="92" t="inlineStr">
        <is>
          <t>TBXLHA-6565C-VTM</t>
        </is>
      </c>
      <c r="O114" t="n">
        <v>40</v>
      </c>
      <c r="P114" t="n">
        <v>340</v>
      </c>
      <c r="R114" t="n">
        <v>0</v>
      </c>
      <c r="Y114" s="91">
        <f>_xlfn.XLOOKUP(H114,'[1]4G Parameters'!$G:$G,'[1]4G Parameters'!$AA:$AA)</f>
        <v/>
      </c>
      <c r="AA114" s="91" t="inlineStr">
        <is>
          <t>2T2R</t>
        </is>
      </c>
      <c r="AB114" s="91" t="inlineStr">
        <is>
          <t>R9254E S8500</t>
        </is>
      </c>
      <c r="AC114" s="91" t="inlineStr">
        <is>
          <t>A9652 S35*3+R9264H M901821*3+R9254E S8500*2+FL8590A*3</t>
        </is>
      </c>
      <c r="AD114" s="91" t="inlineStr">
        <is>
          <t>TBXLHA-6565C-VTM</t>
        </is>
      </c>
      <c r="AE114" s="91" t="n">
        <v>40</v>
      </c>
      <c r="AF114" s="91" t="n">
        <v>340</v>
      </c>
      <c r="AG114" s="91" t="n"/>
      <c r="AH114" s="91" t="n">
        <v>0</v>
      </c>
      <c r="AI114" s="91">
        <f>_xlfn.XLOOKUP(A114,'[2]177+10+50 Sites (detail)'!$B:$B,'[2]177+10+50 Sites (detail)'!$I:$I)</f>
        <v/>
      </c>
      <c r="AJ114" s="91">
        <f>_xlfn.XLOOKUP(A114,[3]最小距离站点!$A:$A,[3]最小距离站点!$B:$B)</f>
        <v/>
      </c>
      <c r="AK114" s="91">
        <f>_xlfn.XLOOKUP(A114,[3]最小距离站点!$A:$A,[3]最小距离站点!$C:$C)</f>
        <v/>
      </c>
      <c r="AL114" s="91" t="inlineStr">
        <is>
          <t>pilot'</t>
        </is>
      </c>
    </row>
    <row r="115" ht="15" customHeight="1" s="99">
      <c r="A115" t="inlineStr">
        <is>
          <t>GMVEY1</t>
        </is>
      </c>
      <c r="B115" t="inlineStr">
        <is>
          <t>GMVEY1_G_Veyangoda__8L_XDi</t>
        </is>
      </c>
      <c r="C115" s="89" t="inlineStr">
        <is>
          <t>Huawei</t>
        </is>
      </c>
      <c r="F115" t="n">
        <v>7.15555</v>
      </c>
      <c r="G115" t="n">
        <v>80.057</v>
      </c>
      <c r="H115" t="inlineStr">
        <is>
          <t>GMVEY1P</t>
        </is>
      </c>
      <c r="J115" s="91" t="n"/>
      <c r="K115" t="inlineStr">
        <is>
          <t>S1</t>
        </is>
      </c>
      <c r="L115" t="inlineStr">
        <is>
          <t>2G</t>
        </is>
      </c>
      <c r="M115" t="n">
        <v>1800</v>
      </c>
      <c r="N115" s="92" t="inlineStr">
        <is>
          <t>AMB4519R6v06</t>
        </is>
      </c>
      <c r="O115" t="n">
        <v>60</v>
      </c>
      <c r="P115" t="n">
        <v>10</v>
      </c>
      <c r="R115" t="n">
        <v>2</v>
      </c>
      <c r="AA115" s="91" t="inlineStr">
        <is>
          <t>1T1R</t>
        </is>
      </c>
      <c r="AB115" s="91" t="inlineStr">
        <is>
          <t>R9264H M901821</t>
        </is>
      </c>
      <c r="AC115" s="91" t="inlineStr">
        <is>
          <t>A9652 S35*3+R9264H M901821*3+R9254E S8500*2+R9264 M1821N*3+FL8590A*3</t>
        </is>
      </c>
      <c r="AD115" s="91" t="inlineStr">
        <is>
          <t>AMB4519R6v06</t>
        </is>
      </c>
      <c r="AE115" s="91" t="n">
        <v>60</v>
      </c>
      <c r="AF115" s="91" t="n">
        <v>10</v>
      </c>
      <c r="AG115" s="91" t="n"/>
      <c r="AH115" s="91" t="n">
        <v>2</v>
      </c>
      <c r="AL115" s="91" t="inlineStr">
        <is>
          <t>pilot'</t>
        </is>
      </c>
    </row>
    <row r="116" ht="15" customHeight="1" s="99">
      <c r="A116" t="inlineStr">
        <is>
          <t>GMVEY1</t>
        </is>
      </c>
      <c r="B116" t="inlineStr">
        <is>
          <t>GMVEY1_G_Veyangoda__8L_XDi</t>
        </is>
      </c>
      <c r="C116" s="89" t="inlineStr">
        <is>
          <t>Huawei</t>
        </is>
      </c>
      <c r="F116" t="n">
        <v>7.15555</v>
      </c>
      <c r="G116" t="n">
        <v>80.057</v>
      </c>
      <c r="H116" t="inlineStr">
        <is>
          <t>GMVEY1S</t>
        </is>
      </c>
      <c r="J116" s="91" t="n"/>
      <c r="K116" t="inlineStr">
        <is>
          <t>S1</t>
        </is>
      </c>
      <c r="L116" t="inlineStr">
        <is>
          <t>2G</t>
        </is>
      </c>
      <c r="M116" t="n">
        <v>1800</v>
      </c>
      <c r="N116" s="92" t="inlineStr">
        <is>
          <t>AMB4519R6v06</t>
        </is>
      </c>
      <c r="O116" t="n">
        <v>60</v>
      </c>
      <c r="P116" t="n">
        <v>10</v>
      </c>
      <c r="R116" t="n">
        <v>2</v>
      </c>
      <c r="AA116" s="91" t="inlineStr">
        <is>
          <t>1T1R</t>
        </is>
      </c>
      <c r="AB116" s="91" t="inlineStr">
        <is>
          <t>R9264 M1821N</t>
        </is>
      </c>
      <c r="AC116" s="91" t="inlineStr">
        <is>
          <t>A9652 S35*3+R9264H M901821*3+R9254E S8500*2+R9264 M1821N*3+FL8590A*3</t>
        </is>
      </c>
      <c r="AD116" s="91" t="inlineStr">
        <is>
          <t>AMB4519R6v06</t>
        </is>
      </c>
      <c r="AE116" s="91" t="n">
        <v>60</v>
      </c>
      <c r="AF116" s="91" t="n">
        <v>10</v>
      </c>
      <c r="AG116" s="91" t="n"/>
      <c r="AH116" s="91" t="n">
        <v>2</v>
      </c>
      <c r="AL116" s="91" t="inlineStr">
        <is>
          <t>pilot'</t>
        </is>
      </c>
    </row>
    <row r="117" ht="15" customHeight="1" s="99">
      <c r="A117" t="inlineStr">
        <is>
          <t>GMVEY1</t>
        </is>
      </c>
      <c r="B117" t="inlineStr">
        <is>
          <t>GMVEY1_G_Veyangoda__9_XDi</t>
        </is>
      </c>
      <c r="C117" s="89" t="inlineStr">
        <is>
          <t>Huawei</t>
        </is>
      </c>
      <c r="F117" t="n">
        <v>7.15555</v>
      </c>
      <c r="G117" t="n">
        <v>80.057</v>
      </c>
      <c r="H117" t="inlineStr">
        <is>
          <t>GMVEY1A</t>
        </is>
      </c>
      <c r="J117" s="91" t="n"/>
      <c r="K117" t="inlineStr">
        <is>
          <t>S1</t>
        </is>
      </c>
      <c r="L117" t="inlineStr">
        <is>
          <t>2G</t>
        </is>
      </c>
      <c r="M117" t="n">
        <v>900</v>
      </c>
      <c r="N117" s="92" t="inlineStr">
        <is>
          <t>AQU4518R9v06</t>
        </is>
      </c>
      <c r="O117" t="n">
        <v>60</v>
      </c>
      <c r="P117" t="n">
        <v>10</v>
      </c>
      <c r="R117" t="n">
        <v>2</v>
      </c>
      <c r="AA117" s="91" t="inlineStr">
        <is>
          <t>1T1R</t>
        </is>
      </c>
      <c r="AB117" s="91" t="inlineStr">
        <is>
          <t>R9264H M901821</t>
        </is>
      </c>
      <c r="AC117" s="91" t="inlineStr">
        <is>
          <t>A9652 S35*3+R9264H M901821*3+R9254E S8500*2+R9264 M1821N*3+FL8590A*3</t>
        </is>
      </c>
      <c r="AD117" s="91" t="inlineStr">
        <is>
          <t>AQU4518R9v06</t>
        </is>
      </c>
      <c r="AE117" s="91" t="n">
        <v>60</v>
      </c>
      <c r="AF117" s="91" t="n">
        <v>10</v>
      </c>
      <c r="AG117" s="91" t="n"/>
      <c r="AH117" s="91" t="n">
        <v>2</v>
      </c>
      <c r="AL117" s="91" t="inlineStr">
        <is>
          <t>pilot'</t>
        </is>
      </c>
    </row>
    <row r="118" ht="15" customHeight="1" s="99">
      <c r="A118" t="inlineStr">
        <is>
          <t>GMVEY1</t>
        </is>
      </c>
      <c r="B118" t="inlineStr">
        <is>
          <t>GMVEY1_G_Veyangoda__8L_XDi</t>
        </is>
      </c>
      <c r="C118" s="89" t="inlineStr">
        <is>
          <t>Huawei</t>
        </is>
      </c>
      <c r="F118" t="n">
        <v>7.15555</v>
      </c>
      <c r="G118" t="n">
        <v>80.057</v>
      </c>
      <c r="H118" t="inlineStr">
        <is>
          <t>GMVEY1Q</t>
        </is>
      </c>
      <c r="J118" s="91" t="n"/>
      <c r="K118" t="inlineStr">
        <is>
          <t>S2</t>
        </is>
      </c>
      <c r="L118" t="inlineStr">
        <is>
          <t>2G</t>
        </is>
      </c>
      <c r="M118" t="n">
        <v>1800</v>
      </c>
      <c r="N118" s="92" t="inlineStr">
        <is>
          <t>AMB4519R6v06</t>
        </is>
      </c>
      <c r="O118" t="n">
        <v>60</v>
      </c>
      <c r="P118" t="n">
        <v>140</v>
      </c>
      <c r="R118" t="n">
        <v>2</v>
      </c>
      <c r="AA118" s="91" t="inlineStr">
        <is>
          <t>1T1R</t>
        </is>
      </c>
      <c r="AB118" s="91" t="inlineStr">
        <is>
          <t>R9264H M901821</t>
        </is>
      </c>
      <c r="AC118" s="91" t="inlineStr">
        <is>
          <t>A9652 S35*3+R9264H M901821*3+R9254E S8500*2+R9264 M1821N*3+FL8590A*3</t>
        </is>
      </c>
      <c r="AD118" s="91" t="inlineStr">
        <is>
          <t>AMB4519R6v06</t>
        </is>
      </c>
      <c r="AE118" s="91" t="n">
        <v>60</v>
      </c>
      <c r="AF118" s="91" t="n">
        <v>140</v>
      </c>
      <c r="AG118" s="91" t="n"/>
      <c r="AH118" s="91" t="n">
        <v>2</v>
      </c>
      <c r="AL118" s="91" t="inlineStr">
        <is>
          <t>pilot'</t>
        </is>
      </c>
    </row>
    <row r="119" ht="15" customHeight="1" s="99">
      <c r="A119" t="inlineStr">
        <is>
          <t>GMVEY1</t>
        </is>
      </c>
      <c r="B119" t="inlineStr">
        <is>
          <t>GMVEY1_G_Veyangoda__8L_XDi</t>
        </is>
      </c>
      <c r="C119" s="89" t="inlineStr">
        <is>
          <t>Huawei</t>
        </is>
      </c>
      <c r="F119" t="n">
        <v>7.15555</v>
      </c>
      <c r="G119" t="n">
        <v>80.057</v>
      </c>
      <c r="I119" t="inlineStr">
        <is>
          <t>GMVEY1T</t>
        </is>
      </c>
      <c r="K119" t="inlineStr">
        <is>
          <t>S2</t>
        </is>
      </c>
      <c r="L119" t="inlineStr">
        <is>
          <t>2G</t>
        </is>
      </c>
      <c r="M119" t="n">
        <v>1800</v>
      </c>
      <c r="N119" s="92" t="inlineStr">
        <is>
          <t>AMB4519R6v06</t>
        </is>
      </c>
      <c r="O119" t="n">
        <v>60</v>
      </c>
      <c r="P119" t="n">
        <v>140</v>
      </c>
      <c r="R119" t="n">
        <v>2</v>
      </c>
      <c r="AA119" s="91" t="inlineStr">
        <is>
          <t>1T1R</t>
        </is>
      </c>
      <c r="AB119" s="91" t="inlineStr">
        <is>
          <t>R9264 M1821N</t>
        </is>
      </c>
      <c r="AC119" s="91" t="inlineStr">
        <is>
          <t>A9652 S35*3+R9264H M901821*3+R9254E S8500*2+R9264 M1821N*3+FL8590A*3</t>
        </is>
      </c>
      <c r="AD119" s="91" t="inlineStr">
        <is>
          <t>AMB4519R6v06</t>
        </is>
      </c>
      <c r="AE119" s="91" t="n">
        <v>60</v>
      </c>
      <c r="AF119" s="91" t="n">
        <v>140</v>
      </c>
      <c r="AG119" s="91" t="n"/>
      <c r="AH119" s="91" t="n">
        <v>2</v>
      </c>
      <c r="AL119" s="91" t="inlineStr">
        <is>
          <t>pilot'</t>
        </is>
      </c>
    </row>
    <row r="120" ht="15" customHeight="1" s="99">
      <c r="A120" t="inlineStr">
        <is>
          <t>GMVEY1</t>
        </is>
      </c>
      <c r="B120" t="inlineStr">
        <is>
          <t>GMVEY1_G_Veyangoda__9_XDi</t>
        </is>
      </c>
      <c r="C120" s="89" t="inlineStr">
        <is>
          <t>Huawei</t>
        </is>
      </c>
      <c r="F120" t="n">
        <v>7.15555</v>
      </c>
      <c r="G120" t="n">
        <v>80.057</v>
      </c>
      <c r="H120" t="inlineStr">
        <is>
          <t>GMVEY1B</t>
        </is>
      </c>
      <c r="J120" s="91" t="n"/>
      <c r="K120" t="inlineStr">
        <is>
          <t>S2</t>
        </is>
      </c>
      <c r="L120" t="inlineStr">
        <is>
          <t>2G</t>
        </is>
      </c>
      <c r="M120" t="n">
        <v>900</v>
      </c>
      <c r="N120" s="92" t="inlineStr">
        <is>
          <t>AQU4518R9v06</t>
        </is>
      </c>
      <c r="O120" t="n">
        <v>60</v>
      </c>
      <c r="P120" t="n">
        <v>140</v>
      </c>
      <c r="R120" t="n">
        <v>2</v>
      </c>
      <c r="AA120" s="91" t="inlineStr">
        <is>
          <t>1T1R</t>
        </is>
      </c>
      <c r="AB120" s="91" t="inlineStr">
        <is>
          <t>R9264H M901821</t>
        </is>
      </c>
      <c r="AC120" s="91" t="inlineStr">
        <is>
          <t>A9652 S35*3+R9264H M901821*3+R9254E S8500*2+R9264 M1821N*3+FL8590A*3</t>
        </is>
      </c>
      <c r="AD120" s="91" t="inlineStr">
        <is>
          <t>AQU4518R9v06</t>
        </is>
      </c>
      <c r="AE120" s="91" t="n">
        <v>60</v>
      </c>
      <c r="AF120" s="91" t="n">
        <v>140</v>
      </c>
      <c r="AG120" s="91" t="n"/>
      <c r="AH120" s="91" t="n">
        <v>2</v>
      </c>
      <c r="AL120" s="91" t="inlineStr">
        <is>
          <t>pilot'</t>
        </is>
      </c>
    </row>
    <row r="121" ht="15" customHeight="1" s="99">
      <c r="A121" t="inlineStr">
        <is>
          <t>GMVEY1</t>
        </is>
      </c>
      <c r="B121" t="inlineStr">
        <is>
          <t>GMVEY1_G_Veyangoda__8L_XDi</t>
        </is>
      </c>
      <c r="C121" s="89" t="inlineStr">
        <is>
          <t>Huawei</t>
        </is>
      </c>
      <c r="F121" t="n">
        <v>7.15555</v>
      </c>
      <c r="G121" t="n">
        <v>80.057</v>
      </c>
      <c r="H121" t="inlineStr">
        <is>
          <t>GMVEY1R</t>
        </is>
      </c>
      <c r="J121" s="91" t="n"/>
      <c r="K121" t="inlineStr">
        <is>
          <t>S3</t>
        </is>
      </c>
      <c r="L121" t="inlineStr">
        <is>
          <t>2G</t>
        </is>
      </c>
      <c r="M121" t="n">
        <v>1800</v>
      </c>
      <c r="N121" s="92" t="inlineStr">
        <is>
          <t>AQU4518R9v06</t>
        </is>
      </c>
      <c r="O121" t="n">
        <v>60</v>
      </c>
      <c r="P121" t="n">
        <v>280</v>
      </c>
      <c r="R121" t="n">
        <v>2</v>
      </c>
      <c r="AA121" s="91" t="inlineStr">
        <is>
          <t>1T1R</t>
        </is>
      </c>
      <c r="AB121" s="91" t="inlineStr">
        <is>
          <t>R9264H M901821</t>
        </is>
      </c>
      <c r="AC121" s="91" t="inlineStr">
        <is>
          <t>A9652 S35*3+R9264H M901821*3+R9254E S8500*2+R9264 M1821N*3+FL8590A*3</t>
        </is>
      </c>
      <c r="AD121" s="91" t="inlineStr">
        <is>
          <t>AQU4518R9v06</t>
        </is>
      </c>
      <c r="AE121" s="91" t="n">
        <v>60</v>
      </c>
      <c r="AF121" s="91" t="n">
        <v>280</v>
      </c>
      <c r="AG121" s="91" t="n"/>
      <c r="AH121" s="91" t="n">
        <v>2</v>
      </c>
      <c r="AL121" s="91" t="inlineStr">
        <is>
          <t>pilot'</t>
        </is>
      </c>
    </row>
    <row r="122" ht="15" customHeight="1" s="99">
      <c r="A122" t="inlineStr">
        <is>
          <t>GMVEY1</t>
        </is>
      </c>
      <c r="B122" t="inlineStr">
        <is>
          <t>GMVEY1_G_Veyangoda__9_XDi</t>
        </is>
      </c>
      <c r="C122" s="89" t="inlineStr">
        <is>
          <t>Huawei</t>
        </is>
      </c>
      <c r="F122" t="n">
        <v>7.15555</v>
      </c>
      <c r="G122" t="n">
        <v>80.057</v>
      </c>
      <c r="H122" t="inlineStr">
        <is>
          <t>GMVEY1C</t>
        </is>
      </c>
      <c r="J122" s="91" t="n"/>
      <c r="K122" t="inlineStr">
        <is>
          <t>S3</t>
        </is>
      </c>
      <c r="L122" t="inlineStr">
        <is>
          <t>2G</t>
        </is>
      </c>
      <c r="M122" t="n">
        <v>900</v>
      </c>
      <c r="N122" s="92" t="inlineStr">
        <is>
          <t>AQU4518R9v06</t>
        </is>
      </c>
      <c r="O122" t="n">
        <v>60</v>
      </c>
      <c r="P122" t="n">
        <v>280</v>
      </c>
      <c r="R122" t="n">
        <v>2</v>
      </c>
      <c r="AA122" s="91" t="inlineStr">
        <is>
          <t>1T1R</t>
        </is>
      </c>
      <c r="AB122" s="91" t="inlineStr">
        <is>
          <t>R9264H M901821</t>
        </is>
      </c>
      <c r="AC122" s="91" t="inlineStr">
        <is>
          <t>A9652 S35*3+R9264H M901821*3+R9254E S8500*2+R9264 M1821N*3+FL8590A*3</t>
        </is>
      </c>
      <c r="AD122" s="91" t="inlineStr">
        <is>
          <t>AQU4518R9v06</t>
        </is>
      </c>
      <c r="AE122" s="91" t="n">
        <v>60</v>
      </c>
      <c r="AF122" s="91" t="n">
        <v>280</v>
      </c>
      <c r="AG122" s="91" t="n"/>
      <c r="AH122" s="91" t="n">
        <v>2</v>
      </c>
      <c r="AL122" s="91" t="inlineStr">
        <is>
          <t>pilot'</t>
        </is>
      </c>
    </row>
    <row r="123" ht="15" customHeight="1" s="99">
      <c r="A123" t="inlineStr">
        <is>
          <t>GMVEY1</t>
        </is>
      </c>
      <c r="B123" t="inlineStr">
        <is>
          <t>GMVEY1_GUL00_Veyangoda_Slt_Di</t>
        </is>
      </c>
      <c r="C123" s="89" t="inlineStr">
        <is>
          <t>Huawei</t>
        </is>
      </c>
      <c r="F123" t="n">
        <v>7.15555</v>
      </c>
      <c r="G123" t="n">
        <v>80.057</v>
      </c>
      <c r="H123" t="inlineStr">
        <is>
          <t>GMVEY1-M-L21-A2</t>
        </is>
      </c>
      <c r="J123" s="91" t="n"/>
      <c r="K123" t="inlineStr">
        <is>
          <t>S1</t>
        </is>
      </c>
      <c r="L123" t="inlineStr">
        <is>
          <t>4G</t>
        </is>
      </c>
      <c r="M123" t="n">
        <v>2100</v>
      </c>
      <c r="N123" s="92" t="inlineStr">
        <is>
          <t>AMB4519R6v06</t>
        </is>
      </c>
      <c r="O123" t="n">
        <v>65</v>
      </c>
      <c r="P123" t="n">
        <v>10</v>
      </c>
      <c r="R123" t="n">
        <v>0</v>
      </c>
      <c r="Y123" s="91">
        <f>_xlfn.XLOOKUP(H123,'[1]4G Parameters'!$G:$G,'[1]4G Parameters'!$AA:$AA)</f>
        <v/>
      </c>
      <c r="Z123" s="91" t="inlineStr">
        <is>
          <t>4T4R</t>
        </is>
      </c>
      <c r="AA123" s="91" t="inlineStr">
        <is>
          <t>4T4R</t>
        </is>
      </c>
      <c r="AB123" s="91" t="inlineStr">
        <is>
          <t>R9264H M901821</t>
        </is>
      </c>
      <c r="AC123" s="91" t="inlineStr">
        <is>
          <t>A9652 S35*3+R9264H M901821*3+R9254E S8500*2+R9264 M1821N*3+FL8590A*3</t>
        </is>
      </c>
      <c r="AD123" s="91" t="inlineStr">
        <is>
          <t>AMB4519R6v06</t>
        </is>
      </c>
      <c r="AE123" s="91" t="n">
        <v>65</v>
      </c>
      <c r="AF123" s="91" t="n">
        <v>10</v>
      </c>
      <c r="AG123" s="91" t="n"/>
      <c r="AH123" s="91" t="n">
        <v>0</v>
      </c>
      <c r="AI123" s="91">
        <f>_xlfn.XLOOKUP(A123,'[2]177+10+50 Sites (detail)'!$B:$B,'[2]177+10+50 Sites (detail)'!$I:$I)</f>
        <v/>
      </c>
      <c r="AJ123" s="91">
        <f>_xlfn.XLOOKUP(A123,[3]最小距离站点!$A:$A,[3]最小距离站点!$B:$B)</f>
        <v/>
      </c>
      <c r="AK123" s="91">
        <f>_xlfn.XLOOKUP(A123,[3]最小距离站点!$A:$A,[3]最小距离站点!$C:$C)</f>
        <v/>
      </c>
      <c r="AL123" s="91" t="inlineStr">
        <is>
          <t>pilot'</t>
        </is>
      </c>
    </row>
    <row r="124" ht="15" customHeight="1" s="99">
      <c r="A124" t="inlineStr">
        <is>
          <t>GMVEY1</t>
        </is>
      </c>
      <c r="B124" t="inlineStr">
        <is>
          <t>GMVEY1_GUL00_Veyangoda_Slt_Di</t>
        </is>
      </c>
      <c r="C124" s="89" t="inlineStr">
        <is>
          <t>Huawei</t>
        </is>
      </c>
      <c r="F124" t="n">
        <v>7.15555</v>
      </c>
      <c r="G124" t="n">
        <v>80.057</v>
      </c>
      <c r="H124" t="inlineStr">
        <is>
          <t>GMVEY1-M-L21-A1</t>
        </is>
      </c>
      <c r="J124" s="91" t="n"/>
      <c r="K124" t="inlineStr">
        <is>
          <t>S1</t>
        </is>
      </c>
      <c r="L124" t="inlineStr">
        <is>
          <t>4G</t>
        </is>
      </c>
      <c r="M124" t="n">
        <v>2100</v>
      </c>
      <c r="N124" s="92" t="inlineStr">
        <is>
          <t>AMB4519R6v06</t>
        </is>
      </c>
      <c r="O124" t="n">
        <v>65</v>
      </c>
      <c r="P124" t="n">
        <v>10</v>
      </c>
      <c r="R124" t="n">
        <v>0</v>
      </c>
      <c r="Y124" s="91">
        <f>_xlfn.XLOOKUP(H124,'[1]4G Parameters'!$G:$G,'[1]4G Parameters'!$AA:$AA)</f>
        <v/>
      </c>
      <c r="Z124" s="91" t="inlineStr">
        <is>
          <t>4T4R</t>
        </is>
      </c>
      <c r="AA124" s="91" t="inlineStr">
        <is>
          <t>4T4R</t>
        </is>
      </c>
      <c r="AB124" s="91" t="inlineStr">
        <is>
          <t>R9264 M1821N</t>
        </is>
      </c>
      <c r="AC124" s="91" t="inlineStr">
        <is>
          <t>A9652 S35*3+R9264H M901821*3+R9254E S8500*2+R9264 M1821N*3+FL8590A*3</t>
        </is>
      </c>
      <c r="AD124" s="91" t="inlineStr">
        <is>
          <t>AMB4519R6v06</t>
        </is>
      </c>
      <c r="AE124" s="91" t="n">
        <v>65</v>
      </c>
      <c r="AF124" s="91" t="n">
        <v>10</v>
      </c>
      <c r="AG124" s="91" t="n"/>
      <c r="AH124" s="91" t="n">
        <v>0</v>
      </c>
      <c r="AI124" s="91">
        <f>_xlfn.XLOOKUP(A124,'[2]177+10+50 Sites (detail)'!$B:$B,'[2]177+10+50 Sites (detail)'!$I:$I)</f>
        <v/>
      </c>
      <c r="AJ124" s="91">
        <f>_xlfn.XLOOKUP(A124,[3]最小距离站点!$A:$A,[3]最小距离站点!$B:$B)</f>
        <v/>
      </c>
      <c r="AK124" s="91">
        <f>_xlfn.XLOOKUP(A124,[3]最小距离站点!$A:$A,[3]最小距离站点!$C:$C)</f>
        <v/>
      </c>
      <c r="AL124" s="91" t="inlineStr">
        <is>
          <t>pilot'</t>
        </is>
      </c>
    </row>
    <row r="125" ht="15" customHeight="1" s="99">
      <c r="A125" t="inlineStr">
        <is>
          <t>GMVEY1</t>
        </is>
      </c>
      <c r="B125" t="inlineStr">
        <is>
          <t>GMVEY1_GUL00_Veyangoda_Slt_Di</t>
        </is>
      </c>
      <c r="C125" s="89" t="inlineStr">
        <is>
          <t>Huawei</t>
        </is>
      </c>
      <c r="F125" t="n">
        <v>7.15555</v>
      </c>
      <c r="G125" t="n">
        <v>80.057</v>
      </c>
      <c r="H125" t="inlineStr">
        <is>
          <t>GMVEY1G</t>
        </is>
      </c>
      <c r="J125" s="91" t="n"/>
      <c r="K125" t="inlineStr">
        <is>
          <t>S1</t>
        </is>
      </c>
      <c r="L125" t="inlineStr">
        <is>
          <t>4G</t>
        </is>
      </c>
      <c r="M125" t="n">
        <v>1800</v>
      </c>
      <c r="N125" s="92" t="inlineStr">
        <is>
          <t>AMB4519R6v06</t>
        </is>
      </c>
      <c r="O125" t="n">
        <v>65</v>
      </c>
      <c r="P125" t="n">
        <v>10</v>
      </c>
      <c r="R125" t="n">
        <v>0</v>
      </c>
      <c r="Y125" s="91">
        <f>_xlfn.XLOOKUP(H125,'[1]4G Parameters'!$G:$G,'[1]4G Parameters'!$AA:$AA)</f>
        <v/>
      </c>
      <c r="Z125" s="91" t="inlineStr">
        <is>
          <t>4T4R</t>
        </is>
      </c>
      <c r="AA125" s="91" t="inlineStr">
        <is>
          <t>4T4R</t>
        </is>
      </c>
      <c r="AB125" s="91" t="inlineStr">
        <is>
          <t>R9264H M901821</t>
        </is>
      </c>
      <c r="AC125" s="91" t="inlineStr">
        <is>
          <t>A9652 S35*3+R9264H M901821*3+R9254E S8500*2+R9264 M1821N*3+FL8590A*3</t>
        </is>
      </c>
      <c r="AD125" s="91" t="inlineStr">
        <is>
          <t>AMB4519R6v06</t>
        </is>
      </c>
      <c r="AE125" s="91" t="n">
        <v>65</v>
      </c>
      <c r="AF125" s="91" t="n">
        <v>10</v>
      </c>
      <c r="AG125" s="91" t="n"/>
      <c r="AH125" s="91" t="n">
        <v>0</v>
      </c>
      <c r="AI125" s="91">
        <f>_xlfn.XLOOKUP(A125,'[2]177+10+50 Sites (detail)'!$B:$B,'[2]177+10+50 Sites (detail)'!$I:$I)</f>
        <v/>
      </c>
      <c r="AJ125" s="91">
        <f>_xlfn.XLOOKUP(A125,[3]最小距离站点!$A:$A,[3]最小距离站点!$B:$B)</f>
        <v/>
      </c>
      <c r="AK125" s="91">
        <f>_xlfn.XLOOKUP(A125,[3]最小距离站点!$A:$A,[3]最小距离站点!$C:$C)</f>
        <v/>
      </c>
      <c r="AL125" s="91" t="inlineStr">
        <is>
          <t>pilot'</t>
        </is>
      </c>
    </row>
    <row r="126" ht="15" customHeight="1" s="99">
      <c r="A126" t="inlineStr">
        <is>
          <t>GMVEY1</t>
        </is>
      </c>
      <c r="B126" t="inlineStr">
        <is>
          <t>GMVEY1_GUL00_Veyangoda_Slt_Di</t>
        </is>
      </c>
      <c r="C126" s="89" t="inlineStr">
        <is>
          <t>Huawei</t>
        </is>
      </c>
      <c r="F126" t="n">
        <v>7.15555</v>
      </c>
      <c r="G126" t="n">
        <v>80.057</v>
      </c>
      <c r="H126" t="inlineStr">
        <is>
          <t>GMVEY1-M-L18-A1</t>
        </is>
      </c>
      <c r="J126" s="91" t="n"/>
      <c r="K126" t="inlineStr">
        <is>
          <t>S1</t>
        </is>
      </c>
      <c r="L126" t="inlineStr">
        <is>
          <t>4G</t>
        </is>
      </c>
      <c r="M126" t="n">
        <v>1800</v>
      </c>
      <c r="N126" s="92" t="inlineStr">
        <is>
          <t>AMB4519R6v06</t>
        </is>
      </c>
      <c r="O126" t="n">
        <v>65</v>
      </c>
      <c r="P126" t="n">
        <v>10</v>
      </c>
      <c r="R126" t="n">
        <v>0</v>
      </c>
      <c r="Y126" s="91">
        <f>_xlfn.XLOOKUP(H126,'[1]4G Parameters'!$G:$G,'[1]4G Parameters'!$AA:$AA)</f>
        <v/>
      </c>
      <c r="Z126" s="91" t="inlineStr">
        <is>
          <t>4T4R</t>
        </is>
      </c>
      <c r="AA126" s="91" t="inlineStr">
        <is>
          <t>4T4R</t>
        </is>
      </c>
      <c r="AB126" s="91" t="inlineStr">
        <is>
          <t>R9264 M1821N</t>
        </is>
      </c>
      <c r="AC126" s="91" t="inlineStr">
        <is>
          <t>A9652 S35*3+R9264H M901821*3+R9254E S8500*2+R9264 M1821N*3+FL8590A*3</t>
        </is>
      </c>
      <c r="AD126" s="91" t="inlineStr">
        <is>
          <t>AMB4519R6v06</t>
        </is>
      </c>
      <c r="AE126" s="91" t="n">
        <v>65</v>
      </c>
      <c r="AF126" s="91" t="n">
        <v>10</v>
      </c>
      <c r="AG126" s="91" t="n"/>
      <c r="AH126" s="91" t="n">
        <v>0</v>
      </c>
      <c r="AI126" s="91">
        <f>_xlfn.XLOOKUP(A126,'[2]177+10+50 Sites (detail)'!$B:$B,'[2]177+10+50 Sites (detail)'!$I:$I)</f>
        <v/>
      </c>
      <c r="AJ126" s="91">
        <f>_xlfn.XLOOKUP(A126,[3]最小距离站点!$A:$A,[3]最小距离站点!$B:$B)</f>
        <v/>
      </c>
      <c r="AK126" s="91">
        <f>_xlfn.XLOOKUP(A126,[3]最小距离站点!$A:$A,[3]最小距离站点!$C:$C)</f>
        <v/>
      </c>
      <c r="AL126" s="91" t="inlineStr">
        <is>
          <t>pilot'</t>
        </is>
      </c>
    </row>
    <row r="127" ht="15" customHeight="1" s="99">
      <c r="A127" t="inlineStr">
        <is>
          <t>GMVEY1</t>
        </is>
      </c>
      <c r="B127" t="inlineStr">
        <is>
          <t>GMVEY1_GUL00_Veyangoda_Slt_Di</t>
        </is>
      </c>
      <c r="C127" s="89" t="inlineStr">
        <is>
          <t>Huawei</t>
        </is>
      </c>
      <c r="F127" t="n">
        <v>7.15555</v>
      </c>
      <c r="G127" t="n">
        <v>80.057</v>
      </c>
      <c r="H127" t="inlineStr">
        <is>
          <t>GMVEY1-M-L85-A1</t>
        </is>
      </c>
      <c r="J127" s="91" t="n"/>
      <c r="K127" t="inlineStr">
        <is>
          <t>S1</t>
        </is>
      </c>
      <c r="L127" t="inlineStr">
        <is>
          <t>4G</t>
        </is>
      </c>
      <c r="M127" t="n">
        <v>850</v>
      </c>
      <c r="N127" s="92" t="inlineStr">
        <is>
          <t>AQU4518R9v06</t>
        </is>
      </c>
      <c r="O127" t="n">
        <v>65</v>
      </c>
      <c r="P127" t="n">
        <v>10</v>
      </c>
      <c r="R127" t="n">
        <v>0</v>
      </c>
      <c r="Y127" s="91">
        <f>_xlfn.XLOOKUP(H127,'[1]4G Parameters'!$G:$G,'[1]4G Parameters'!$AA:$AA)</f>
        <v/>
      </c>
      <c r="Z127" s="91" t="inlineStr">
        <is>
          <t>2T2R</t>
        </is>
      </c>
      <c r="AA127" s="91" t="inlineStr">
        <is>
          <t>2T2R</t>
        </is>
      </c>
      <c r="AB127" s="91" t="inlineStr">
        <is>
          <t>R9254E S8500</t>
        </is>
      </c>
      <c r="AC127" s="91" t="inlineStr">
        <is>
          <t>A9652 S35*3+R9264H M901821*3+R9254E S8500*2+R9264 M1821N*3+FL8590A*3</t>
        </is>
      </c>
      <c r="AD127" s="91" t="inlineStr">
        <is>
          <t>AQU4518R9v06</t>
        </is>
      </c>
      <c r="AE127" s="91" t="n">
        <v>65</v>
      </c>
      <c r="AF127" s="91" t="n">
        <v>10</v>
      </c>
      <c r="AG127" s="91" t="n"/>
      <c r="AH127" s="91" t="n">
        <v>0</v>
      </c>
      <c r="AI127" s="91">
        <f>_xlfn.XLOOKUP(A127,'[2]177+10+50 Sites (detail)'!$B:$B,'[2]177+10+50 Sites (detail)'!$I:$I)</f>
        <v/>
      </c>
      <c r="AJ127" s="91">
        <f>_xlfn.XLOOKUP(A127,[3]最小距离站点!$A:$A,[3]最小距离站点!$B:$B)</f>
        <v/>
      </c>
      <c r="AK127" s="91">
        <f>_xlfn.XLOOKUP(A127,[3]最小距离站点!$A:$A,[3]最小距离站点!$C:$C)</f>
        <v/>
      </c>
      <c r="AL127" s="91" t="inlineStr">
        <is>
          <t>pilot'</t>
        </is>
      </c>
    </row>
    <row r="128" ht="15" customHeight="1" s="99">
      <c r="A128" t="inlineStr">
        <is>
          <t>GMVEY1</t>
        </is>
      </c>
      <c r="B128" t="inlineStr">
        <is>
          <t>GMVEY1_GUL00_Veyangoda_Slt_Di</t>
        </is>
      </c>
      <c r="C128" s="89" t="inlineStr">
        <is>
          <t>Huawei</t>
        </is>
      </c>
      <c r="F128" t="n">
        <v>7.15555</v>
      </c>
      <c r="G128" t="n">
        <v>80.057</v>
      </c>
      <c r="I128" t="inlineStr">
        <is>
          <t>GMVEY1-M-L21-H2</t>
        </is>
      </c>
      <c r="K128" t="inlineStr">
        <is>
          <t>S2</t>
        </is>
      </c>
      <c r="L128" t="inlineStr">
        <is>
          <t>4G</t>
        </is>
      </c>
      <c r="M128" t="n">
        <v>2100</v>
      </c>
      <c r="O128" t="n">
        <v>65</v>
      </c>
      <c r="P128" t="n">
        <v>140</v>
      </c>
      <c r="R128" t="n">
        <v>0</v>
      </c>
      <c r="AA128" s="91" t="inlineStr">
        <is>
          <t>4T4R</t>
        </is>
      </c>
      <c r="AB128" s="91" t="inlineStr">
        <is>
          <t>R9264H M901821</t>
        </is>
      </c>
      <c r="AC128" s="91" t="inlineStr">
        <is>
          <t>A9652 S35*3+R9264H M901821*3+R9254E S8500*2+R9264 M1821N*3+FL8590A*3</t>
        </is>
      </c>
      <c r="AD128" s="91" t="inlineStr">
        <is>
          <t>AMB4519R6v06</t>
        </is>
      </c>
      <c r="AE128" s="91" t="n">
        <v>65</v>
      </c>
      <c r="AF128" s="91" t="n">
        <v>140</v>
      </c>
      <c r="AG128" s="91" t="n"/>
      <c r="AH128" s="91" t="n">
        <v>0</v>
      </c>
      <c r="AI128" s="91">
        <f>_xlfn.XLOOKUP(A128,'[2]177+10+50 Sites (detail)'!$B:$B,'[2]177+10+50 Sites (detail)'!$I:$I)</f>
        <v/>
      </c>
      <c r="AJ128" s="91">
        <f>_xlfn.XLOOKUP(A128,[3]最小距离站点!$A:$A,[3]最小距离站点!$B:$B)</f>
        <v/>
      </c>
      <c r="AK128" s="91">
        <f>_xlfn.XLOOKUP(A128,[3]最小距离站点!$A:$A,[3]最小距离站点!$C:$C)</f>
        <v/>
      </c>
      <c r="AL128" s="91" t="inlineStr">
        <is>
          <t>pilot'</t>
        </is>
      </c>
    </row>
    <row r="129" ht="15" customHeight="1" s="99">
      <c r="A129" t="inlineStr">
        <is>
          <t>GMVEY1</t>
        </is>
      </c>
      <c r="B129" t="inlineStr">
        <is>
          <t>GMVEY1_GUL00_Veyangoda_Slt_Di</t>
        </is>
      </c>
      <c r="C129" s="89" t="inlineStr">
        <is>
          <t>Huawei</t>
        </is>
      </c>
      <c r="F129" t="n">
        <v>7.15555</v>
      </c>
      <c r="G129" t="n">
        <v>80.057</v>
      </c>
      <c r="H129" t="inlineStr">
        <is>
          <t>GMVEY1-M-L21-B2</t>
        </is>
      </c>
      <c r="J129" s="91" t="n"/>
      <c r="K129" t="inlineStr">
        <is>
          <t>S2</t>
        </is>
      </c>
      <c r="L129" t="inlineStr">
        <is>
          <t>4G</t>
        </is>
      </c>
      <c r="M129" t="n">
        <v>2100</v>
      </c>
      <c r="N129" s="92" t="inlineStr">
        <is>
          <t>AQU4518R9v06</t>
        </is>
      </c>
      <c r="O129" t="n">
        <v>65</v>
      </c>
      <c r="P129" t="n">
        <v>140</v>
      </c>
      <c r="R129" t="n">
        <v>0</v>
      </c>
      <c r="Y129" s="91">
        <f>_xlfn.XLOOKUP(H129,'[1]4G Parameters'!$G:$G,'[1]4G Parameters'!$AA:$AA)</f>
        <v/>
      </c>
      <c r="Z129" s="91" t="inlineStr">
        <is>
          <t>6T6R</t>
        </is>
      </c>
      <c r="AA129" s="91" t="inlineStr">
        <is>
          <t>4T4R</t>
        </is>
      </c>
      <c r="AB129" s="91" t="inlineStr">
        <is>
          <t>R9264 M1821N</t>
        </is>
      </c>
      <c r="AC129" s="91" t="inlineStr">
        <is>
          <t>A9652 S35*3+R9264H M901821*3+R9254E S8500*2+R9264 M1821N*3+FL8590A*3</t>
        </is>
      </c>
      <c r="AD129" s="91" t="inlineStr">
        <is>
          <t>AMB4519R6v06</t>
        </is>
      </c>
      <c r="AE129" s="91" t="n">
        <v>65</v>
      </c>
      <c r="AF129" s="91" t="n">
        <v>140</v>
      </c>
      <c r="AG129" s="91" t="n"/>
      <c r="AH129" s="91" t="n">
        <v>0</v>
      </c>
      <c r="AI129" s="91">
        <f>_xlfn.XLOOKUP(A129,'[2]177+10+50 Sites (detail)'!$B:$B,'[2]177+10+50 Sites (detail)'!$I:$I)</f>
        <v/>
      </c>
      <c r="AJ129" s="91">
        <f>_xlfn.XLOOKUP(A129,[3]最小距离站点!$A:$A,[3]最小距离站点!$B:$B)</f>
        <v/>
      </c>
      <c r="AK129" s="91">
        <f>_xlfn.XLOOKUP(A129,[3]最小距离站点!$A:$A,[3]最小距离站点!$C:$C)</f>
        <v/>
      </c>
      <c r="AL129" s="91" t="inlineStr">
        <is>
          <t>pilot'</t>
        </is>
      </c>
    </row>
    <row r="130" ht="15" customHeight="1" s="99">
      <c r="A130" t="inlineStr">
        <is>
          <t>GMVEY1</t>
        </is>
      </c>
      <c r="B130" t="inlineStr">
        <is>
          <t>GMVEY1_GUL00_Veyangoda_Slt_Di</t>
        </is>
      </c>
      <c r="C130" s="89" t="inlineStr">
        <is>
          <t>Huawei</t>
        </is>
      </c>
      <c r="F130" t="n">
        <v>7.15555</v>
      </c>
      <c r="G130" t="n">
        <v>80.057</v>
      </c>
      <c r="H130" t="inlineStr">
        <is>
          <t>GMVEY1H</t>
        </is>
      </c>
      <c r="J130" s="91" t="n"/>
      <c r="K130" t="inlineStr">
        <is>
          <t>S2</t>
        </is>
      </c>
      <c r="L130" t="inlineStr">
        <is>
          <t>4G</t>
        </is>
      </c>
      <c r="M130" t="n">
        <v>1800</v>
      </c>
      <c r="N130" s="92" t="inlineStr">
        <is>
          <t>AMB4519R6v06</t>
        </is>
      </c>
      <c r="O130" t="n">
        <v>65</v>
      </c>
      <c r="P130" t="n">
        <v>140</v>
      </c>
      <c r="R130" t="n">
        <v>0</v>
      </c>
      <c r="Y130" s="91">
        <f>_xlfn.XLOOKUP(H130,'[1]4G Parameters'!$G:$G,'[1]4G Parameters'!$AA:$AA)</f>
        <v/>
      </c>
      <c r="Z130" s="91" t="inlineStr">
        <is>
          <t>4T4R</t>
        </is>
      </c>
      <c r="AA130" s="91" t="inlineStr">
        <is>
          <t>4T4R</t>
        </is>
      </c>
      <c r="AB130" s="91" t="inlineStr">
        <is>
          <t>R9264H M901821</t>
        </is>
      </c>
      <c r="AC130" s="91" t="inlineStr">
        <is>
          <t>A9652 S35*3+R9264H M901821*3+R9254E S8500*2+R9264 M1821N*3+FL8590A*3</t>
        </is>
      </c>
      <c r="AD130" s="91" t="inlineStr">
        <is>
          <t>AMB4519R6v06</t>
        </is>
      </c>
      <c r="AE130" s="91" t="n">
        <v>65</v>
      </c>
      <c r="AF130" s="91" t="n">
        <v>140</v>
      </c>
      <c r="AG130" s="91" t="n"/>
      <c r="AH130" s="91" t="n">
        <v>0</v>
      </c>
      <c r="AI130" s="91">
        <f>_xlfn.XLOOKUP(A130,'[2]177+10+50 Sites (detail)'!$B:$B,'[2]177+10+50 Sites (detail)'!$I:$I)</f>
        <v/>
      </c>
      <c r="AJ130" s="91">
        <f>_xlfn.XLOOKUP(A130,[3]最小距离站点!$A:$A,[3]最小距离站点!$B:$B)</f>
        <v/>
      </c>
      <c r="AK130" s="91">
        <f>_xlfn.XLOOKUP(A130,[3]最小距离站点!$A:$A,[3]最小距离站点!$C:$C)</f>
        <v/>
      </c>
      <c r="AL130" s="91" t="inlineStr">
        <is>
          <t>pilot'</t>
        </is>
      </c>
    </row>
    <row r="131" ht="15" customHeight="1" s="99">
      <c r="A131" t="inlineStr">
        <is>
          <t>GMVEY1</t>
        </is>
      </c>
      <c r="B131" t="inlineStr">
        <is>
          <t>GMVEY1_GUL00_Veyangoda_Slt_Di</t>
        </is>
      </c>
      <c r="C131" s="89" t="inlineStr">
        <is>
          <t>Huawei</t>
        </is>
      </c>
      <c r="F131" t="n">
        <v>7.15555</v>
      </c>
      <c r="G131" t="n">
        <v>80.057</v>
      </c>
      <c r="H131" t="inlineStr">
        <is>
          <t>GMVEY1-M-L18-H1</t>
        </is>
      </c>
      <c r="J131" s="91" t="n"/>
      <c r="K131" t="inlineStr">
        <is>
          <t>S2</t>
        </is>
      </c>
      <c r="L131" t="inlineStr">
        <is>
          <t>4G</t>
        </is>
      </c>
      <c r="M131" t="n">
        <v>1800</v>
      </c>
      <c r="N131" s="92" t="inlineStr">
        <is>
          <t>AMB4519R6v06</t>
        </is>
      </c>
      <c r="O131" t="n">
        <v>65</v>
      </c>
      <c r="P131" t="n">
        <v>140</v>
      </c>
      <c r="R131" t="n">
        <v>0</v>
      </c>
      <c r="Y131" s="91">
        <f>_xlfn.XLOOKUP(H131,'[1]4G Parameters'!$G:$G,'[1]4G Parameters'!$AA:$AA)</f>
        <v/>
      </c>
      <c r="Z131" s="91" t="inlineStr">
        <is>
          <t>4T4R</t>
        </is>
      </c>
      <c r="AA131" s="91" t="inlineStr">
        <is>
          <t>4T4R</t>
        </is>
      </c>
      <c r="AB131" s="91" t="inlineStr">
        <is>
          <t>R9264 M1821N</t>
        </is>
      </c>
      <c r="AC131" s="91" t="inlineStr">
        <is>
          <t>A9652 S35*3+R9264H M901821*3+R9254E S8500*2+R9264 M1821N*3+FL8590A*3</t>
        </is>
      </c>
      <c r="AD131" s="91" t="inlineStr">
        <is>
          <t>AMB4519R6v06</t>
        </is>
      </c>
      <c r="AE131" s="91" t="n">
        <v>65</v>
      </c>
      <c r="AF131" s="91" t="n">
        <v>140</v>
      </c>
      <c r="AG131" s="91" t="n"/>
      <c r="AH131" s="91" t="n">
        <v>0</v>
      </c>
      <c r="AI131" s="91">
        <f>_xlfn.XLOOKUP(A131,'[2]177+10+50 Sites (detail)'!$B:$B,'[2]177+10+50 Sites (detail)'!$I:$I)</f>
        <v/>
      </c>
      <c r="AJ131" s="91">
        <f>_xlfn.XLOOKUP(A131,[3]最小距离站点!$A:$A,[3]最小距离站点!$B:$B)</f>
        <v/>
      </c>
      <c r="AK131" s="91">
        <f>_xlfn.XLOOKUP(A131,[3]最小距离站点!$A:$A,[3]最小距离站点!$C:$C)</f>
        <v/>
      </c>
      <c r="AL131" s="91" t="inlineStr">
        <is>
          <t>pilot'</t>
        </is>
      </c>
    </row>
    <row r="132" ht="15" customHeight="1" s="99">
      <c r="A132" t="inlineStr">
        <is>
          <t>GMVEY1</t>
        </is>
      </c>
      <c r="B132" t="inlineStr">
        <is>
          <t>GMVEY1_GUL00_Veyangoda_Slt_Di</t>
        </is>
      </c>
      <c r="C132" s="89" t="inlineStr">
        <is>
          <t>Huawei</t>
        </is>
      </c>
      <c r="F132" t="n">
        <v>7.15555</v>
      </c>
      <c r="G132" t="n">
        <v>80.057</v>
      </c>
      <c r="H132" t="inlineStr">
        <is>
          <t>GMVEY1-M-L85-B1</t>
        </is>
      </c>
      <c r="J132" s="91" t="n"/>
      <c r="K132" t="inlineStr">
        <is>
          <t>S2</t>
        </is>
      </c>
      <c r="L132" t="inlineStr">
        <is>
          <t>4G</t>
        </is>
      </c>
      <c r="M132" t="n">
        <v>850</v>
      </c>
      <c r="N132" s="92" t="inlineStr">
        <is>
          <t>AQU4518R9v06</t>
        </is>
      </c>
      <c r="O132" t="n">
        <v>65</v>
      </c>
      <c r="P132" t="n">
        <v>140</v>
      </c>
      <c r="R132" t="n">
        <v>0</v>
      </c>
      <c r="Y132" s="91">
        <f>_xlfn.XLOOKUP(H132,'[1]4G Parameters'!$G:$G,'[1]4G Parameters'!$AA:$AA)</f>
        <v/>
      </c>
      <c r="Z132" s="91" t="inlineStr">
        <is>
          <t>2T2R</t>
        </is>
      </c>
      <c r="AA132" s="91" t="inlineStr">
        <is>
          <t>2T2R</t>
        </is>
      </c>
      <c r="AB132" s="91" t="inlineStr">
        <is>
          <t>R9254E S8500</t>
        </is>
      </c>
      <c r="AC132" s="91" t="inlineStr">
        <is>
          <t>A9652 S35*3+R9264H M901821*3+R9254E S8500*2+R9264 M1821N*3+FL8590A*3</t>
        </is>
      </c>
      <c r="AD132" s="91" t="inlineStr">
        <is>
          <t>AQU4518R9v06</t>
        </is>
      </c>
      <c r="AE132" s="91" t="n">
        <v>65</v>
      </c>
      <c r="AF132" s="91" t="n">
        <v>140</v>
      </c>
      <c r="AG132" s="91" t="n"/>
      <c r="AH132" s="91" t="n">
        <v>0</v>
      </c>
      <c r="AI132" s="91">
        <f>_xlfn.XLOOKUP(A132,'[2]177+10+50 Sites (detail)'!$B:$B,'[2]177+10+50 Sites (detail)'!$I:$I)</f>
        <v/>
      </c>
      <c r="AJ132" s="91">
        <f>_xlfn.XLOOKUP(A132,[3]最小距离站点!$A:$A,[3]最小距离站点!$B:$B)</f>
        <v/>
      </c>
      <c r="AK132" s="91">
        <f>_xlfn.XLOOKUP(A132,[3]最小距离站点!$A:$A,[3]最小距离站点!$C:$C)</f>
        <v/>
      </c>
      <c r="AL132" s="91" t="inlineStr">
        <is>
          <t>pilot'</t>
        </is>
      </c>
    </row>
    <row r="133" ht="15" customHeight="1" s="99">
      <c r="A133" t="inlineStr">
        <is>
          <t>GMVEY1</t>
        </is>
      </c>
      <c r="B133" t="inlineStr">
        <is>
          <t>GMVEY1_GUL00_Veyangoda_Slt_Di</t>
        </is>
      </c>
      <c r="C133" s="89" t="inlineStr">
        <is>
          <t>Huawei</t>
        </is>
      </c>
      <c r="F133" t="n">
        <v>7.15555</v>
      </c>
      <c r="G133" t="n">
        <v>80.057</v>
      </c>
      <c r="H133" t="inlineStr">
        <is>
          <t>GMVEY1-M-L21-C2</t>
        </is>
      </c>
      <c r="J133" s="91" t="n"/>
      <c r="K133" t="inlineStr">
        <is>
          <t>S3</t>
        </is>
      </c>
      <c r="L133" t="inlineStr">
        <is>
          <t>4G</t>
        </is>
      </c>
      <c r="M133" t="n">
        <v>2100</v>
      </c>
      <c r="N133" s="92" t="inlineStr">
        <is>
          <t>AQU4518R9v06</t>
        </is>
      </c>
      <c r="O133" t="n">
        <v>65</v>
      </c>
      <c r="P133" t="n">
        <v>280</v>
      </c>
      <c r="R133" t="n">
        <v>0</v>
      </c>
      <c r="Y133" s="91">
        <f>_xlfn.XLOOKUP(H133,'[1]4G Parameters'!$G:$G,'[1]4G Parameters'!$AA:$AA)</f>
        <v/>
      </c>
      <c r="Z133" s="91" t="inlineStr">
        <is>
          <t>6T6R</t>
        </is>
      </c>
      <c r="AA133" s="91" t="inlineStr">
        <is>
          <t>4T4R</t>
        </is>
      </c>
      <c r="AB133" s="91" t="inlineStr">
        <is>
          <t>R9264H M901821</t>
        </is>
      </c>
      <c r="AC133" s="91" t="inlineStr">
        <is>
          <t>A9652 S35*3+R9264H M901821*3+R9254E S8500*2+R9264 M1821N*3+FL8590A*3</t>
        </is>
      </c>
      <c r="AD133" s="91" t="inlineStr">
        <is>
          <t>AQU4518R9v06</t>
        </is>
      </c>
      <c r="AE133" s="91" t="n">
        <v>65</v>
      </c>
      <c r="AF133" s="91" t="n">
        <v>280</v>
      </c>
      <c r="AG133" s="91" t="n"/>
      <c r="AH133" s="91" t="n">
        <v>0</v>
      </c>
      <c r="AI133" s="91">
        <f>_xlfn.XLOOKUP(A133,'[2]177+10+50 Sites (detail)'!$B:$B,'[2]177+10+50 Sites (detail)'!$I:$I)</f>
        <v/>
      </c>
      <c r="AJ133" s="91">
        <f>_xlfn.XLOOKUP(A133,[3]最小距离站点!$A:$A,[3]最小距离站点!$B:$B)</f>
        <v/>
      </c>
      <c r="AK133" s="91">
        <f>_xlfn.XLOOKUP(A133,[3]最小距离站点!$A:$A,[3]最小距离站点!$C:$C)</f>
        <v/>
      </c>
      <c r="AL133" s="91" t="inlineStr">
        <is>
          <t>pilot'</t>
        </is>
      </c>
    </row>
    <row r="134" ht="15" customHeight="1" s="99">
      <c r="A134" t="inlineStr">
        <is>
          <t>GMVEY1</t>
        </is>
      </c>
      <c r="B134" t="inlineStr">
        <is>
          <t>GMVEY1_GUL00_Veyangoda_Slt_Di</t>
        </is>
      </c>
      <c r="C134" s="89" t="inlineStr">
        <is>
          <t>Huawei</t>
        </is>
      </c>
      <c r="F134" t="n">
        <v>7.15555</v>
      </c>
      <c r="G134" t="n">
        <v>80.057</v>
      </c>
      <c r="H134" t="inlineStr">
        <is>
          <t>GMVEY1I</t>
        </is>
      </c>
      <c r="J134" s="91" t="n"/>
      <c r="K134" t="inlineStr">
        <is>
          <t>S3</t>
        </is>
      </c>
      <c r="L134" t="inlineStr">
        <is>
          <t>4G</t>
        </is>
      </c>
      <c r="M134" t="n">
        <v>1800</v>
      </c>
      <c r="N134" s="92" t="inlineStr">
        <is>
          <t>AQU4518R9v06</t>
        </is>
      </c>
      <c r="O134" t="n">
        <v>65</v>
      </c>
      <c r="P134" t="n">
        <v>280</v>
      </c>
      <c r="R134" t="n">
        <v>0</v>
      </c>
      <c r="Y134" s="91">
        <f>_xlfn.XLOOKUP(H134,'[1]4G Parameters'!$G:$G,'[1]4G Parameters'!$AA:$AA)</f>
        <v/>
      </c>
      <c r="Z134" s="91" t="inlineStr">
        <is>
          <t>6T6R</t>
        </is>
      </c>
      <c r="AA134" s="91" t="inlineStr">
        <is>
          <t>4T4R</t>
        </is>
      </c>
      <c r="AB134" s="91" t="inlineStr">
        <is>
          <t>R9264H M901821</t>
        </is>
      </c>
      <c r="AC134" s="91" t="inlineStr">
        <is>
          <t>A9652 S35*3+R9264H M901821*3+R9254E S8500*2+R9264 M1821N*3+FL8590A*3</t>
        </is>
      </c>
      <c r="AD134" s="91" t="inlineStr">
        <is>
          <t>AQU4518R9v06</t>
        </is>
      </c>
      <c r="AE134" s="91" t="n">
        <v>65</v>
      </c>
      <c r="AF134" s="91" t="n">
        <v>280</v>
      </c>
      <c r="AG134" s="91" t="n"/>
      <c r="AH134" s="91" t="n">
        <v>0</v>
      </c>
      <c r="AI134" s="91">
        <f>_xlfn.XLOOKUP(A134,'[2]177+10+50 Sites (detail)'!$B:$B,'[2]177+10+50 Sites (detail)'!$I:$I)</f>
        <v/>
      </c>
      <c r="AJ134" s="91">
        <f>_xlfn.XLOOKUP(A134,[3]最小距离站点!$A:$A,[3]最小距离站点!$B:$B)</f>
        <v/>
      </c>
      <c r="AK134" s="91">
        <f>_xlfn.XLOOKUP(A134,[3]最小距离站点!$A:$A,[3]最小距离站点!$C:$C)</f>
        <v/>
      </c>
      <c r="AL134" s="91" t="inlineStr">
        <is>
          <t>pilot'</t>
        </is>
      </c>
    </row>
    <row r="135" ht="15" customHeight="1" s="99">
      <c r="A135" t="inlineStr">
        <is>
          <t>GMVEY1</t>
        </is>
      </c>
      <c r="B135" t="inlineStr">
        <is>
          <t>GMVEY1_GUL00_Veyangoda_Slt_Di</t>
        </is>
      </c>
      <c r="C135" s="89" t="inlineStr">
        <is>
          <t>Huawei</t>
        </is>
      </c>
      <c r="F135" t="n">
        <v>7.15555</v>
      </c>
      <c r="G135" t="n">
        <v>80.057</v>
      </c>
      <c r="H135" t="inlineStr">
        <is>
          <t>GMVEY1-M-L85-C1</t>
        </is>
      </c>
      <c r="J135" s="91" t="n"/>
      <c r="K135" t="inlineStr">
        <is>
          <t>S3</t>
        </is>
      </c>
      <c r="L135" t="inlineStr">
        <is>
          <t>4G</t>
        </is>
      </c>
      <c r="M135" t="n">
        <v>850</v>
      </c>
      <c r="N135" s="92" t="inlineStr">
        <is>
          <t>AQU4518R9v06</t>
        </is>
      </c>
      <c r="O135" t="n">
        <v>65</v>
      </c>
      <c r="P135" t="n">
        <v>280</v>
      </c>
      <c r="R135" t="n">
        <v>0</v>
      </c>
      <c r="Y135" s="91">
        <f>_xlfn.XLOOKUP(H135,'[1]4G Parameters'!$G:$G,'[1]4G Parameters'!$AA:$AA)</f>
        <v/>
      </c>
      <c r="Z135" s="91" t="inlineStr">
        <is>
          <t>2T2R</t>
        </is>
      </c>
      <c r="AA135" s="91" t="inlineStr">
        <is>
          <t>2T2R</t>
        </is>
      </c>
      <c r="AB135" s="91" t="inlineStr">
        <is>
          <t>R9254E S8500</t>
        </is>
      </c>
      <c r="AC135" s="91" t="inlineStr">
        <is>
          <t>A9652 S35*3+R9264H M901821*3+R9254E S8500*2+R9264 M1821N*3+FL8590A*3</t>
        </is>
      </c>
      <c r="AD135" s="91" t="inlineStr">
        <is>
          <t>AQU4518R9v06</t>
        </is>
      </c>
      <c r="AE135" s="91" t="n">
        <v>65</v>
      </c>
      <c r="AF135" s="91" t="n">
        <v>280</v>
      </c>
      <c r="AG135" s="91" t="n"/>
      <c r="AH135" s="91" t="n">
        <v>0</v>
      </c>
      <c r="AI135" s="91">
        <f>_xlfn.XLOOKUP(A135,'[2]177+10+50 Sites (detail)'!$B:$B,'[2]177+10+50 Sites (detail)'!$I:$I)</f>
        <v/>
      </c>
      <c r="AJ135" s="91">
        <f>_xlfn.XLOOKUP(A135,[3]最小距离站点!$A:$A,[3]最小距离站点!$B:$B)</f>
        <v/>
      </c>
      <c r="AK135" s="91">
        <f>_xlfn.XLOOKUP(A135,[3]最小距离站点!$A:$A,[3]最小距离站点!$C:$C)</f>
        <v/>
      </c>
      <c r="AL135" s="91" t="inlineStr">
        <is>
          <t>pilot'</t>
        </is>
      </c>
    </row>
    <row r="136" ht="15" customHeight="1" s="99">
      <c r="A136" t="inlineStr">
        <is>
          <t>GMVEY1</t>
        </is>
      </c>
      <c r="B136" t="inlineStr">
        <is>
          <t>GMVEY1_GUL00_Veyangoda_Slt_Di</t>
        </is>
      </c>
      <c r="C136" s="89" t="inlineStr">
        <is>
          <t>Huawei</t>
        </is>
      </c>
      <c r="D136" s="91" t="inlineStr">
        <is>
          <t>拉远？</t>
        </is>
      </c>
      <c r="F136" t="n">
        <v>7.15555</v>
      </c>
      <c r="G136" t="n">
        <v>80.057</v>
      </c>
      <c r="H136" t="inlineStr">
        <is>
          <t>GMVEY1-M-L21-D2</t>
        </is>
      </c>
      <c r="J136" s="91" t="n"/>
      <c r="K136" t="inlineStr">
        <is>
          <t>S4</t>
        </is>
      </c>
      <c r="L136" t="inlineStr">
        <is>
          <t>4G</t>
        </is>
      </c>
      <c r="M136" t="n">
        <v>2100</v>
      </c>
      <c r="N136" s="92" t="inlineStr">
        <is>
          <t>AQU4518R9v06</t>
        </is>
      </c>
      <c r="O136" t="n">
        <v>65</v>
      </c>
      <c r="P136" t="n">
        <v>10</v>
      </c>
      <c r="R136" t="n">
        <v>0</v>
      </c>
      <c r="Y136" s="91">
        <f>_xlfn.XLOOKUP(H136,'[1]4G Parameters'!$G:$G,'[1]4G Parameters'!$AA:$AA)</f>
        <v/>
      </c>
      <c r="Z136" s="91" t="inlineStr">
        <is>
          <t>6T6R</t>
        </is>
      </c>
      <c r="AA136" s="91" t="inlineStr">
        <is>
          <t>4T4R</t>
        </is>
      </c>
      <c r="AB136" s="91" t="inlineStr">
        <is>
          <t>R9264 M1821N</t>
        </is>
      </c>
      <c r="AC136" s="91" t="inlineStr">
        <is>
          <t>A9652 S35*3+R9264H M901821*3+R9254E S8500*2+R9264 M1821N*3+FL8590A*3</t>
        </is>
      </c>
      <c r="AD136" s="91" t="inlineStr">
        <is>
          <t>AQU4518R9v06</t>
        </is>
      </c>
      <c r="AE136" s="91" t="n">
        <v>65</v>
      </c>
      <c r="AF136" s="91" t="n">
        <v>10</v>
      </c>
      <c r="AG136" s="91" t="n"/>
      <c r="AH136" s="91" t="n">
        <v>0</v>
      </c>
      <c r="AI136" s="91">
        <f>_xlfn.XLOOKUP(A136,'[2]177+10+50 Sites (detail)'!$B:$B,'[2]177+10+50 Sites (detail)'!$I:$I)</f>
        <v/>
      </c>
      <c r="AJ136" s="91">
        <f>_xlfn.XLOOKUP(A136,[3]最小距离站点!$A:$A,[3]最小距离站点!$B:$B)</f>
        <v/>
      </c>
      <c r="AK136" s="91">
        <f>_xlfn.XLOOKUP(A136,[3]最小距离站点!$A:$A,[3]最小距离站点!$C:$C)</f>
        <v/>
      </c>
      <c r="AL136" s="91" t="inlineStr">
        <is>
          <t>pilot'</t>
        </is>
      </c>
    </row>
    <row r="137" ht="15" customHeight="1" s="99">
      <c r="A137" t="inlineStr">
        <is>
          <t>GMVEY1</t>
        </is>
      </c>
      <c r="B137" t="inlineStr">
        <is>
          <t>GMVEY1_GUL00_Veyangoda_Slt_Di</t>
        </is>
      </c>
      <c r="C137" s="89" t="inlineStr">
        <is>
          <t>Huawei</t>
        </is>
      </c>
      <c r="D137" s="91" t="inlineStr">
        <is>
          <t>拉远？</t>
        </is>
      </c>
      <c r="F137" t="n">
        <v>7.15555</v>
      </c>
      <c r="G137" t="n">
        <v>80.057</v>
      </c>
      <c r="H137" t="inlineStr">
        <is>
          <t>GMVEY1F</t>
        </is>
      </c>
      <c r="J137" s="91" t="n"/>
      <c r="K137" t="inlineStr">
        <is>
          <t>S4</t>
        </is>
      </c>
      <c r="L137" t="inlineStr">
        <is>
          <t>4G</t>
        </is>
      </c>
      <c r="M137" t="n">
        <v>1800</v>
      </c>
      <c r="N137" s="92" t="inlineStr">
        <is>
          <t>AQU4518R9v06</t>
        </is>
      </c>
      <c r="O137" t="n">
        <v>65</v>
      </c>
      <c r="P137" t="n">
        <v>10</v>
      </c>
      <c r="R137" t="n">
        <v>0</v>
      </c>
      <c r="Y137" s="91">
        <f>_xlfn.XLOOKUP(H137,'[1]4G Parameters'!$G:$G,'[1]4G Parameters'!$AA:$AA)</f>
        <v/>
      </c>
      <c r="Z137" s="91" t="inlineStr">
        <is>
          <t>6T6R</t>
        </is>
      </c>
      <c r="AA137" s="91" t="inlineStr">
        <is>
          <t>4T4R</t>
        </is>
      </c>
      <c r="AB137" s="91" t="inlineStr">
        <is>
          <t>R9264 M1821N</t>
        </is>
      </c>
      <c r="AC137" s="91" t="inlineStr">
        <is>
          <t>A9652 S35*3+R9264H M901821*3+R9254E S8500*2+R9264 M1821N*3+FL8590A*3</t>
        </is>
      </c>
      <c r="AD137" s="91" t="inlineStr">
        <is>
          <t>AQU4518R9v06</t>
        </is>
      </c>
      <c r="AE137" s="91" t="n">
        <v>65</v>
      </c>
      <c r="AF137" s="91" t="n">
        <v>10</v>
      </c>
      <c r="AG137" s="91" t="n"/>
      <c r="AH137" s="91" t="n">
        <v>0</v>
      </c>
      <c r="AI137" s="91">
        <f>_xlfn.XLOOKUP(A137,'[2]177+10+50 Sites (detail)'!$B:$B,'[2]177+10+50 Sites (detail)'!$I:$I)</f>
        <v/>
      </c>
      <c r="AJ137" s="91">
        <f>_xlfn.XLOOKUP(A137,[3]最小距离站点!$A:$A,[3]最小距离站点!$B:$B)</f>
        <v/>
      </c>
      <c r="AK137" s="91">
        <f>_xlfn.XLOOKUP(A137,[3]最小距离站点!$A:$A,[3]最小距离站点!$C:$C)</f>
        <v/>
      </c>
      <c r="AL137" s="91" t="inlineStr">
        <is>
          <t>pilot'</t>
        </is>
      </c>
    </row>
    <row r="138" hidden="1" ht="15" customHeight="1" s="99">
      <c r="A138" t="inlineStr">
        <is>
          <t>GMALG1</t>
        </is>
      </c>
      <c r="C138" s="89" t="inlineStr">
        <is>
          <t>Huawei</t>
        </is>
      </c>
      <c r="F138" t="n">
        <v>7.10846</v>
      </c>
      <c r="G138" t="n">
        <v>80.0449</v>
      </c>
      <c r="H138" t="inlineStr">
        <is>
          <t>GMALG1A</t>
        </is>
      </c>
      <c r="J138" s="91">
        <f>RIGHT(H138,1)</f>
        <v/>
      </c>
      <c r="K138" t="inlineStr">
        <is>
          <t>S1</t>
        </is>
      </c>
      <c r="L138" s="91" t="inlineStr">
        <is>
          <t>2G</t>
        </is>
      </c>
      <c r="M138" t="n">
        <v>900</v>
      </c>
      <c r="N138" s="91" t="e">
        <v>#N/A</v>
      </c>
      <c r="P138" t="n">
        <v>10</v>
      </c>
      <c r="R138" s="92" t="n">
        <v>2</v>
      </c>
      <c r="AB138" s="91" t="inlineStr">
        <is>
          <t>R9264H M901821</t>
        </is>
      </c>
      <c r="AC138" s="91" t="inlineStr">
        <is>
          <t>A9652 S35*3+R9264H M901821*3+R9254E S8500*2+R9264 M1821N*1</t>
        </is>
      </c>
      <c r="AD138" s="91">
        <f>_xlfn.XLOOKUP(AE138,[4]透视表!$G:$G,[4]透视表!$D:$D)</f>
        <v/>
      </c>
      <c r="AE138" s="91">
        <f>A138&amp;K138</f>
        <v/>
      </c>
      <c r="AL138" s="91" t="inlineStr">
        <is>
          <t>高优先级</t>
        </is>
      </c>
    </row>
    <row r="139" hidden="1" ht="15" customHeight="1" s="99">
      <c r="A139" t="inlineStr">
        <is>
          <t>GMALG1</t>
        </is>
      </c>
      <c r="C139" s="89" t="inlineStr">
        <is>
          <t>Huawei</t>
        </is>
      </c>
      <c r="F139" t="n">
        <v>7.10846</v>
      </c>
      <c r="G139" t="n">
        <v>80.0449</v>
      </c>
      <c r="H139" t="inlineStr">
        <is>
          <t>GMALG1P</t>
        </is>
      </c>
      <c r="J139" s="91">
        <f>RIGHT(H139,1)</f>
        <v/>
      </c>
      <c r="K139" t="inlineStr">
        <is>
          <t>S1</t>
        </is>
      </c>
      <c r="L139" s="91" t="inlineStr">
        <is>
          <t>2G</t>
        </is>
      </c>
      <c r="M139" t="n">
        <v>1800</v>
      </c>
      <c r="N139" s="91" t="e">
        <v>#N/A</v>
      </c>
      <c r="P139" t="n">
        <v>10</v>
      </c>
      <c r="R139" s="92" t="n">
        <v>2</v>
      </c>
      <c r="AB139" s="91" t="inlineStr">
        <is>
          <t>R9264H M901821</t>
        </is>
      </c>
      <c r="AC139" s="91" t="inlineStr">
        <is>
          <t>A9652 S35*3+R9264H M901821*3+R9254E S8500*2+R9264 M1821N*1</t>
        </is>
      </c>
      <c r="AD139" s="91">
        <f>_xlfn.XLOOKUP(AE139,[4]透视表!$G:$G,[4]透视表!$E:$E)</f>
        <v/>
      </c>
      <c r="AE139" s="91">
        <f>A139&amp;K139</f>
        <v/>
      </c>
      <c r="AL139" s="91" t="inlineStr">
        <is>
          <t>高优先级</t>
        </is>
      </c>
    </row>
    <row r="140" hidden="1" ht="15" customHeight="1" s="99">
      <c r="A140" t="inlineStr">
        <is>
          <t>GMALG1</t>
        </is>
      </c>
      <c r="B140" t="inlineStr">
        <is>
          <t>GMALG1_0UL00_Aluthgama_Gm</t>
        </is>
      </c>
      <c r="C140" s="89" t="inlineStr">
        <is>
          <t>Huawei</t>
        </is>
      </c>
      <c r="F140" t="n">
        <v>7.10846</v>
      </c>
      <c r="G140" t="n">
        <v>80.0449</v>
      </c>
      <c r="H140" t="inlineStr">
        <is>
          <t>GMALG1-M-L85-A1</t>
        </is>
      </c>
      <c r="J140" s="91">
        <f>LEFT(RIGHT(H140,2),1)</f>
        <v/>
      </c>
      <c r="K140" s="91">
        <f>_xlfn.XLOOKUP(J140,#REF!,#REF!)</f>
        <v/>
      </c>
      <c r="L140" s="91" t="inlineStr">
        <is>
          <t>4G</t>
        </is>
      </c>
      <c r="M140" s="91" t="n">
        <v>850</v>
      </c>
      <c r="N140" s="91" t="e">
        <v>#N/A</v>
      </c>
      <c r="O140" s="92" t="n">
        <v>60</v>
      </c>
      <c r="P140" t="n">
        <v>10</v>
      </c>
      <c r="R140" s="92" t="n">
        <v>0</v>
      </c>
      <c r="Y140" t="inlineStr">
        <is>
          <t>2T2R</t>
        </is>
      </c>
      <c r="AB140" s="91" t="inlineStr">
        <is>
          <t>R9254E S8500</t>
        </is>
      </c>
      <c r="AC140" s="91" t="inlineStr">
        <is>
          <t>A9652 S35*3+R9264H M901821*3+R9254E S8500*2+R9264 M1821N*1</t>
        </is>
      </c>
      <c r="AD140" s="91">
        <f>_xlfn.XLOOKUP(AE140,[4]透视表!$G:$G,[4]透视表!$D:$D)</f>
        <v/>
      </c>
      <c r="AE140" s="91">
        <f>A140&amp;K140</f>
        <v/>
      </c>
      <c r="AL140" s="91" t="inlineStr">
        <is>
          <t>高优先级</t>
        </is>
      </c>
    </row>
    <row r="141" hidden="1" ht="15" customHeight="1" s="99">
      <c r="A141" t="inlineStr">
        <is>
          <t>GMALG1</t>
        </is>
      </c>
      <c r="B141" t="inlineStr">
        <is>
          <t>GMALG1_0UL00_Aluthgama_Gm</t>
        </is>
      </c>
      <c r="C141" s="89" t="inlineStr">
        <is>
          <t>Huawei</t>
        </is>
      </c>
      <c r="E141" s="91" t="inlineStr">
        <is>
          <t>劈裂</t>
        </is>
      </c>
      <c r="F141" t="n">
        <v>7.10846</v>
      </c>
      <c r="G141" t="n">
        <v>80.0449</v>
      </c>
      <c r="H141" t="inlineStr">
        <is>
          <t>GMALG1G</t>
        </is>
      </c>
      <c r="J141" s="91">
        <f>RIGHT(H141,1)</f>
        <v/>
      </c>
      <c r="K141" s="91">
        <f>_xlfn.XLOOKUP(J141,#REF!,#REF!)</f>
        <v/>
      </c>
      <c r="L141" s="91" t="inlineStr">
        <is>
          <t>4G</t>
        </is>
      </c>
      <c r="M141" s="91" t="n">
        <v>1800</v>
      </c>
      <c r="N141" s="91" t="e">
        <v>#N/A</v>
      </c>
      <c r="O141" s="92" t="n">
        <v>60</v>
      </c>
      <c r="P141" t="n">
        <v>10</v>
      </c>
      <c r="R141" s="92" t="n">
        <v>0</v>
      </c>
      <c r="Y141" t="inlineStr">
        <is>
          <t>4T4R</t>
        </is>
      </c>
      <c r="AB141" s="91" t="inlineStr">
        <is>
          <t>R9264H M901821</t>
        </is>
      </c>
      <c r="AC141" s="91" t="inlineStr">
        <is>
          <t>A9652 S35*3+R9264H M901821*3+R9254E S8500*2+R9264 M1821N*1</t>
        </is>
      </c>
      <c r="AD141" s="91">
        <f>_xlfn.XLOOKUP(AE141,[4]透视表!$G:$G,[4]透视表!$E:$E)</f>
        <v/>
      </c>
      <c r="AE141" s="91">
        <f>A141&amp;K141</f>
        <v/>
      </c>
      <c r="AL141" s="91" t="inlineStr">
        <is>
          <t>高优先级</t>
        </is>
      </c>
    </row>
    <row r="142" hidden="1" ht="15" customHeight="1" s="99">
      <c r="A142" t="inlineStr">
        <is>
          <t>GMALG1</t>
        </is>
      </c>
      <c r="B142" t="inlineStr">
        <is>
          <t>GMALG1_0UL00_Aluthgama_Gm</t>
        </is>
      </c>
      <c r="C142" s="89" t="inlineStr">
        <is>
          <t>Huawei</t>
        </is>
      </c>
      <c r="D142" s="91" t="inlineStr">
        <is>
          <t>拉远？</t>
        </is>
      </c>
      <c r="E142" s="91" t="inlineStr">
        <is>
          <t>劈裂</t>
        </is>
      </c>
      <c r="F142" t="n">
        <v>7.10846</v>
      </c>
      <c r="G142" t="n">
        <v>80.0449</v>
      </c>
      <c r="H142" t="inlineStr">
        <is>
          <t>GMALG1-M-L18-G1</t>
        </is>
      </c>
      <c r="J142" s="91">
        <f>LEFT(RIGHT(H142,2),1)</f>
        <v/>
      </c>
      <c r="K142" s="91">
        <f>_xlfn.XLOOKUP(J142,#REF!,#REF!)</f>
        <v/>
      </c>
      <c r="L142" s="91" t="inlineStr">
        <is>
          <t>4G</t>
        </is>
      </c>
      <c r="M142" s="91" t="n">
        <v>1800</v>
      </c>
      <c r="N142" s="91" t="e">
        <v>#N/A</v>
      </c>
      <c r="O142" s="92" t="n">
        <v>60</v>
      </c>
      <c r="P142" t="n">
        <v>10</v>
      </c>
      <c r="R142" s="92" t="n">
        <v>0</v>
      </c>
      <c r="Y142" t="inlineStr">
        <is>
          <t>4T4R</t>
        </is>
      </c>
      <c r="AB142" s="91" t="inlineStr">
        <is>
          <t>R9264 M1821N</t>
        </is>
      </c>
      <c r="AC142" s="91" t="inlineStr">
        <is>
          <t>A9652 S35*3+R9264H M901821*3+R9254E S8500*2+R9264 M1821N*1</t>
        </is>
      </c>
      <c r="AD142" s="91">
        <f>_xlfn.XLOOKUP(AE142,[4]透视表!$G:$G,[4]透视表!$E:$E)</f>
        <v/>
      </c>
      <c r="AE142" s="91">
        <f>A142&amp;K142</f>
        <v/>
      </c>
      <c r="AL142" s="91" t="inlineStr">
        <is>
          <t>高优先级</t>
        </is>
      </c>
    </row>
    <row r="143" hidden="1" ht="15" customHeight="1" s="99">
      <c r="A143" t="inlineStr">
        <is>
          <t>GMALG1</t>
        </is>
      </c>
      <c r="B143" t="inlineStr">
        <is>
          <t>GMALG1_0UL00_Aluthgama_Gm</t>
        </is>
      </c>
      <c r="C143" s="89" t="inlineStr">
        <is>
          <t>Huawei</t>
        </is>
      </c>
      <c r="F143" t="n">
        <v>7.10846</v>
      </c>
      <c r="G143" t="n">
        <v>80.0449</v>
      </c>
      <c r="H143" t="inlineStr">
        <is>
          <t>GMALG1-M-L21-A2</t>
        </is>
      </c>
      <c r="J143" s="91">
        <f>LEFT(RIGHT(H143,2),1)</f>
        <v/>
      </c>
      <c r="K143" s="91">
        <f>_xlfn.XLOOKUP(J143,#REF!,#REF!)</f>
        <v/>
      </c>
      <c r="L143" s="91" t="inlineStr">
        <is>
          <t>4G</t>
        </is>
      </c>
      <c r="M143" s="91" t="n">
        <v>2100</v>
      </c>
      <c r="N143" s="91" t="e">
        <v>#N/A</v>
      </c>
      <c r="O143" s="92" t="n">
        <v>60</v>
      </c>
      <c r="P143" t="n">
        <v>10</v>
      </c>
      <c r="R143" s="92" t="n">
        <v>0</v>
      </c>
      <c r="Y143" t="inlineStr">
        <is>
          <t>4T4R</t>
        </is>
      </c>
      <c r="AB143" s="91" t="inlineStr">
        <is>
          <t>R9264H M901821</t>
        </is>
      </c>
      <c r="AC143" s="91" t="inlineStr">
        <is>
          <t>A9652 S35*3+R9264H M901821*3+R9254E S8500*2+R9264 M1821N*1</t>
        </is>
      </c>
      <c r="AD143" s="91">
        <f>_xlfn.XLOOKUP(AE143,[4]透视表!$G:$G,[4]透视表!$F:$F)</f>
        <v/>
      </c>
      <c r="AE143" s="91">
        <f>A143&amp;K143</f>
        <v/>
      </c>
      <c r="AL143" s="91" t="inlineStr">
        <is>
          <t>高优先级</t>
        </is>
      </c>
    </row>
    <row r="144" hidden="1" ht="15" customHeight="1" s="99">
      <c r="A144" t="inlineStr">
        <is>
          <t>GMALG1</t>
        </is>
      </c>
      <c r="B144" t="inlineStr">
        <is>
          <t>GMALG1_0UL00_Aluthgama_Gm</t>
        </is>
      </c>
      <c r="C144" s="89" t="inlineStr">
        <is>
          <t>Huawei</t>
        </is>
      </c>
      <c r="F144" t="n">
        <v>7.10846</v>
      </c>
      <c r="G144" t="n">
        <v>80.0449</v>
      </c>
      <c r="H144" t="inlineStr">
        <is>
          <t>GMALG1-M-L21-A1</t>
        </is>
      </c>
      <c r="J144" s="91">
        <f>LEFT(RIGHT(H144,2),1)</f>
        <v/>
      </c>
      <c r="K144" s="91">
        <f>_xlfn.XLOOKUP(J144,#REF!,#REF!)</f>
        <v/>
      </c>
      <c r="L144" s="91" t="inlineStr">
        <is>
          <t>4G</t>
        </is>
      </c>
      <c r="M144" s="91" t="n">
        <v>2100</v>
      </c>
      <c r="N144" s="91" t="e">
        <v>#N/A</v>
      </c>
      <c r="O144" s="92" t="n">
        <v>60</v>
      </c>
      <c r="P144" t="n">
        <v>10</v>
      </c>
      <c r="R144" s="92" t="n">
        <v>0</v>
      </c>
      <c r="Y144" t="inlineStr">
        <is>
          <t>4T4R</t>
        </is>
      </c>
      <c r="AB144" s="91" t="inlineStr">
        <is>
          <t>R9264 M1821N</t>
        </is>
      </c>
      <c r="AC144" s="91" t="inlineStr">
        <is>
          <t>A9652 S35*3+R9264H M901821*3+R9254E S8500*2+R9264 M1821N*1</t>
        </is>
      </c>
      <c r="AD144" s="91">
        <f>_xlfn.XLOOKUP(AE144,[4]透视表!$G:$G,[4]透视表!$F:$F)</f>
        <v/>
      </c>
      <c r="AE144" s="91">
        <f>A144&amp;K144</f>
        <v/>
      </c>
      <c r="AL144" s="91" t="inlineStr">
        <is>
          <t>高优先级</t>
        </is>
      </c>
    </row>
    <row r="145" hidden="1" ht="15" customHeight="1" s="99">
      <c r="A145" t="inlineStr">
        <is>
          <t>GMALG1</t>
        </is>
      </c>
      <c r="C145" s="89" t="inlineStr">
        <is>
          <t>Huawei</t>
        </is>
      </c>
      <c r="F145" t="n">
        <v>7.10846</v>
      </c>
      <c r="G145" t="n">
        <v>80.0449</v>
      </c>
      <c r="H145" t="inlineStr">
        <is>
          <t>GMALG1B</t>
        </is>
      </c>
      <c r="J145" s="91">
        <f>RIGHT(H145,1)</f>
        <v/>
      </c>
      <c r="K145" t="inlineStr">
        <is>
          <t>S2</t>
        </is>
      </c>
      <c r="L145" s="91" t="inlineStr">
        <is>
          <t>2G</t>
        </is>
      </c>
      <c r="M145" t="n">
        <v>900</v>
      </c>
      <c r="N145" s="91" t="inlineStr">
        <is>
          <t>AQU4518R9v06</t>
        </is>
      </c>
      <c r="P145" t="n">
        <v>200</v>
      </c>
      <c r="R145" s="92" t="n">
        <v>2</v>
      </c>
      <c r="AB145" s="91" t="inlineStr">
        <is>
          <t>R9264H M901821</t>
        </is>
      </c>
      <c r="AC145" s="91" t="inlineStr">
        <is>
          <t>A9652 S35*3+R9264H M901821*3+R9254E S8500*2+R9264 M1821N*1</t>
        </is>
      </c>
      <c r="AD145" s="91">
        <f>_xlfn.XLOOKUP(AE145,[4]透视表!$G:$G,[4]透视表!$D:$D)</f>
        <v/>
      </c>
      <c r="AE145" s="91">
        <f>A145&amp;K145</f>
        <v/>
      </c>
      <c r="AL145" s="91" t="inlineStr">
        <is>
          <t>高优先级</t>
        </is>
      </c>
    </row>
    <row r="146" hidden="1" ht="15" customHeight="1" s="99">
      <c r="A146" t="inlineStr">
        <is>
          <t>GMALG1</t>
        </is>
      </c>
      <c r="C146" s="89" t="inlineStr">
        <is>
          <t>Huawei</t>
        </is>
      </c>
      <c r="F146" t="n">
        <v>7.10846</v>
      </c>
      <c r="G146" t="n">
        <v>80.0449</v>
      </c>
      <c r="H146" t="inlineStr">
        <is>
          <t>GMALG1Q</t>
        </is>
      </c>
      <c r="J146" s="91">
        <f>RIGHT(H146,1)</f>
        <v/>
      </c>
      <c r="K146" t="inlineStr">
        <is>
          <t>S2</t>
        </is>
      </c>
      <c r="L146" s="91" t="inlineStr">
        <is>
          <t>2G</t>
        </is>
      </c>
      <c r="M146" t="n">
        <v>1800</v>
      </c>
      <c r="N146" s="91" t="inlineStr">
        <is>
          <t>AQU4518R9v06</t>
        </is>
      </c>
      <c r="P146" t="n">
        <v>200</v>
      </c>
      <c r="R146" s="92" t="n">
        <v>2</v>
      </c>
      <c r="AB146" s="91" t="inlineStr">
        <is>
          <t>R9264H M901821</t>
        </is>
      </c>
      <c r="AC146" s="91" t="inlineStr">
        <is>
          <t>A9652 S35*3+R9264H M901821*3+R9254E S8500*2+R9264 M1821N*1</t>
        </is>
      </c>
      <c r="AD146" s="91">
        <f>_xlfn.XLOOKUP(AE146,[4]透视表!$G:$G,[4]透视表!$E:$E)</f>
        <v/>
      </c>
      <c r="AE146" s="91">
        <f>A146&amp;K146</f>
        <v/>
      </c>
      <c r="AL146" s="91" t="inlineStr">
        <is>
          <t>高优先级</t>
        </is>
      </c>
    </row>
    <row r="147" hidden="1" ht="15" customHeight="1" s="99">
      <c r="A147" t="inlineStr">
        <is>
          <t>GMALG1</t>
        </is>
      </c>
      <c r="B147" t="inlineStr">
        <is>
          <t>GMALG1_0UL00_Aluthgama_Gm</t>
        </is>
      </c>
      <c r="C147" s="89" t="inlineStr">
        <is>
          <t>Huawei</t>
        </is>
      </c>
      <c r="F147" t="n">
        <v>7.10846</v>
      </c>
      <c r="G147" t="n">
        <v>80.0449</v>
      </c>
      <c r="H147" t="inlineStr">
        <is>
          <t>GMALG1-M-L85-B1</t>
        </is>
      </c>
      <c r="J147" s="91">
        <f>LEFT(RIGHT(H147,2),1)</f>
        <v/>
      </c>
      <c r="K147" s="91">
        <f>_xlfn.XLOOKUP(J147,#REF!,#REF!)</f>
        <v/>
      </c>
      <c r="L147" s="91" t="inlineStr">
        <is>
          <t>4G</t>
        </is>
      </c>
      <c r="M147" s="91" t="n">
        <v>850</v>
      </c>
      <c r="N147" s="91" t="inlineStr">
        <is>
          <t>AQU4518R9v06</t>
        </is>
      </c>
      <c r="O147" s="92" t="n">
        <v>60</v>
      </c>
      <c r="P147" t="n">
        <v>200</v>
      </c>
      <c r="R147" s="92" t="n">
        <v>0</v>
      </c>
      <c r="Y147" t="inlineStr">
        <is>
          <t>2T2R</t>
        </is>
      </c>
      <c r="AB147" s="91" t="inlineStr">
        <is>
          <t>R9254E S8500</t>
        </is>
      </c>
      <c r="AC147" s="91" t="inlineStr">
        <is>
          <t>A9652 S35*3+R9264H M901821*3+R9254E S8500*2+R9264 M1821N*1</t>
        </is>
      </c>
      <c r="AD147" s="91">
        <f>_xlfn.XLOOKUP(AE147,[4]透视表!$G:$G,[4]透视表!$D:$D)</f>
        <v/>
      </c>
      <c r="AE147" s="91">
        <f>A147&amp;K147</f>
        <v/>
      </c>
      <c r="AL147" s="91" t="inlineStr">
        <is>
          <t>高优先级</t>
        </is>
      </c>
    </row>
    <row r="148" hidden="1" ht="15" customHeight="1" s="99">
      <c r="A148" t="inlineStr">
        <is>
          <t>GMALG1</t>
        </is>
      </c>
      <c r="B148" t="inlineStr">
        <is>
          <t>GMALG1_0UL00_Aluthgama_Gm</t>
        </is>
      </c>
      <c r="C148" s="89" t="inlineStr">
        <is>
          <t>Huawei</t>
        </is>
      </c>
      <c r="F148" t="n">
        <v>7.10846</v>
      </c>
      <c r="G148" t="n">
        <v>80.0449</v>
      </c>
      <c r="H148" t="inlineStr">
        <is>
          <t>GMALG1H</t>
        </is>
      </c>
      <c r="J148" s="91">
        <f>RIGHT(H148,1)</f>
        <v/>
      </c>
      <c r="K148" s="91">
        <f>_xlfn.XLOOKUP(J148,#REF!,#REF!)</f>
        <v/>
      </c>
      <c r="L148" s="91" t="inlineStr">
        <is>
          <t>4G</t>
        </is>
      </c>
      <c r="M148" s="91" t="n">
        <v>1800</v>
      </c>
      <c r="N148" s="91" t="inlineStr">
        <is>
          <t>AQU4518R9v06</t>
        </is>
      </c>
      <c r="O148" s="92" t="n">
        <v>60</v>
      </c>
      <c r="P148" t="n">
        <v>200</v>
      </c>
      <c r="R148" s="92" t="n">
        <v>0</v>
      </c>
      <c r="Y148" t="inlineStr">
        <is>
          <t>2T2R</t>
        </is>
      </c>
      <c r="AB148" s="91" t="inlineStr">
        <is>
          <t>R9264H M901821</t>
        </is>
      </c>
      <c r="AC148" s="91" t="inlineStr">
        <is>
          <t>A9652 S35*3+R9264H M901821*3+R9254E S8500*2+R9264 M1821N*1</t>
        </is>
      </c>
      <c r="AD148" s="91">
        <f>_xlfn.XLOOKUP(AE148,[4]透视表!$G:$G,[4]透视表!$E:$E)</f>
        <v/>
      </c>
      <c r="AE148" s="91">
        <f>A148&amp;K148</f>
        <v/>
      </c>
      <c r="AL148" s="91" t="inlineStr">
        <is>
          <t>高优先级</t>
        </is>
      </c>
    </row>
    <row r="149" hidden="1" ht="15" customHeight="1" s="99">
      <c r="A149" t="inlineStr">
        <is>
          <t>GMALG1</t>
        </is>
      </c>
      <c r="B149" t="inlineStr">
        <is>
          <t>GMALG1_0UL00_Aluthgama_Gm</t>
        </is>
      </c>
      <c r="C149" s="89" t="inlineStr">
        <is>
          <t>Huawei</t>
        </is>
      </c>
      <c r="F149" t="n">
        <v>7.10846</v>
      </c>
      <c r="G149" t="n">
        <v>80.0449</v>
      </c>
      <c r="H149" t="inlineStr">
        <is>
          <t>GMALG1-M-L21-B2</t>
        </is>
      </c>
      <c r="J149" s="91">
        <f>LEFT(RIGHT(H149,2),1)</f>
        <v/>
      </c>
      <c r="K149" s="91">
        <f>_xlfn.XLOOKUP(J149,#REF!,#REF!)</f>
        <v/>
      </c>
      <c r="L149" s="91" t="inlineStr">
        <is>
          <t>4G</t>
        </is>
      </c>
      <c r="M149" s="91" t="n">
        <v>2100</v>
      </c>
      <c r="N149" s="91" t="inlineStr">
        <is>
          <t>AQU4518R9v06</t>
        </is>
      </c>
      <c r="O149" s="92" t="n">
        <v>60</v>
      </c>
      <c r="P149" t="n">
        <v>200</v>
      </c>
      <c r="R149" s="92" t="n">
        <v>0</v>
      </c>
      <c r="Y149" t="inlineStr">
        <is>
          <t>2T2R</t>
        </is>
      </c>
      <c r="AB149" s="91" t="inlineStr">
        <is>
          <t>R9264H M901821</t>
        </is>
      </c>
      <c r="AC149" s="91" t="inlineStr">
        <is>
          <t>A9652 S35*3+R9264H M901821*3+R9254E S8500*2+R9264 M1821N*1</t>
        </is>
      </c>
      <c r="AD149" s="91">
        <f>_xlfn.XLOOKUP(AE149,[4]透视表!$G:$G,[4]透视表!$F:$F)</f>
        <v/>
      </c>
      <c r="AE149" s="91">
        <f>A149&amp;K149</f>
        <v/>
      </c>
      <c r="AL149" s="91" t="inlineStr">
        <is>
          <t>高优先级</t>
        </is>
      </c>
    </row>
    <row r="150" hidden="1" ht="15" customHeight="1" s="99">
      <c r="A150" t="inlineStr">
        <is>
          <t>GMALG1</t>
        </is>
      </c>
      <c r="C150" s="89" t="inlineStr">
        <is>
          <t>Huawei</t>
        </is>
      </c>
      <c r="F150" t="n">
        <v>7.10846</v>
      </c>
      <c r="G150" t="n">
        <v>80.0449</v>
      </c>
      <c r="H150" t="inlineStr">
        <is>
          <t>GMALG1C</t>
        </is>
      </c>
      <c r="J150" s="91">
        <f>RIGHT(H150,1)</f>
        <v/>
      </c>
      <c r="K150" t="inlineStr">
        <is>
          <t>S3</t>
        </is>
      </c>
      <c r="L150" s="91" t="inlineStr">
        <is>
          <t>2G</t>
        </is>
      </c>
      <c r="M150" t="n">
        <v>900</v>
      </c>
      <c r="N150" s="91" t="e">
        <v>#N/A</v>
      </c>
      <c r="P150" t="n">
        <v>270</v>
      </c>
      <c r="R150" s="92" t="n">
        <v>2</v>
      </c>
      <c r="AB150" s="91" t="inlineStr">
        <is>
          <t>R9264H M901821</t>
        </is>
      </c>
      <c r="AC150" s="91" t="inlineStr">
        <is>
          <t>A9652 S35*3+R9264H M901821*3+R9254E S8500*2+R9264 M1821N*1</t>
        </is>
      </c>
      <c r="AD150" s="91">
        <f>_xlfn.XLOOKUP(AE150,[4]透视表!$G:$G,[4]透视表!$D:$D)</f>
        <v/>
      </c>
      <c r="AE150" s="91">
        <f>A150&amp;K150</f>
        <v/>
      </c>
      <c r="AL150" s="91" t="inlineStr">
        <is>
          <t>高优先级</t>
        </is>
      </c>
    </row>
    <row r="151" hidden="1" ht="15" customHeight="1" s="99">
      <c r="A151" t="inlineStr">
        <is>
          <t>GMALG1</t>
        </is>
      </c>
      <c r="C151" s="89" t="inlineStr">
        <is>
          <t>Huawei</t>
        </is>
      </c>
      <c r="F151" t="n">
        <v>7.10846</v>
      </c>
      <c r="G151" t="n">
        <v>80.0449</v>
      </c>
      <c r="H151" t="inlineStr">
        <is>
          <t>GMALG1R</t>
        </is>
      </c>
      <c r="J151" s="91">
        <f>RIGHT(H151,1)</f>
        <v/>
      </c>
      <c r="K151" t="inlineStr">
        <is>
          <t>S3</t>
        </is>
      </c>
      <c r="L151" s="91" t="inlineStr">
        <is>
          <t>2G</t>
        </is>
      </c>
      <c r="M151" t="n">
        <v>1800</v>
      </c>
      <c r="N151" s="91" t="e">
        <v>#N/A</v>
      </c>
      <c r="P151" t="n">
        <v>270</v>
      </c>
      <c r="R151" s="92" t="n">
        <v>2</v>
      </c>
      <c r="AB151" s="91" t="inlineStr">
        <is>
          <t>R9264H M901821</t>
        </is>
      </c>
      <c r="AC151" s="91" t="inlineStr">
        <is>
          <t>A9652 S35*3+R9264H M901821*3+R9254E S8500*2+R9264 M1821N*1</t>
        </is>
      </c>
      <c r="AD151" s="91">
        <f>_xlfn.XLOOKUP(AE151,[4]透视表!$G:$G,[4]透视表!$E:$E)</f>
        <v/>
      </c>
      <c r="AE151" s="91">
        <f>A151&amp;K151</f>
        <v/>
      </c>
      <c r="AL151" s="91" t="inlineStr">
        <is>
          <t>高优先级</t>
        </is>
      </c>
    </row>
    <row r="152" hidden="1" ht="15" customHeight="1" s="99">
      <c r="A152" t="inlineStr">
        <is>
          <t>GMALG1</t>
        </is>
      </c>
      <c r="B152" t="inlineStr">
        <is>
          <t>GMALG1_0UL00_Aluthgama_Gm</t>
        </is>
      </c>
      <c r="C152" s="89" t="inlineStr">
        <is>
          <t>Huawei</t>
        </is>
      </c>
      <c r="F152" t="n">
        <v>7.10846</v>
      </c>
      <c r="G152" t="n">
        <v>80.0449</v>
      </c>
      <c r="H152" t="inlineStr">
        <is>
          <t>GMALG1-M-L85-C1</t>
        </is>
      </c>
      <c r="J152" s="91">
        <f>LEFT(RIGHT(H152,2),1)</f>
        <v/>
      </c>
      <c r="K152" s="91">
        <f>_xlfn.XLOOKUP(J152,#REF!,#REF!)</f>
        <v/>
      </c>
      <c r="L152" s="91" t="inlineStr">
        <is>
          <t>4G</t>
        </is>
      </c>
      <c r="M152" s="91" t="n">
        <v>850</v>
      </c>
      <c r="N152" s="91" t="e">
        <v>#N/A</v>
      </c>
      <c r="O152" s="92" t="n">
        <v>60</v>
      </c>
      <c r="P152" t="n">
        <v>270</v>
      </c>
      <c r="R152" s="92" t="n">
        <v>0</v>
      </c>
      <c r="Y152" t="inlineStr">
        <is>
          <t>2T2R</t>
        </is>
      </c>
      <c r="AB152" s="91" t="inlineStr">
        <is>
          <t>R9254E S8500</t>
        </is>
      </c>
      <c r="AC152" s="91" t="inlineStr">
        <is>
          <t>A9652 S35*3+R9264H M901821*3+R9254E S8500*2+R9264 M1821N*1</t>
        </is>
      </c>
      <c r="AD152" s="91">
        <f>_xlfn.XLOOKUP(AE152,[4]透视表!$G:$G,[4]透视表!$D:$D)</f>
        <v/>
      </c>
      <c r="AE152" s="91">
        <f>A152&amp;K152</f>
        <v/>
      </c>
      <c r="AL152" s="91" t="inlineStr">
        <is>
          <t>高优先级</t>
        </is>
      </c>
    </row>
    <row r="153" hidden="1" ht="15" customHeight="1" s="99">
      <c r="A153" t="inlineStr">
        <is>
          <t>GMALG1</t>
        </is>
      </c>
      <c r="B153" t="inlineStr">
        <is>
          <t>GMALG1_0UL00_Aluthgama_Gm</t>
        </is>
      </c>
      <c r="C153" s="89" t="inlineStr">
        <is>
          <t>Huawei</t>
        </is>
      </c>
      <c r="F153" t="n">
        <v>7.10846</v>
      </c>
      <c r="G153" t="n">
        <v>80.0449</v>
      </c>
      <c r="H153" t="inlineStr">
        <is>
          <t>GMALG1I</t>
        </is>
      </c>
      <c r="J153" s="91">
        <f>RIGHT(H153,1)</f>
        <v/>
      </c>
      <c r="K153" s="91">
        <f>_xlfn.XLOOKUP(J153,#REF!,#REF!)</f>
        <v/>
      </c>
      <c r="L153" s="91" t="inlineStr">
        <is>
          <t>4G</t>
        </is>
      </c>
      <c r="M153" s="91" t="n">
        <v>1800</v>
      </c>
      <c r="N153" s="91" t="e">
        <v>#N/A</v>
      </c>
      <c r="O153" s="92" t="n">
        <v>60</v>
      </c>
      <c r="P153" t="n">
        <v>270</v>
      </c>
      <c r="R153" s="92" t="n">
        <v>0</v>
      </c>
      <c r="Y153" t="inlineStr">
        <is>
          <t>2T2R</t>
        </is>
      </c>
      <c r="AB153" s="91" t="inlineStr">
        <is>
          <t>R9264H M901821</t>
        </is>
      </c>
      <c r="AC153" s="91" t="inlineStr">
        <is>
          <t>A9652 S35*3+R9264H M901821*3+R9254E S8500*2+R9264 M1821N*1</t>
        </is>
      </c>
      <c r="AD153" s="91">
        <f>_xlfn.XLOOKUP(AE153,[4]透视表!$G:$G,[4]透视表!$E:$E)</f>
        <v/>
      </c>
      <c r="AE153" s="91">
        <f>A153&amp;K153</f>
        <v/>
      </c>
      <c r="AL153" s="91" t="inlineStr">
        <is>
          <t>高优先级</t>
        </is>
      </c>
    </row>
    <row r="154" hidden="1" ht="15" customHeight="1" s="99">
      <c r="A154" t="inlineStr">
        <is>
          <t>GMALG1</t>
        </is>
      </c>
      <c r="B154" t="inlineStr">
        <is>
          <t>GMALG1_0UL00_Aluthgama_Gm</t>
        </is>
      </c>
      <c r="C154" s="89" t="inlineStr">
        <is>
          <t>Huawei</t>
        </is>
      </c>
      <c r="F154" t="n">
        <v>7.10846</v>
      </c>
      <c r="G154" t="n">
        <v>80.0449</v>
      </c>
      <c r="H154" t="inlineStr">
        <is>
          <t>GMALG1-M-L21-C2</t>
        </is>
      </c>
      <c r="J154" s="91">
        <f>LEFT(RIGHT(H154,2),1)</f>
        <v/>
      </c>
      <c r="K154" s="91">
        <f>_xlfn.XLOOKUP(J154,#REF!,#REF!)</f>
        <v/>
      </c>
      <c r="L154" s="91" t="inlineStr">
        <is>
          <t>4G</t>
        </is>
      </c>
      <c r="M154" s="91" t="n">
        <v>2100</v>
      </c>
      <c r="N154" s="91" t="e">
        <v>#N/A</v>
      </c>
      <c r="O154" s="92" t="n">
        <v>60</v>
      </c>
      <c r="P154" t="n">
        <v>270</v>
      </c>
      <c r="R154" s="92" t="n">
        <v>0</v>
      </c>
      <c r="Y154" t="inlineStr">
        <is>
          <t>2T2R</t>
        </is>
      </c>
      <c r="AB154" s="91" t="inlineStr">
        <is>
          <t>R9264H M901821</t>
        </is>
      </c>
      <c r="AC154" s="91" t="inlineStr">
        <is>
          <t>A9652 S35*3+R9264H M901821*3+R9254E S8500*2+R9264 M1821N*1</t>
        </is>
      </c>
      <c r="AD154" s="91">
        <f>_xlfn.XLOOKUP(AE154,[4]透视表!$G:$G,[4]透视表!$F:$F)</f>
        <v/>
      </c>
      <c r="AE154" s="91">
        <f>A154&amp;K154</f>
        <v/>
      </c>
      <c r="AL154" s="91" t="inlineStr">
        <is>
          <t>高优先级</t>
        </is>
      </c>
    </row>
    <row r="155" hidden="1" ht="15" customHeight="1" s="99">
      <c r="A155" t="inlineStr">
        <is>
          <t>GMBAT1</t>
        </is>
      </c>
      <c r="C155" s="89" t="inlineStr">
        <is>
          <t>Huawei</t>
        </is>
      </c>
      <c r="F155" t="n">
        <v>7.05558</v>
      </c>
      <c r="G155" t="n">
        <v>79.94289999999999</v>
      </c>
      <c r="H155" t="inlineStr">
        <is>
          <t>GMBAT1A</t>
        </is>
      </c>
      <c r="J155" s="91">
        <f>RIGHT(H155,1)</f>
        <v/>
      </c>
      <c r="K155" t="inlineStr">
        <is>
          <t>S1</t>
        </is>
      </c>
      <c r="L155" s="91" t="inlineStr">
        <is>
          <t>2G</t>
        </is>
      </c>
      <c r="M155" t="n">
        <v>900</v>
      </c>
      <c r="N155" s="91" t="inlineStr"/>
      <c r="P155" t="n">
        <v>0</v>
      </c>
      <c r="R155" s="92" t="n">
        <v>2</v>
      </c>
      <c r="AB155" s="91" t="inlineStr">
        <is>
          <t>R9264H M901821</t>
        </is>
      </c>
      <c r="AC155" s="91" t="inlineStr">
        <is>
          <t>A9652 S35*3+R9264H M901821*3+R9254E S8500*2</t>
        </is>
      </c>
      <c r="AD155" s="91">
        <f>_xlfn.XLOOKUP(AE155,[4]透视表!$G:$G,[4]透视表!$D:$D)</f>
        <v/>
      </c>
      <c r="AE155" s="91">
        <f>A155&amp;K155</f>
        <v/>
      </c>
      <c r="AL155" s="91" t="inlineStr">
        <is>
          <t>高优先级</t>
        </is>
      </c>
    </row>
    <row r="156" hidden="1" ht="15" customHeight="1" s="99">
      <c r="A156" t="inlineStr">
        <is>
          <t>GMBAT1</t>
        </is>
      </c>
      <c r="C156" s="89" t="inlineStr">
        <is>
          <t>Huawei</t>
        </is>
      </c>
      <c r="F156" t="n">
        <v>7.05558</v>
      </c>
      <c r="G156" t="n">
        <v>79.94289999999999</v>
      </c>
      <c r="H156" t="inlineStr">
        <is>
          <t>GMBAT1P</t>
        </is>
      </c>
      <c r="J156" s="91">
        <f>RIGHT(H156,1)</f>
        <v/>
      </c>
      <c r="K156" t="inlineStr">
        <is>
          <t>S1</t>
        </is>
      </c>
      <c r="L156" s="91" t="inlineStr">
        <is>
          <t>2G</t>
        </is>
      </c>
      <c r="M156" t="n">
        <v>1800</v>
      </c>
      <c r="N156" s="91" t="inlineStr">
        <is>
          <t>AQU4518R9v06</t>
        </is>
      </c>
      <c r="P156" t="n">
        <v>0</v>
      </c>
      <c r="R156" s="92" t="n">
        <v>2</v>
      </c>
      <c r="AB156" s="91" t="inlineStr">
        <is>
          <t>R9264H M901821</t>
        </is>
      </c>
      <c r="AC156" s="91" t="inlineStr">
        <is>
          <t>A9652 S35*3+R9264H M901821*3+R9254E S8500*2</t>
        </is>
      </c>
      <c r="AD156" s="91">
        <f>_xlfn.XLOOKUP(AE156,[4]透视表!$G:$G,[4]透视表!$E:$E)</f>
        <v/>
      </c>
      <c r="AE156" s="91">
        <f>A156&amp;K156</f>
        <v/>
      </c>
      <c r="AL156" s="91" t="inlineStr">
        <is>
          <t>高优先级</t>
        </is>
      </c>
    </row>
    <row r="157" hidden="1" ht="15" customHeight="1" s="99">
      <c r="A157" t="inlineStr">
        <is>
          <t>GMBAT1</t>
        </is>
      </c>
      <c r="B157" t="inlineStr">
        <is>
          <t>GMBAT1_00L00_Batuwatta2_IP_Kd</t>
        </is>
      </c>
      <c r="C157" s="89" t="inlineStr">
        <is>
          <t>Huawei</t>
        </is>
      </c>
      <c r="F157" t="n">
        <v>7.05558</v>
      </c>
      <c r="G157" t="n">
        <v>79.94289999999999</v>
      </c>
      <c r="H157" t="inlineStr">
        <is>
          <t>GMBAT1-M-L85-A1</t>
        </is>
      </c>
      <c r="J157" s="91">
        <f>LEFT(RIGHT(H157,2),1)</f>
        <v/>
      </c>
      <c r="K157" s="91">
        <f>_xlfn.XLOOKUP(J157,#REF!,#REF!)</f>
        <v/>
      </c>
      <c r="L157" s="91" t="inlineStr">
        <is>
          <t>4G</t>
        </is>
      </c>
      <c r="M157" s="91" t="n">
        <v>850</v>
      </c>
      <c r="N157" s="91" t="inlineStr"/>
      <c r="O157" s="92" t="n">
        <v>60</v>
      </c>
      <c r="P157" t="n">
        <v>0</v>
      </c>
      <c r="R157" s="92" t="n">
        <v>0</v>
      </c>
      <c r="Y157" t="inlineStr">
        <is>
          <t>2T2R</t>
        </is>
      </c>
      <c r="AB157" s="91" t="inlineStr">
        <is>
          <t>R9254E S8500</t>
        </is>
      </c>
      <c r="AC157" s="91" t="inlineStr">
        <is>
          <t>A9652 S35*3+R9264H M901821*3+R9254E S8500*2</t>
        </is>
      </c>
      <c r="AD157" s="91">
        <f>_xlfn.XLOOKUP(AE157,[4]透视表!$G:$G,[4]透视表!$D:$D)</f>
        <v/>
      </c>
      <c r="AE157" s="91">
        <f>A157&amp;K157</f>
        <v/>
      </c>
      <c r="AL157" s="91" t="inlineStr">
        <is>
          <t>高优先级</t>
        </is>
      </c>
    </row>
    <row r="158" hidden="1" ht="15" customHeight="1" s="99">
      <c r="A158" t="inlineStr">
        <is>
          <t>GMBAT1</t>
        </is>
      </c>
      <c r="B158" t="inlineStr">
        <is>
          <t>GMBAT1_00L00_Batuwatta2_IP_Kd</t>
        </is>
      </c>
      <c r="C158" s="89" t="inlineStr">
        <is>
          <t>Huawei</t>
        </is>
      </c>
      <c r="F158" t="n">
        <v>7.05558</v>
      </c>
      <c r="G158" t="n">
        <v>79.94289999999999</v>
      </c>
      <c r="H158" t="inlineStr">
        <is>
          <t>GMBAT1G</t>
        </is>
      </c>
      <c r="J158" s="91">
        <f>RIGHT(H158,1)</f>
        <v/>
      </c>
      <c r="K158" s="91">
        <f>_xlfn.XLOOKUP(J158,#REF!,#REF!)</f>
        <v/>
      </c>
      <c r="L158" s="91" t="inlineStr">
        <is>
          <t>4G</t>
        </is>
      </c>
      <c r="M158" s="91" t="n">
        <v>1800</v>
      </c>
      <c r="N158" s="91" t="inlineStr">
        <is>
          <t>AQU4518R9v06</t>
        </is>
      </c>
      <c r="O158" s="92" t="n">
        <v>60</v>
      </c>
      <c r="P158" t="n">
        <v>0</v>
      </c>
      <c r="R158" s="92" t="n">
        <v>0</v>
      </c>
      <c r="Y158" t="inlineStr">
        <is>
          <t>2T2R</t>
        </is>
      </c>
      <c r="AB158" s="91" t="inlineStr">
        <is>
          <t>R9264H M901821</t>
        </is>
      </c>
      <c r="AC158" s="91" t="inlineStr">
        <is>
          <t>A9652 S35*3+R9264H M901821*3+R9254E S8500*2</t>
        </is>
      </c>
      <c r="AD158" s="91">
        <f>_xlfn.XLOOKUP(AE158,[4]透视表!$G:$G,[4]透视表!$E:$E)</f>
        <v/>
      </c>
      <c r="AE158" s="91">
        <f>A158&amp;K158</f>
        <v/>
      </c>
      <c r="AL158" s="91" t="inlineStr">
        <is>
          <t>高优先级</t>
        </is>
      </c>
    </row>
    <row r="159" hidden="1" ht="15" customHeight="1" s="99">
      <c r="A159" t="inlineStr">
        <is>
          <t>GMBAT1</t>
        </is>
      </c>
      <c r="C159" s="89" t="inlineStr">
        <is>
          <t>Huawei</t>
        </is>
      </c>
      <c r="F159" t="n">
        <v>7.05558</v>
      </c>
      <c r="G159" t="n">
        <v>79.94289999999999</v>
      </c>
      <c r="H159" t="inlineStr">
        <is>
          <t>GMBAT1B</t>
        </is>
      </c>
      <c r="J159" s="91">
        <f>RIGHT(H159,1)</f>
        <v/>
      </c>
      <c r="K159" t="inlineStr">
        <is>
          <t>S2</t>
        </is>
      </c>
      <c r="L159" s="91" t="inlineStr">
        <is>
          <t>2G</t>
        </is>
      </c>
      <c r="M159" t="n">
        <v>900</v>
      </c>
      <c r="N159" s="91" t="inlineStr"/>
      <c r="P159" t="n">
        <v>120</v>
      </c>
      <c r="R159" s="92" t="n">
        <v>2</v>
      </c>
      <c r="AB159" s="91" t="inlineStr">
        <is>
          <t>R9264H M901821</t>
        </is>
      </c>
      <c r="AC159" s="91" t="inlineStr">
        <is>
          <t>A9652 S35*3+R9264H M901821*3+R9254E S8500*2</t>
        </is>
      </c>
      <c r="AD159" s="91">
        <f>_xlfn.XLOOKUP(AE159,[4]透视表!$G:$G,[4]透视表!$D:$D)</f>
        <v/>
      </c>
      <c r="AE159" s="91">
        <f>A159&amp;K159</f>
        <v/>
      </c>
      <c r="AL159" s="91" t="inlineStr">
        <is>
          <t>高优先级</t>
        </is>
      </c>
    </row>
    <row r="160" hidden="1" ht="15" customHeight="1" s="99">
      <c r="A160" t="inlineStr">
        <is>
          <t>GMBAT1</t>
        </is>
      </c>
      <c r="C160" s="89" t="inlineStr">
        <is>
          <t>Huawei</t>
        </is>
      </c>
      <c r="F160" t="n">
        <v>7.05558</v>
      </c>
      <c r="G160" t="n">
        <v>79.94289999999999</v>
      </c>
      <c r="H160" t="inlineStr">
        <is>
          <t>GMBAT1Q</t>
        </is>
      </c>
      <c r="J160" s="91">
        <f>RIGHT(H160,1)</f>
        <v/>
      </c>
      <c r="K160" t="inlineStr">
        <is>
          <t>S2</t>
        </is>
      </c>
      <c r="L160" s="91" t="inlineStr">
        <is>
          <t>2G</t>
        </is>
      </c>
      <c r="M160" t="n">
        <v>1800</v>
      </c>
      <c r="N160" s="91" t="inlineStr">
        <is>
          <t>AQU4518R9v06</t>
        </is>
      </c>
      <c r="P160" t="n">
        <v>120</v>
      </c>
      <c r="R160" s="92" t="n">
        <v>2</v>
      </c>
      <c r="AB160" s="91" t="inlineStr">
        <is>
          <t>R9264H M901821</t>
        </is>
      </c>
      <c r="AC160" s="91" t="inlineStr">
        <is>
          <t>A9652 S35*3+R9264H M901821*3+R9254E S8500*2</t>
        </is>
      </c>
      <c r="AD160" s="91">
        <f>_xlfn.XLOOKUP(AE160,[4]透视表!$G:$G,[4]透视表!$E:$E)</f>
        <v/>
      </c>
      <c r="AE160" s="91">
        <f>A160&amp;K160</f>
        <v/>
      </c>
      <c r="AL160" s="91" t="inlineStr">
        <is>
          <t>高优先级</t>
        </is>
      </c>
    </row>
    <row r="161" hidden="1" ht="15" customHeight="1" s="99">
      <c r="A161" t="inlineStr">
        <is>
          <t>GMBAT1</t>
        </is>
      </c>
      <c r="B161" t="inlineStr">
        <is>
          <t>GMBAT1_00L00_Batuwatta2_IP_Kd</t>
        </is>
      </c>
      <c r="C161" s="89" t="inlineStr">
        <is>
          <t>Huawei</t>
        </is>
      </c>
      <c r="F161" t="n">
        <v>7.05558</v>
      </c>
      <c r="G161" t="n">
        <v>79.94289999999999</v>
      </c>
      <c r="H161" t="inlineStr">
        <is>
          <t>GMBAT1-M-L85-B1</t>
        </is>
      </c>
      <c r="J161" s="91">
        <f>LEFT(RIGHT(H161,2),1)</f>
        <v/>
      </c>
      <c r="K161" s="91">
        <f>_xlfn.XLOOKUP(J161,#REF!,#REF!)</f>
        <v/>
      </c>
      <c r="L161" s="91" t="inlineStr">
        <is>
          <t>4G</t>
        </is>
      </c>
      <c r="M161" s="91" t="n">
        <v>850</v>
      </c>
      <c r="N161" s="91" t="inlineStr"/>
      <c r="O161" s="92" t="n">
        <v>60</v>
      </c>
      <c r="P161" t="n">
        <v>120</v>
      </c>
      <c r="R161" s="92" t="n">
        <v>0</v>
      </c>
      <c r="Y161" t="inlineStr">
        <is>
          <t>2T2R</t>
        </is>
      </c>
      <c r="AB161" s="91" t="inlineStr">
        <is>
          <t>R9254E S8500</t>
        </is>
      </c>
      <c r="AC161" s="91" t="inlineStr">
        <is>
          <t>A9652 S35*3+R9264H M901821*3+R9254E S8500*2</t>
        </is>
      </c>
      <c r="AD161" s="91">
        <f>_xlfn.XLOOKUP(AE161,[4]透视表!$G:$G,[4]透视表!$D:$D)</f>
        <v/>
      </c>
      <c r="AE161" s="91">
        <f>A161&amp;K161</f>
        <v/>
      </c>
      <c r="AL161" s="91" t="inlineStr">
        <is>
          <t>高优先级</t>
        </is>
      </c>
    </row>
    <row r="162" hidden="1" ht="15" customHeight="1" s="99">
      <c r="A162" t="inlineStr">
        <is>
          <t>GMBAT1</t>
        </is>
      </c>
      <c r="B162" t="inlineStr">
        <is>
          <t>GMBAT1_00L00_Batuwatta2_IP_Kd</t>
        </is>
      </c>
      <c r="C162" s="89" t="inlineStr">
        <is>
          <t>Huawei</t>
        </is>
      </c>
      <c r="F162" t="n">
        <v>7.05558</v>
      </c>
      <c r="G162" t="n">
        <v>79.94289999999999</v>
      </c>
      <c r="H162" t="inlineStr">
        <is>
          <t>GMBAT1H</t>
        </is>
      </c>
      <c r="J162" s="91">
        <f>RIGHT(H162,1)</f>
        <v/>
      </c>
      <c r="K162" s="91">
        <f>_xlfn.XLOOKUP(J162,#REF!,#REF!)</f>
        <v/>
      </c>
      <c r="L162" s="91" t="inlineStr">
        <is>
          <t>4G</t>
        </is>
      </c>
      <c r="M162" s="91" t="n">
        <v>1800</v>
      </c>
      <c r="N162" s="91" t="inlineStr">
        <is>
          <t>AQU4518R9v06</t>
        </is>
      </c>
      <c r="O162" s="92" t="n">
        <v>60</v>
      </c>
      <c r="P162" t="n">
        <v>120</v>
      </c>
      <c r="R162" s="92" t="n">
        <v>0</v>
      </c>
      <c r="Y162" t="inlineStr">
        <is>
          <t>2T2R</t>
        </is>
      </c>
      <c r="AB162" s="91" t="inlineStr">
        <is>
          <t>R9264H M901821</t>
        </is>
      </c>
      <c r="AC162" s="91" t="inlineStr">
        <is>
          <t>A9652 S35*3+R9264H M901821*3+R9254E S8500*2</t>
        </is>
      </c>
      <c r="AD162" s="91">
        <f>_xlfn.XLOOKUP(AE162,[4]透视表!$G:$G,[4]透视表!$E:$E)</f>
        <v/>
      </c>
      <c r="AE162" s="91">
        <f>A162&amp;K162</f>
        <v/>
      </c>
      <c r="AL162" s="91" t="inlineStr">
        <is>
          <t>高优先级</t>
        </is>
      </c>
    </row>
    <row r="163" hidden="1" ht="15" customHeight="1" s="99">
      <c r="A163" t="inlineStr">
        <is>
          <t>GMBAT1</t>
        </is>
      </c>
      <c r="C163" s="89" t="inlineStr">
        <is>
          <t>Huawei</t>
        </is>
      </c>
      <c r="F163" t="n">
        <v>7.05558</v>
      </c>
      <c r="G163" t="n">
        <v>79.94289999999999</v>
      </c>
      <c r="H163" t="inlineStr">
        <is>
          <t>GMBAT1C</t>
        </is>
      </c>
      <c r="J163" s="91">
        <f>RIGHT(H163,1)</f>
        <v/>
      </c>
      <c r="K163" t="inlineStr">
        <is>
          <t>S3</t>
        </is>
      </c>
      <c r="L163" s="91" t="inlineStr">
        <is>
          <t>2G</t>
        </is>
      </c>
      <c r="M163" t="n">
        <v>900</v>
      </c>
      <c r="N163" s="91" t="e">
        <v>#N/A</v>
      </c>
      <c r="P163" t="n">
        <v>260</v>
      </c>
      <c r="R163" s="92" t="n">
        <v>2</v>
      </c>
      <c r="AB163" s="91" t="inlineStr">
        <is>
          <t>R9264H M901821</t>
        </is>
      </c>
      <c r="AC163" s="91" t="inlineStr">
        <is>
          <t>A9652 S35*3+R9264H M901821*3+R9254E S8500*2</t>
        </is>
      </c>
      <c r="AD163" s="91">
        <f>_xlfn.XLOOKUP(AE163,[4]透视表!$G:$G,[4]透视表!$D:$D)</f>
        <v/>
      </c>
      <c r="AE163" s="91">
        <f>A163&amp;K163</f>
        <v/>
      </c>
      <c r="AL163" s="91" t="inlineStr">
        <is>
          <t>高优先级</t>
        </is>
      </c>
    </row>
    <row r="164" hidden="1" ht="15" customHeight="1" s="99">
      <c r="A164" t="inlineStr">
        <is>
          <t>GMBAT1</t>
        </is>
      </c>
      <c r="C164" s="89" t="inlineStr">
        <is>
          <t>Huawei</t>
        </is>
      </c>
      <c r="F164" t="n">
        <v>7.05558</v>
      </c>
      <c r="G164" t="n">
        <v>79.94289999999999</v>
      </c>
      <c r="H164" t="inlineStr">
        <is>
          <t>GMBAT1R</t>
        </is>
      </c>
      <c r="J164" s="91">
        <f>RIGHT(H164,1)</f>
        <v/>
      </c>
      <c r="K164" t="inlineStr">
        <is>
          <t>S3</t>
        </is>
      </c>
      <c r="L164" s="91" t="inlineStr">
        <is>
          <t>2G</t>
        </is>
      </c>
      <c r="M164" t="n">
        <v>1800</v>
      </c>
      <c r="N164" s="91" t="e">
        <v>#N/A</v>
      </c>
      <c r="P164" t="n">
        <v>260</v>
      </c>
      <c r="R164" s="92" t="n">
        <v>2</v>
      </c>
      <c r="AB164" s="91" t="inlineStr">
        <is>
          <t>R9264H M901821</t>
        </is>
      </c>
      <c r="AC164" s="91" t="inlineStr">
        <is>
          <t>A9652 S35*3+R9264H M901821*3+R9254E S8500*2</t>
        </is>
      </c>
      <c r="AD164" s="91">
        <f>_xlfn.XLOOKUP(AE164,[4]透视表!$G:$G,[4]透视表!$E:$E)</f>
        <v/>
      </c>
      <c r="AE164" s="91">
        <f>A164&amp;K164</f>
        <v/>
      </c>
      <c r="AL164" s="91" t="inlineStr">
        <is>
          <t>高优先级</t>
        </is>
      </c>
    </row>
    <row r="165" hidden="1" ht="15" customHeight="1" s="99">
      <c r="A165" t="inlineStr">
        <is>
          <t>GMBAT1</t>
        </is>
      </c>
      <c r="B165" t="inlineStr">
        <is>
          <t>GMBAT1_00L00_Batuwatta2_IP_Kd</t>
        </is>
      </c>
      <c r="C165" s="89" t="inlineStr">
        <is>
          <t>Huawei</t>
        </is>
      </c>
      <c r="F165" t="n">
        <v>7.05558</v>
      </c>
      <c r="G165" t="n">
        <v>79.94289999999999</v>
      </c>
      <c r="H165" t="inlineStr">
        <is>
          <t>GMBAT1-M-L85-C1</t>
        </is>
      </c>
      <c r="J165" s="91">
        <f>LEFT(RIGHT(H165,2),1)</f>
        <v/>
      </c>
      <c r="K165" s="91">
        <f>_xlfn.XLOOKUP(J165,#REF!,#REF!)</f>
        <v/>
      </c>
      <c r="L165" s="91" t="inlineStr">
        <is>
          <t>4G</t>
        </is>
      </c>
      <c r="M165" s="91" t="n">
        <v>850</v>
      </c>
      <c r="N165" s="91" t="e">
        <v>#N/A</v>
      </c>
      <c r="O165" s="92" t="n">
        <v>60</v>
      </c>
      <c r="P165" t="n">
        <v>260</v>
      </c>
      <c r="R165" s="92" t="n">
        <v>0</v>
      </c>
      <c r="Y165" t="inlineStr">
        <is>
          <t>2T2R</t>
        </is>
      </c>
      <c r="AB165" s="91" t="inlineStr">
        <is>
          <t>R9254E S8500</t>
        </is>
      </c>
      <c r="AC165" s="91" t="inlineStr">
        <is>
          <t>A9652 S35*3+R9264H M901821*3+R9254E S8500*2</t>
        </is>
      </c>
      <c r="AD165" s="91">
        <f>_xlfn.XLOOKUP(AE165,[4]透视表!$G:$G,[4]透视表!$D:$D)</f>
        <v/>
      </c>
      <c r="AE165" s="91">
        <f>A165&amp;K165</f>
        <v/>
      </c>
      <c r="AL165" s="91" t="inlineStr">
        <is>
          <t>高优先级</t>
        </is>
      </c>
    </row>
    <row r="166" hidden="1" ht="15" customHeight="1" s="99">
      <c r="A166" t="inlineStr">
        <is>
          <t>GMBAT1</t>
        </is>
      </c>
      <c r="B166" t="inlineStr">
        <is>
          <t>GMBAT1_00L00_Batuwatta2_IP_Kd</t>
        </is>
      </c>
      <c r="C166" s="89" t="inlineStr">
        <is>
          <t>Huawei</t>
        </is>
      </c>
      <c r="F166" t="n">
        <v>7.05558</v>
      </c>
      <c r="G166" t="n">
        <v>79.94289999999999</v>
      </c>
      <c r="H166" t="inlineStr">
        <is>
          <t>GMBAT1I</t>
        </is>
      </c>
      <c r="J166" s="91">
        <f>RIGHT(H166,1)</f>
        <v/>
      </c>
      <c r="K166" s="91">
        <f>_xlfn.XLOOKUP(J166,#REF!,#REF!)</f>
        <v/>
      </c>
      <c r="L166" s="91" t="inlineStr">
        <is>
          <t>4G</t>
        </is>
      </c>
      <c r="M166" s="91" t="n">
        <v>1800</v>
      </c>
      <c r="N166" s="91" t="e">
        <v>#N/A</v>
      </c>
      <c r="O166" s="92" t="n">
        <v>60</v>
      </c>
      <c r="P166" t="n">
        <v>260</v>
      </c>
      <c r="R166" s="92" t="n">
        <v>0</v>
      </c>
      <c r="Y166" t="inlineStr">
        <is>
          <t>2T2R</t>
        </is>
      </c>
      <c r="AB166" s="91" t="inlineStr">
        <is>
          <t>R9264H M901821</t>
        </is>
      </c>
      <c r="AC166" s="91" t="inlineStr">
        <is>
          <t>A9652 S35*3+R9264H M901821*3+R9254E S8500*2</t>
        </is>
      </c>
      <c r="AD166" s="91">
        <f>_xlfn.XLOOKUP(AE166,[4]透视表!$G:$G,[4]透视表!$E:$E)</f>
        <v/>
      </c>
      <c r="AE166" s="91">
        <f>A166&amp;K166</f>
        <v/>
      </c>
      <c r="AL166" s="91" t="inlineStr">
        <is>
          <t>高优先级</t>
        </is>
      </c>
    </row>
    <row r="167" hidden="1" ht="15" customHeight="1" s="99">
      <c r="A167" t="inlineStr">
        <is>
          <t>GMBAT1</t>
        </is>
      </c>
      <c r="B167" t="inlineStr">
        <is>
          <t>GMBAT1_00L00_Batuwatta2_IP_Kd</t>
        </is>
      </c>
      <c r="C167" s="89" t="inlineStr">
        <is>
          <t>Huawei</t>
        </is>
      </c>
      <c r="D167" s="91" t="inlineStr">
        <is>
          <t>拉远？缺少射频设备</t>
        </is>
      </c>
      <c r="F167" t="n">
        <v>7.05558</v>
      </c>
      <c r="G167" t="n">
        <v>79.94289999999999</v>
      </c>
      <c r="H167" t="inlineStr">
        <is>
          <t>GMBAT1-M-L18-D1</t>
        </is>
      </c>
      <c r="J167" s="91">
        <f>LEFT(RIGHT(H167,2),1)</f>
        <v/>
      </c>
      <c r="K167" s="91">
        <f>_xlfn.XLOOKUP(J167,#REF!,#REF!)</f>
        <v/>
      </c>
      <c r="L167" s="91" t="inlineStr">
        <is>
          <t>4G</t>
        </is>
      </c>
      <c r="M167" s="91" t="n">
        <v>1800</v>
      </c>
      <c r="N167" s="91" t="e">
        <v>#N/A</v>
      </c>
      <c r="O167" s="92" t="n">
        <v>60</v>
      </c>
      <c r="P167" t="n">
        <v>270</v>
      </c>
      <c r="R167" s="92" t="n">
        <v>0</v>
      </c>
      <c r="Y167" t="inlineStr">
        <is>
          <t>2T2R</t>
        </is>
      </c>
      <c r="AB167" s="91" t="inlineStr">
        <is>
          <t>？</t>
        </is>
      </c>
      <c r="AC167" s="91" t="inlineStr">
        <is>
          <t>A9652 S35*3+R9264H M901821*3+R9254E S8500*2</t>
        </is>
      </c>
      <c r="AD167" s="91">
        <f>_xlfn.XLOOKUP(AE167,[4]透视表!$G:$G,[4]透视表!$E:$E)</f>
        <v/>
      </c>
      <c r="AE167" s="91">
        <f>A167&amp;K167</f>
        <v/>
      </c>
      <c r="AL167" s="91" t="inlineStr">
        <is>
          <t>高优先级</t>
        </is>
      </c>
    </row>
    <row r="168" hidden="1" ht="15" customHeight="1" s="99">
      <c r="A168" t="inlineStr">
        <is>
          <t>GMBAT1</t>
        </is>
      </c>
      <c r="B168" t="inlineStr">
        <is>
          <t>GMBAT1_00L00_Batuwatta2_IP_Kd</t>
        </is>
      </c>
      <c r="C168" s="89" t="inlineStr">
        <is>
          <t>Huawei</t>
        </is>
      </c>
      <c r="D168" s="91" t="inlineStr">
        <is>
          <t>拉远？缺少射频设备</t>
        </is>
      </c>
      <c r="F168" t="n">
        <v>7.05558</v>
      </c>
      <c r="G168" t="n">
        <v>79.94289999999999</v>
      </c>
      <c r="H168" t="inlineStr">
        <is>
          <t>GMBAT1-M-L18-F1</t>
        </is>
      </c>
      <c r="J168" s="91">
        <f>LEFT(RIGHT(H168,2),1)</f>
        <v/>
      </c>
      <c r="K168" s="91">
        <f>_xlfn.XLOOKUP(J168,#REF!,#REF!)</f>
        <v/>
      </c>
      <c r="L168" s="91" t="inlineStr">
        <is>
          <t>4G</t>
        </is>
      </c>
      <c r="M168" s="91" t="n">
        <v>1800</v>
      </c>
      <c r="N168" s="91" t="e">
        <v>#N/A</v>
      </c>
      <c r="O168" s="92" t="n">
        <v>60</v>
      </c>
      <c r="P168" t="n">
        <v>270</v>
      </c>
      <c r="R168" s="92" t="n">
        <v>0</v>
      </c>
      <c r="Y168" t="inlineStr">
        <is>
          <t>2T2R</t>
        </is>
      </c>
      <c r="AB168" s="91" t="inlineStr">
        <is>
          <t>？</t>
        </is>
      </c>
      <c r="AC168" s="91" t="inlineStr">
        <is>
          <t>A9652 S35*3+R9264H M901821*3+R9254E S8500*2</t>
        </is>
      </c>
      <c r="AD168" s="91">
        <f>_xlfn.XLOOKUP(AE168,[4]透视表!$G:$G,[4]透视表!$E:$E)</f>
        <v/>
      </c>
      <c r="AE168" s="91">
        <f>A168&amp;K168</f>
        <v/>
      </c>
      <c r="AL168" s="91" t="inlineStr">
        <is>
          <t>高优先级</t>
        </is>
      </c>
    </row>
    <row r="169" hidden="1" ht="15" customHeight="1" s="99">
      <c r="A169" t="inlineStr">
        <is>
          <t>GMBAT1</t>
        </is>
      </c>
      <c r="B169" t="inlineStr">
        <is>
          <t>GMBAT1_00L00_Batuwatta2_IP_Kd</t>
        </is>
      </c>
      <c r="C169" s="89" t="inlineStr">
        <is>
          <t>Huawei</t>
        </is>
      </c>
      <c r="D169" s="91" t="inlineStr">
        <is>
          <t>拉远？缺少射频设备</t>
        </is>
      </c>
      <c r="F169" t="n">
        <v>7.05558</v>
      </c>
      <c r="G169" t="n">
        <v>79.94289999999999</v>
      </c>
      <c r="H169" t="inlineStr">
        <is>
          <t>GMBAT1-M-L18-E1</t>
        </is>
      </c>
      <c r="J169" s="91">
        <f>LEFT(RIGHT(H169,2),1)</f>
        <v/>
      </c>
      <c r="K169" s="91" t="inlineStr">
        <is>
          <t>S4</t>
        </is>
      </c>
      <c r="L169" s="91" t="inlineStr">
        <is>
          <t>4G</t>
        </is>
      </c>
      <c r="M169" s="91" t="n">
        <v>1800</v>
      </c>
      <c r="N169" s="91" t="e">
        <v>#N/A</v>
      </c>
      <c r="O169" s="92" t="n">
        <v>60</v>
      </c>
      <c r="P169" t="n">
        <v>270</v>
      </c>
      <c r="R169" s="92" t="n">
        <v>0</v>
      </c>
      <c r="Y169" t="inlineStr">
        <is>
          <t>2T2R</t>
        </is>
      </c>
      <c r="AB169" s="91" t="inlineStr">
        <is>
          <t>？</t>
        </is>
      </c>
      <c r="AC169" s="91" t="inlineStr">
        <is>
          <t>A9652 S35*3+R9264H M901821*3+R9254E S8500*2</t>
        </is>
      </c>
      <c r="AD169" s="91">
        <f>_xlfn.XLOOKUP(AE169,[4]透视表!$G:$G,[4]透视表!$E:$E)</f>
        <v/>
      </c>
      <c r="AE169" s="91">
        <f>A169&amp;K169</f>
        <v/>
      </c>
      <c r="AL169" s="91" t="inlineStr">
        <is>
          <t>高优先级</t>
        </is>
      </c>
    </row>
    <row r="170" hidden="1" ht="15" customHeight="1" s="99">
      <c r="A170" t="inlineStr">
        <is>
          <t>GMBAT2</t>
        </is>
      </c>
      <c r="C170" s="89" t="inlineStr">
        <is>
          <t>Huawei</t>
        </is>
      </c>
      <c r="F170" t="n">
        <v>7.06444</v>
      </c>
      <c r="G170" t="n">
        <v>79.94</v>
      </c>
      <c r="H170" t="inlineStr">
        <is>
          <t>GMBAT2A</t>
        </is>
      </c>
      <c r="J170" s="91">
        <f>RIGHT(H170,1)</f>
        <v/>
      </c>
      <c r="K170" t="inlineStr">
        <is>
          <t>S1</t>
        </is>
      </c>
      <c r="L170" s="91" t="inlineStr">
        <is>
          <t>2G</t>
        </is>
      </c>
      <c r="M170" t="n">
        <v>900</v>
      </c>
      <c r="N170" s="91" t="inlineStr">
        <is>
          <t>AQU4518R9v06</t>
        </is>
      </c>
      <c r="P170" t="n">
        <v>65</v>
      </c>
      <c r="R170" s="92" t="n">
        <v>2</v>
      </c>
      <c r="AB170" s="91" t="inlineStr">
        <is>
          <t>R9264H M901821</t>
        </is>
      </c>
      <c r="AC170" s="91" t="inlineStr">
        <is>
          <t>A9652 S35*3+R9264H M901821*3+R9254E S8500*2+R9264 M1821N*1</t>
        </is>
      </c>
      <c r="AD170" s="91">
        <f>_xlfn.XLOOKUP(AE170,[4]透视表!$G:$G,[4]透视表!$D:$D)</f>
        <v/>
      </c>
      <c r="AE170" s="91">
        <f>A170&amp;K170</f>
        <v/>
      </c>
      <c r="AL170" s="91" t="inlineStr">
        <is>
          <t>高优先级</t>
        </is>
      </c>
    </row>
    <row r="171" hidden="1" ht="15" customHeight="1" s="99">
      <c r="A171" t="inlineStr">
        <is>
          <t>GMBAT2</t>
        </is>
      </c>
      <c r="C171" s="89" t="inlineStr">
        <is>
          <t>Huawei</t>
        </is>
      </c>
      <c r="F171" t="n">
        <v>7.06444</v>
      </c>
      <c r="G171" t="n">
        <v>79.94</v>
      </c>
      <c r="H171" t="inlineStr">
        <is>
          <t>GMBAT2P</t>
        </is>
      </c>
      <c r="J171" s="91">
        <f>RIGHT(H171,1)</f>
        <v/>
      </c>
      <c r="K171" t="inlineStr">
        <is>
          <t>S1</t>
        </is>
      </c>
      <c r="L171" s="91" t="inlineStr">
        <is>
          <t>2G</t>
        </is>
      </c>
      <c r="M171" t="n">
        <v>1800</v>
      </c>
      <c r="N171" s="91" t="inlineStr">
        <is>
          <t>AQU4518R9v06</t>
        </is>
      </c>
      <c r="P171" t="n">
        <v>65</v>
      </c>
      <c r="R171" s="92" t="n">
        <v>2</v>
      </c>
      <c r="AB171" s="91" t="inlineStr">
        <is>
          <t>R9264H M901821</t>
        </is>
      </c>
      <c r="AC171" s="91" t="inlineStr">
        <is>
          <t>A9652 S35*3+R9264H M901821*3+R9254E S8500*2+R9264 M1821N*1</t>
        </is>
      </c>
      <c r="AD171" s="91">
        <f>_xlfn.XLOOKUP(AE171,[4]透视表!$G:$G,[4]透视表!$E:$E)</f>
        <v/>
      </c>
      <c r="AE171" s="91">
        <f>A171&amp;K171</f>
        <v/>
      </c>
      <c r="AL171" s="91" t="inlineStr">
        <is>
          <t>高优先级</t>
        </is>
      </c>
    </row>
    <row r="172" hidden="1" ht="15" customHeight="1" s="99">
      <c r="A172" t="inlineStr">
        <is>
          <t>GMBAT2</t>
        </is>
      </c>
      <c r="B172" t="inlineStr">
        <is>
          <t>GMBAT2_GUL00_Bulugahagoda_Kd</t>
        </is>
      </c>
      <c r="C172" s="89" t="inlineStr">
        <is>
          <t>Huawei</t>
        </is>
      </c>
      <c r="F172" t="n">
        <v>7.06444</v>
      </c>
      <c r="G172" t="n">
        <v>79.94</v>
      </c>
      <c r="H172" t="inlineStr">
        <is>
          <t>GMBAT2-M-L85-A1</t>
        </is>
      </c>
      <c r="J172" s="91">
        <f>LEFT(RIGHT(H172,2),1)</f>
        <v/>
      </c>
      <c r="K172" s="91">
        <f>_xlfn.XLOOKUP(J172,#REF!,#REF!)</f>
        <v/>
      </c>
      <c r="L172" s="91" t="inlineStr">
        <is>
          <t>4G</t>
        </is>
      </c>
      <c r="M172" s="91" t="n">
        <v>850</v>
      </c>
      <c r="N172" s="91" t="inlineStr">
        <is>
          <t>AQU4518R9v06</t>
        </is>
      </c>
      <c r="O172" s="92" t="n">
        <v>60</v>
      </c>
      <c r="P172" t="n">
        <v>65</v>
      </c>
      <c r="R172" s="92" t="n">
        <v>0</v>
      </c>
      <c r="Y172" t="inlineStr">
        <is>
          <t>2T2R</t>
        </is>
      </c>
      <c r="AB172" s="91" t="inlineStr">
        <is>
          <t>R9254E S8500</t>
        </is>
      </c>
      <c r="AC172" s="91" t="inlineStr">
        <is>
          <t>A9652 S35*3+R9264H M901821*3+R9254E S8500*2+R9264 M1821N*1</t>
        </is>
      </c>
      <c r="AD172" s="91">
        <f>_xlfn.XLOOKUP(AE172,[4]透视表!$G:$G,[4]透视表!$D:$D)</f>
        <v/>
      </c>
      <c r="AE172" s="91">
        <f>A172&amp;K172</f>
        <v/>
      </c>
      <c r="AL172" s="91" t="inlineStr">
        <is>
          <t>高优先级</t>
        </is>
      </c>
    </row>
    <row r="173" hidden="1" ht="15" customHeight="1" s="99">
      <c r="A173" t="inlineStr">
        <is>
          <t>GMBAT2</t>
        </is>
      </c>
      <c r="B173" t="inlineStr">
        <is>
          <t>GMBAT2_GUL00_Bulugahagoda_Kd</t>
        </is>
      </c>
      <c r="C173" s="89" t="inlineStr">
        <is>
          <t>Huawei</t>
        </is>
      </c>
      <c r="F173" t="n">
        <v>7.06444</v>
      </c>
      <c r="G173" t="n">
        <v>79.94</v>
      </c>
      <c r="H173" t="inlineStr">
        <is>
          <t>GMBAT2G</t>
        </is>
      </c>
      <c r="J173" s="91">
        <f>RIGHT(H173,1)</f>
        <v/>
      </c>
      <c r="K173" s="91">
        <f>_xlfn.XLOOKUP(J173,#REF!,#REF!)</f>
        <v/>
      </c>
      <c r="L173" s="91" t="inlineStr">
        <is>
          <t>4G</t>
        </is>
      </c>
      <c r="M173" s="91" t="n">
        <v>1800</v>
      </c>
      <c r="N173" s="91" t="inlineStr">
        <is>
          <t>AQU4518R9v06</t>
        </is>
      </c>
      <c r="O173" s="92" t="n">
        <v>60</v>
      </c>
      <c r="P173" t="n">
        <v>65</v>
      </c>
      <c r="R173" s="92" t="n">
        <v>0</v>
      </c>
      <c r="Y173" t="inlineStr">
        <is>
          <t>2T2R</t>
        </is>
      </c>
      <c r="AB173" s="91" t="inlineStr">
        <is>
          <t>R9264H M901821</t>
        </is>
      </c>
      <c r="AC173" s="91" t="inlineStr">
        <is>
          <t>A9652 S35*3+R9264H M901821*3+R9254E S8500*2+R9264 M1821N*1</t>
        </is>
      </c>
      <c r="AD173" s="91">
        <f>_xlfn.XLOOKUP(AE173,[4]透视表!$G:$G,[4]透视表!$E:$E)</f>
        <v/>
      </c>
      <c r="AE173" s="91">
        <f>A173&amp;K173</f>
        <v/>
      </c>
      <c r="AL173" s="91" t="inlineStr">
        <is>
          <t>高优先级</t>
        </is>
      </c>
    </row>
    <row r="174" hidden="1" ht="15" customHeight="1" s="99">
      <c r="A174" t="inlineStr">
        <is>
          <t>GMBAT2</t>
        </is>
      </c>
      <c r="B174" t="inlineStr">
        <is>
          <t>GMBAT2_GUL00_Bulugahagoda_Kd</t>
        </is>
      </c>
      <c r="C174" s="89" t="inlineStr">
        <is>
          <t>Huawei</t>
        </is>
      </c>
      <c r="F174" t="n">
        <v>7.06444</v>
      </c>
      <c r="G174" t="n">
        <v>79.94</v>
      </c>
      <c r="H174" t="inlineStr">
        <is>
          <t>GMBAT2-M-L21-A2</t>
        </is>
      </c>
      <c r="J174" s="91">
        <f>LEFT(RIGHT(H174,2),1)</f>
        <v/>
      </c>
      <c r="K174" s="91">
        <f>_xlfn.XLOOKUP(J174,#REF!,#REF!)</f>
        <v/>
      </c>
      <c r="L174" s="91" t="inlineStr">
        <is>
          <t>4G</t>
        </is>
      </c>
      <c r="M174" s="91" t="n">
        <v>2100</v>
      </c>
      <c r="N174" s="91" t="inlineStr">
        <is>
          <t>AQU4518R9v06</t>
        </is>
      </c>
      <c r="O174" s="92" t="n">
        <v>60</v>
      </c>
      <c r="P174" t="n">
        <v>65</v>
      </c>
      <c r="R174" s="92" t="n">
        <v>0</v>
      </c>
      <c r="Y174" t="inlineStr">
        <is>
          <t>2T2R</t>
        </is>
      </c>
      <c r="AB174" s="91" t="inlineStr">
        <is>
          <t>R9264H M901821</t>
        </is>
      </c>
      <c r="AC174" s="91" t="inlineStr">
        <is>
          <t>A9652 S35*3+R9264H M901821*3+R9254E S8500*2+R9264 M1821N*1</t>
        </is>
      </c>
      <c r="AD174" s="91">
        <f>_xlfn.XLOOKUP(AE174,[4]透视表!$G:$G,[4]透视表!$F:$F)</f>
        <v/>
      </c>
      <c r="AE174" s="91">
        <f>A174&amp;K174</f>
        <v/>
      </c>
      <c r="AL174" s="91" t="inlineStr">
        <is>
          <t>高优先级</t>
        </is>
      </c>
    </row>
    <row r="175" hidden="1" ht="15" customHeight="1" s="99">
      <c r="A175" t="inlineStr">
        <is>
          <t>GMBAT2</t>
        </is>
      </c>
      <c r="C175" s="89" t="inlineStr">
        <is>
          <t>Huawei</t>
        </is>
      </c>
      <c r="F175" t="n">
        <v>7.06444</v>
      </c>
      <c r="G175" t="n">
        <v>79.94</v>
      </c>
      <c r="H175" t="inlineStr">
        <is>
          <t>GMBAT2B</t>
        </is>
      </c>
      <c r="J175" s="91">
        <f>RIGHT(H175,1)</f>
        <v/>
      </c>
      <c r="K175" t="inlineStr">
        <is>
          <t>S2</t>
        </is>
      </c>
      <c r="L175" s="91" t="inlineStr">
        <is>
          <t>2G</t>
        </is>
      </c>
      <c r="M175" t="n">
        <v>900</v>
      </c>
      <c r="N175" s="91" t="inlineStr">
        <is>
          <t>AQU4518R9v06</t>
        </is>
      </c>
      <c r="P175" t="n">
        <v>200</v>
      </c>
      <c r="R175" s="92" t="n">
        <v>2</v>
      </c>
      <c r="AB175" s="91" t="inlineStr">
        <is>
          <t>R9264H M901821</t>
        </is>
      </c>
      <c r="AC175" s="91" t="inlineStr">
        <is>
          <t>A9652 S35*3+R9264H M901821*3+R9254E S8500*2+R9264 M1821N*1</t>
        </is>
      </c>
      <c r="AD175" s="91">
        <f>_xlfn.XLOOKUP(AE175,[4]透视表!$G:$G,[4]透视表!$D:$D)</f>
        <v/>
      </c>
      <c r="AE175" s="91">
        <f>A175&amp;K175</f>
        <v/>
      </c>
      <c r="AL175" s="91" t="inlineStr">
        <is>
          <t>高优先级</t>
        </is>
      </c>
    </row>
    <row r="176" hidden="1" ht="15" customHeight="1" s="99">
      <c r="A176" t="inlineStr">
        <is>
          <t>GMBAT2</t>
        </is>
      </c>
      <c r="C176" s="89" t="inlineStr">
        <is>
          <t>Huawei</t>
        </is>
      </c>
      <c r="F176" t="n">
        <v>7.06444</v>
      </c>
      <c r="G176" t="n">
        <v>79.94</v>
      </c>
      <c r="H176" t="inlineStr">
        <is>
          <t>GMBAT2Q</t>
        </is>
      </c>
      <c r="J176" s="91">
        <f>RIGHT(H176,1)</f>
        <v/>
      </c>
      <c r="K176" t="inlineStr">
        <is>
          <t>S2</t>
        </is>
      </c>
      <c r="L176" s="91" t="inlineStr">
        <is>
          <t>2G</t>
        </is>
      </c>
      <c r="M176" t="n">
        <v>1800</v>
      </c>
      <c r="N176" s="91" t="inlineStr">
        <is>
          <t>AQU4518R9v06</t>
        </is>
      </c>
      <c r="P176" t="n">
        <v>200</v>
      </c>
      <c r="R176" s="92" t="n">
        <v>2</v>
      </c>
      <c r="AB176" s="91" t="inlineStr">
        <is>
          <t>R9264H M901821</t>
        </is>
      </c>
      <c r="AC176" s="91" t="inlineStr">
        <is>
          <t>A9652 S35*3+R9264H M901821*3+R9254E S8500*2+R9264 M1821N*1</t>
        </is>
      </c>
      <c r="AD176" s="91">
        <f>_xlfn.XLOOKUP(AE176,[4]透视表!$G:$G,[4]透视表!$E:$E)</f>
        <v/>
      </c>
      <c r="AE176" s="91">
        <f>A176&amp;K176</f>
        <v/>
      </c>
      <c r="AL176" s="91" t="inlineStr">
        <is>
          <t>高优先级</t>
        </is>
      </c>
    </row>
    <row r="177" hidden="1" ht="15" customHeight="1" s="99">
      <c r="A177" t="inlineStr">
        <is>
          <t>GMBAT2</t>
        </is>
      </c>
      <c r="B177" t="inlineStr">
        <is>
          <t>GMBAT2_GUL00_Bulugahagoda_Kd</t>
        </is>
      </c>
      <c r="C177" s="89" t="inlineStr">
        <is>
          <t>Huawei</t>
        </is>
      </c>
      <c r="F177" t="n">
        <v>7.06444</v>
      </c>
      <c r="G177" t="n">
        <v>79.94</v>
      </c>
      <c r="H177" t="inlineStr">
        <is>
          <t>GMBAT2-M-L85-B1</t>
        </is>
      </c>
      <c r="J177" s="91">
        <f>LEFT(RIGHT(H177,2),1)</f>
        <v/>
      </c>
      <c r="K177" s="91">
        <f>_xlfn.XLOOKUP(J177,#REF!,#REF!)</f>
        <v/>
      </c>
      <c r="L177" s="91" t="inlineStr">
        <is>
          <t>4G</t>
        </is>
      </c>
      <c r="M177" s="91" t="n">
        <v>850</v>
      </c>
      <c r="N177" s="91" t="inlineStr">
        <is>
          <t>AQU4518R9v06</t>
        </is>
      </c>
      <c r="O177" s="92" t="n">
        <v>60</v>
      </c>
      <c r="P177" t="n">
        <v>200</v>
      </c>
      <c r="R177" s="92" t="n">
        <v>0</v>
      </c>
      <c r="Y177" t="inlineStr">
        <is>
          <t>2T2R</t>
        </is>
      </c>
      <c r="AB177" s="91" t="inlineStr">
        <is>
          <t>R9254E S8500</t>
        </is>
      </c>
      <c r="AC177" s="91" t="inlineStr">
        <is>
          <t>A9652 S35*3+R9264H M901821*3+R9254E S8500*2+R9264 M1821N*1</t>
        </is>
      </c>
      <c r="AD177" s="91">
        <f>_xlfn.XLOOKUP(AE177,[4]透视表!$G:$G,[4]透视表!$D:$D)</f>
        <v/>
      </c>
      <c r="AE177" s="91">
        <f>A177&amp;K177</f>
        <v/>
      </c>
      <c r="AL177" s="91" t="inlineStr">
        <is>
          <t>高优先级</t>
        </is>
      </c>
    </row>
    <row r="178" hidden="1" ht="15" customHeight="1" s="99">
      <c r="A178" t="inlineStr">
        <is>
          <t>GMBAT2</t>
        </is>
      </c>
      <c r="B178" t="inlineStr">
        <is>
          <t>GMBAT2_GUL00_Bulugahagoda_Kd</t>
        </is>
      </c>
      <c r="C178" s="89" t="inlineStr">
        <is>
          <t>Huawei</t>
        </is>
      </c>
      <c r="F178" t="n">
        <v>7.06444</v>
      </c>
      <c r="G178" t="n">
        <v>79.94</v>
      </c>
      <c r="H178" t="inlineStr">
        <is>
          <t>GMBAT2H</t>
        </is>
      </c>
      <c r="J178" s="91">
        <f>RIGHT(H178,1)</f>
        <v/>
      </c>
      <c r="K178" s="91">
        <f>_xlfn.XLOOKUP(J178,#REF!,#REF!)</f>
        <v/>
      </c>
      <c r="L178" s="91" t="inlineStr">
        <is>
          <t>4G</t>
        </is>
      </c>
      <c r="M178" s="91" t="n">
        <v>1800</v>
      </c>
      <c r="N178" s="91" t="inlineStr">
        <is>
          <t>AQU4518R9v06</t>
        </is>
      </c>
      <c r="O178" s="92" t="n">
        <v>60</v>
      </c>
      <c r="P178" t="n">
        <v>200</v>
      </c>
      <c r="R178" s="92" t="n">
        <v>0</v>
      </c>
      <c r="Y178" t="inlineStr">
        <is>
          <t>4T4R</t>
        </is>
      </c>
      <c r="AB178" s="91" t="inlineStr">
        <is>
          <t>R9264H M901821</t>
        </is>
      </c>
      <c r="AC178" s="91" t="inlineStr">
        <is>
          <t>A9652 S35*3+R9264H M901821*3+R9254E S8500*2+R9264 M1821N*1</t>
        </is>
      </c>
      <c r="AD178" s="91">
        <f>_xlfn.XLOOKUP(AE178,[4]透视表!$G:$G,[4]透视表!$E:$E)</f>
        <v/>
      </c>
      <c r="AE178" s="91">
        <f>A178&amp;K178</f>
        <v/>
      </c>
      <c r="AL178" s="91" t="inlineStr">
        <is>
          <t>高优先级</t>
        </is>
      </c>
    </row>
    <row r="179" hidden="1" ht="15" customHeight="1" s="99">
      <c r="A179" t="inlineStr">
        <is>
          <t>GMBAT2</t>
        </is>
      </c>
      <c r="B179" t="inlineStr">
        <is>
          <t>GMBAT2_GUL00_Bulugahagoda_Kd</t>
        </is>
      </c>
      <c r="C179" s="89" t="inlineStr">
        <is>
          <t>Huawei</t>
        </is>
      </c>
      <c r="F179" t="n">
        <v>7.06444</v>
      </c>
      <c r="G179" t="n">
        <v>79.94</v>
      </c>
      <c r="H179" t="inlineStr">
        <is>
          <t>GMBAT2-M-L21-B2</t>
        </is>
      </c>
      <c r="J179" s="91">
        <f>LEFT(RIGHT(H179,2),1)</f>
        <v/>
      </c>
      <c r="K179" s="91">
        <f>_xlfn.XLOOKUP(J179,#REF!,#REF!)</f>
        <v/>
      </c>
      <c r="L179" s="91" t="inlineStr">
        <is>
          <t>4G</t>
        </is>
      </c>
      <c r="M179" s="91" t="n">
        <v>2100</v>
      </c>
      <c r="N179" s="91" t="inlineStr">
        <is>
          <t>AQU4518R9v06</t>
        </is>
      </c>
      <c r="O179" s="92" t="n">
        <v>60</v>
      </c>
      <c r="P179" t="n">
        <v>200</v>
      </c>
      <c r="R179" s="92" t="n">
        <v>0</v>
      </c>
      <c r="Y179" t="inlineStr">
        <is>
          <t>2T2R</t>
        </is>
      </c>
      <c r="AB179" s="91" t="inlineStr">
        <is>
          <t>R9264H M901821</t>
        </is>
      </c>
      <c r="AC179" s="91" t="inlineStr">
        <is>
          <t>A9652 S35*3+R9264H M901821*3+R9254E S8500*2+R9264 M1821N*1</t>
        </is>
      </c>
      <c r="AD179" s="91">
        <f>_xlfn.XLOOKUP(AE179,[4]透视表!$G:$G,[4]透视表!$F:$F)</f>
        <v/>
      </c>
      <c r="AE179" s="91">
        <f>A179&amp;K179</f>
        <v/>
      </c>
      <c r="AL179" s="91" t="inlineStr">
        <is>
          <t>高优先级</t>
        </is>
      </c>
    </row>
    <row r="180" hidden="1" ht="15" customHeight="1" s="99">
      <c r="A180" t="inlineStr">
        <is>
          <t>GMBAT2</t>
        </is>
      </c>
      <c r="C180" s="89" t="inlineStr">
        <is>
          <t>Huawei</t>
        </is>
      </c>
      <c r="F180" t="n">
        <v>7.06444</v>
      </c>
      <c r="G180" t="n">
        <v>79.94</v>
      </c>
      <c r="H180" t="inlineStr">
        <is>
          <t>GMBAT2C</t>
        </is>
      </c>
      <c r="J180" s="91">
        <f>RIGHT(H180,1)</f>
        <v/>
      </c>
      <c r="K180" t="inlineStr">
        <is>
          <t>S3</t>
        </is>
      </c>
      <c r="L180" s="91" t="inlineStr">
        <is>
          <t>2G</t>
        </is>
      </c>
      <c r="M180" t="n">
        <v>900</v>
      </c>
      <c r="N180" s="91" t="inlineStr">
        <is>
          <t>AQU4518R9v06</t>
        </is>
      </c>
      <c r="P180" t="n">
        <v>315</v>
      </c>
      <c r="R180" s="92" t="n">
        <v>2</v>
      </c>
      <c r="AB180" s="91" t="inlineStr">
        <is>
          <t>R9264H M901821</t>
        </is>
      </c>
      <c r="AC180" s="91" t="inlineStr">
        <is>
          <t>A9652 S35*3+R9264H M901821*3+R9254E S8500*2+R9264 M1821N*1</t>
        </is>
      </c>
      <c r="AD180" s="91">
        <f>_xlfn.XLOOKUP(AE180,[4]透视表!$G:$G,[4]透视表!$D:$D)</f>
        <v/>
      </c>
      <c r="AE180" s="91">
        <f>A180&amp;K180</f>
        <v/>
      </c>
      <c r="AL180" s="91" t="inlineStr">
        <is>
          <t>高优先级</t>
        </is>
      </c>
    </row>
    <row r="181" hidden="1" ht="15" customHeight="1" s="99">
      <c r="A181" t="inlineStr">
        <is>
          <t>GMBAT2</t>
        </is>
      </c>
      <c r="C181" s="89" t="inlineStr">
        <is>
          <t>Huawei</t>
        </is>
      </c>
      <c r="F181" t="n">
        <v>7.06444</v>
      </c>
      <c r="G181" t="n">
        <v>79.94</v>
      </c>
      <c r="H181" t="inlineStr">
        <is>
          <t>GMBAT2R</t>
        </is>
      </c>
      <c r="J181" s="91">
        <f>RIGHT(H181,1)</f>
        <v/>
      </c>
      <c r="K181" t="inlineStr">
        <is>
          <t>S3</t>
        </is>
      </c>
      <c r="L181" s="91" t="inlineStr">
        <is>
          <t>2G</t>
        </is>
      </c>
      <c r="M181" t="n">
        <v>1800</v>
      </c>
      <c r="N181" s="91" t="inlineStr">
        <is>
          <t>AQU4518R9v06</t>
        </is>
      </c>
      <c r="P181" t="n">
        <v>315</v>
      </c>
      <c r="R181" s="92" t="n">
        <v>2</v>
      </c>
      <c r="AB181" s="91" t="inlineStr">
        <is>
          <t>R9264H M901821</t>
        </is>
      </c>
      <c r="AC181" s="91" t="inlineStr">
        <is>
          <t>A9652 S35*3+R9264H M901821*3+R9254E S8500*2+R9264 M1821N*1</t>
        </is>
      </c>
      <c r="AD181" s="91">
        <f>_xlfn.XLOOKUP(AE181,[4]透视表!$G:$G,[4]透视表!$E:$E)</f>
        <v/>
      </c>
      <c r="AE181" s="91">
        <f>A181&amp;K181</f>
        <v/>
      </c>
      <c r="AL181" s="91" t="inlineStr">
        <is>
          <t>高优先级</t>
        </is>
      </c>
    </row>
    <row r="182" hidden="1" ht="15" customHeight="1" s="99">
      <c r="A182" t="inlineStr">
        <is>
          <t>GMBAT2</t>
        </is>
      </c>
      <c r="B182" t="inlineStr">
        <is>
          <t>GMBAT2_GUL00_Bulugahagoda_Kd</t>
        </is>
      </c>
      <c r="C182" s="89" t="inlineStr">
        <is>
          <t>Huawei</t>
        </is>
      </c>
      <c r="F182" t="n">
        <v>7.06444</v>
      </c>
      <c r="G182" t="n">
        <v>79.94</v>
      </c>
      <c r="H182" t="inlineStr">
        <is>
          <t>GMBAT2-M-L85-C1</t>
        </is>
      </c>
      <c r="J182" s="91">
        <f>LEFT(RIGHT(H182,2),1)</f>
        <v/>
      </c>
      <c r="K182" s="91">
        <f>_xlfn.XLOOKUP(J182,#REF!,#REF!)</f>
        <v/>
      </c>
      <c r="L182" s="91" t="inlineStr">
        <is>
          <t>4G</t>
        </is>
      </c>
      <c r="M182" s="91" t="n">
        <v>850</v>
      </c>
      <c r="N182" s="91" t="inlineStr">
        <is>
          <t>AQU4518R9v06</t>
        </is>
      </c>
      <c r="O182" s="92" t="n">
        <v>60</v>
      </c>
      <c r="P182" t="n">
        <v>315</v>
      </c>
      <c r="R182" s="92" t="n">
        <v>0</v>
      </c>
      <c r="Y182" t="inlineStr">
        <is>
          <t>2T2R</t>
        </is>
      </c>
      <c r="AB182" s="91" t="inlineStr">
        <is>
          <t>R9254E S8500</t>
        </is>
      </c>
      <c r="AC182" s="91" t="inlineStr">
        <is>
          <t>A9652 S35*3+R9264H M901821*3+R9254E S8500*2+R9264 M1821N*1</t>
        </is>
      </c>
      <c r="AD182" s="91">
        <f>_xlfn.XLOOKUP(AE182,[4]透视表!$G:$G,[4]透视表!$D:$D)</f>
        <v/>
      </c>
      <c r="AE182" s="91">
        <f>A182&amp;K182</f>
        <v/>
      </c>
      <c r="AL182" s="91" t="inlineStr">
        <is>
          <t>高优先级</t>
        </is>
      </c>
    </row>
    <row r="183" hidden="1" ht="15" customHeight="1" s="99">
      <c r="A183" t="inlineStr">
        <is>
          <t>GMBAT2</t>
        </is>
      </c>
      <c r="B183" t="inlineStr">
        <is>
          <t>GMBAT2_GUL00_Bulugahagoda_Kd</t>
        </is>
      </c>
      <c r="C183" s="89" t="inlineStr">
        <is>
          <t>Huawei</t>
        </is>
      </c>
      <c r="F183" t="n">
        <v>7.06444</v>
      </c>
      <c r="G183" t="n">
        <v>79.94</v>
      </c>
      <c r="H183" t="inlineStr">
        <is>
          <t>GMBAT2I</t>
        </is>
      </c>
      <c r="J183" s="91">
        <f>RIGHT(H183,1)</f>
        <v/>
      </c>
      <c r="K183" s="91">
        <f>_xlfn.XLOOKUP(J183,#REF!,#REF!)</f>
        <v/>
      </c>
      <c r="L183" s="91" t="inlineStr">
        <is>
          <t>4G</t>
        </is>
      </c>
      <c r="M183" s="91" t="n">
        <v>1800</v>
      </c>
      <c r="N183" s="91" t="inlineStr">
        <is>
          <t>AQU4518R9v06</t>
        </is>
      </c>
      <c r="O183" s="92" t="n">
        <v>60</v>
      </c>
      <c r="P183" t="n">
        <v>315</v>
      </c>
      <c r="R183" s="92" t="n">
        <v>0</v>
      </c>
      <c r="Y183" t="inlineStr">
        <is>
          <t>4T4R</t>
        </is>
      </c>
      <c r="AB183" s="91" t="inlineStr">
        <is>
          <t>R9264H M901821</t>
        </is>
      </c>
      <c r="AC183" s="91" t="inlineStr">
        <is>
          <t>A9652 S35*3+R9264H M901821*3+R9254E S8500*2+R9264 M1821N*1</t>
        </is>
      </c>
      <c r="AD183" s="91">
        <f>_xlfn.XLOOKUP(AE183,[4]透视表!$G:$G,[4]透视表!$E:$E)</f>
        <v/>
      </c>
      <c r="AE183" s="91">
        <f>A183&amp;K183</f>
        <v/>
      </c>
      <c r="AL183" s="91" t="inlineStr">
        <is>
          <t>高优先级</t>
        </is>
      </c>
    </row>
    <row r="184" hidden="1" ht="15" customHeight="1" s="99">
      <c r="A184" t="inlineStr">
        <is>
          <t>GMBAT2</t>
        </is>
      </c>
      <c r="B184" t="inlineStr">
        <is>
          <t>GMBAT2_GUL00_Bulugahagoda_Kd</t>
        </is>
      </c>
      <c r="C184" s="89" t="inlineStr">
        <is>
          <t>Huawei</t>
        </is>
      </c>
      <c r="F184" t="n">
        <v>7.06444</v>
      </c>
      <c r="G184" t="n">
        <v>79.94</v>
      </c>
      <c r="H184" t="inlineStr">
        <is>
          <t>GMBAT2-M-L21-C2</t>
        </is>
      </c>
      <c r="J184" s="91">
        <f>LEFT(RIGHT(H184,2),1)</f>
        <v/>
      </c>
      <c r="K184" s="91">
        <f>_xlfn.XLOOKUP(J184,#REF!,#REF!)</f>
        <v/>
      </c>
      <c r="L184" s="91" t="inlineStr">
        <is>
          <t>4G</t>
        </is>
      </c>
      <c r="M184" s="91" t="n">
        <v>2100</v>
      </c>
      <c r="N184" s="91" t="inlineStr">
        <is>
          <t>AQU4518R9v06</t>
        </is>
      </c>
      <c r="O184" s="92" t="n">
        <v>60</v>
      </c>
      <c r="P184" t="n">
        <v>315</v>
      </c>
      <c r="R184" s="92" t="n">
        <v>0</v>
      </c>
      <c r="Y184" t="inlineStr">
        <is>
          <t>2T2R</t>
        </is>
      </c>
      <c r="AB184" s="91" t="inlineStr">
        <is>
          <t>R9264H M901821</t>
        </is>
      </c>
      <c r="AC184" s="91" t="inlineStr">
        <is>
          <t>A9652 S35*3+R9264H M901821*3+R9254E S8500*2+R9264 M1821N*1</t>
        </is>
      </c>
      <c r="AD184" s="91">
        <f>_xlfn.XLOOKUP(AE184,[4]透视表!$G:$G,[4]透视表!$F:$F)</f>
        <v/>
      </c>
      <c r="AE184" s="91">
        <f>A184&amp;K184</f>
        <v/>
      </c>
      <c r="AL184" s="91" t="inlineStr">
        <is>
          <t>高优先级</t>
        </is>
      </c>
    </row>
    <row r="185" hidden="1" ht="15" customHeight="1" s="99">
      <c r="A185" t="inlineStr">
        <is>
          <t>GMBAT2</t>
        </is>
      </c>
      <c r="C185" s="89" t="inlineStr">
        <is>
          <t>Huawei</t>
        </is>
      </c>
      <c r="F185" t="n">
        <v>7.06444</v>
      </c>
      <c r="G185" t="n">
        <v>79.94</v>
      </c>
      <c r="H185" t="inlineStr">
        <is>
          <t>GMBAT2S</t>
        </is>
      </c>
      <c r="J185" s="91">
        <f>RIGHT(H185,1)</f>
        <v/>
      </c>
      <c r="K185" t="inlineStr">
        <is>
          <t>S4</t>
        </is>
      </c>
      <c r="L185" s="91" t="inlineStr">
        <is>
          <t>2G</t>
        </is>
      </c>
      <c r="M185" t="n">
        <v>1800</v>
      </c>
      <c r="N185" s="91" t="e">
        <v>#N/A</v>
      </c>
      <c r="P185" t="n">
        <v>10</v>
      </c>
      <c r="R185" s="92" t="n">
        <v>2</v>
      </c>
      <c r="AB185" s="91" t="inlineStr">
        <is>
          <t>R9264 M1821N</t>
        </is>
      </c>
      <c r="AC185" s="91" t="inlineStr">
        <is>
          <t>A9652 S35*3+R9264H M901821*3+R9254E S8500*2+R9264 M1821N*1</t>
        </is>
      </c>
      <c r="AD185" s="91">
        <f>_xlfn.XLOOKUP(AE185,[4]透视表!$G:$G,[4]透视表!$E:$E)</f>
        <v/>
      </c>
      <c r="AE185" s="91">
        <f>A185&amp;K185</f>
        <v/>
      </c>
      <c r="AL185" s="91" t="inlineStr">
        <is>
          <t>高优先级</t>
        </is>
      </c>
    </row>
    <row r="186" hidden="1" ht="15" customHeight="1" s="99">
      <c r="A186" t="inlineStr">
        <is>
          <t>GMBAT2</t>
        </is>
      </c>
      <c r="B186" t="inlineStr">
        <is>
          <t>GMBAT2_GUL00_Bulugahagoda_Kd</t>
        </is>
      </c>
      <c r="C186" s="89" t="inlineStr">
        <is>
          <t>Huawei</t>
        </is>
      </c>
      <c r="F186" t="n">
        <v>7.06444</v>
      </c>
      <c r="G186" t="n">
        <v>79.94</v>
      </c>
      <c r="H186" t="inlineStr">
        <is>
          <t>GMBAT2F</t>
        </is>
      </c>
      <c r="J186" s="91">
        <f>RIGHT(H186,1)</f>
        <v/>
      </c>
      <c r="K186" s="91">
        <f>_xlfn.XLOOKUP(J186,#REF!,#REF!)</f>
        <v/>
      </c>
      <c r="L186" s="91" t="inlineStr">
        <is>
          <t>4G</t>
        </is>
      </c>
      <c r="M186" s="91" t="n">
        <v>1800</v>
      </c>
      <c r="N186" s="91" t="e">
        <v>#N/A</v>
      </c>
      <c r="O186" s="92" t="n">
        <v>60</v>
      </c>
      <c r="P186" t="n">
        <v>10</v>
      </c>
      <c r="R186" s="92" t="n">
        <v>0</v>
      </c>
      <c r="Y186" t="inlineStr">
        <is>
          <t>2T2R</t>
        </is>
      </c>
      <c r="AB186" s="91" t="inlineStr">
        <is>
          <t>R9264 M1821N</t>
        </is>
      </c>
      <c r="AC186" s="91" t="inlineStr">
        <is>
          <t>A9652 S35*3+R9264H M901821*3+R9254E S8500*2+R9264 M1821N*1</t>
        </is>
      </c>
      <c r="AD186" s="91">
        <f>_xlfn.XLOOKUP(AE186,[4]透视表!$G:$G,[4]透视表!$E:$E)</f>
        <v/>
      </c>
      <c r="AE186" s="91">
        <f>A186&amp;K186</f>
        <v/>
      </c>
      <c r="AL186" s="91" t="inlineStr">
        <is>
          <t>高优先级</t>
        </is>
      </c>
    </row>
    <row r="187" hidden="1" ht="15" customHeight="1" s="99">
      <c r="A187" t="inlineStr">
        <is>
          <t>GMBEL1</t>
        </is>
      </c>
      <c r="C187" s="89" t="inlineStr">
        <is>
          <t>Huawei</t>
        </is>
      </c>
      <c r="F187" t="n">
        <v>7.0639</v>
      </c>
      <c r="G187" t="n">
        <v>80.0098</v>
      </c>
      <c r="H187" t="inlineStr">
        <is>
          <t>GMBEL1A</t>
        </is>
      </c>
      <c r="J187" s="91">
        <f>RIGHT(H187,1)</f>
        <v/>
      </c>
      <c r="K187" t="inlineStr">
        <is>
          <t>S1</t>
        </is>
      </c>
      <c r="L187" s="91" t="inlineStr">
        <is>
          <t>2G</t>
        </is>
      </c>
      <c r="M187" t="n">
        <v>900</v>
      </c>
      <c r="N187" s="91" t="inlineStr">
        <is>
          <t>AQU4518R9v06</t>
        </is>
      </c>
      <c r="P187" t="n">
        <v>20</v>
      </c>
      <c r="R187" s="92" t="n">
        <v>2</v>
      </c>
      <c r="AB187" s="91" t="inlineStr">
        <is>
          <t>R9264H M901821</t>
        </is>
      </c>
      <c r="AC187" s="91" t="inlineStr">
        <is>
          <t>A9652 S35*3+R9254E S1800*1+R9264H M901821*3+R9254E S8500*2+R9244 S9000*1</t>
        </is>
      </c>
      <c r="AD187" s="91">
        <f>_xlfn.XLOOKUP(AE187,[4]透视表!$G:$G,[4]透视表!$D:$D)</f>
        <v/>
      </c>
      <c r="AE187" s="91">
        <f>A187&amp;K187</f>
        <v/>
      </c>
      <c r="AL187" s="91" t="inlineStr">
        <is>
          <t>高优先级</t>
        </is>
      </c>
    </row>
    <row r="188" hidden="1" ht="15" customHeight="1" s="99">
      <c r="A188" t="inlineStr">
        <is>
          <t>GMBEL1</t>
        </is>
      </c>
      <c r="C188" s="89" t="inlineStr">
        <is>
          <t>Huawei</t>
        </is>
      </c>
      <c r="F188" t="n">
        <v>7.0639</v>
      </c>
      <c r="G188" t="n">
        <v>80.0098</v>
      </c>
      <c r="H188" t="inlineStr">
        <is>
          <t>GMBEL1P</t>
        </is>
      </c>
      <c r="J188" s="91">
        <f>RIGHT(H188,1)</f>
        <v/>
      </c>
      <c r="K188" t="inlineStr">
        <is>
          <t>S1</t>
        </is>
      </c>
      <c r="L188" s="91" t="inlineStr">
        <is>
          <t>2G</t>
        </is>
      </c>
      <c r="M188" t="n">
        <v>1800</v>
      </c>
      <c r="N188" s="91" t="inlineStr">
        <is>
          <t>AQU4518R9v06</t>
        </is>
      </c>
      <c r="P188" t="n">
        <v>20</v>
      </c>
      <c r="R188" s="92" t="n">
        <v>2</v>
      </c>
      <c r="AB188" s="91" t="inlineStr">
        <is>
          <t>R9264H M901821</t>
        </is>
      </c>
      <c r="AC188" s="91" t="inlineStr">
        <is>
          <t>A9652 S35*3+R9254E S1800*1+R9264H M901821*3+R9254E S8500*2+R9244 S9000*1</t>
        </is>
      </c>
      <c r="AD188" s="91">
        <f>_xlfn.XLOOKUP(AE188,[4]透视表!$G:$G,[4]透视表!$E:$E)</f>
        <v/>
      </c>
      <c r="AE188" s="91">
        <f>A188&amp;K188</f>
        <v/>
      </c>
      <c r="AL188" s="91" t="inlineStr">
        <is>
          <t>高优先级</t>
        </is>
      </c>
    </row>
    <row r="189" hidden="1" ht="15" customHeight="1" s="99">
      <c r="A189" t="inlineStr">
        <is>
          <t>GMBEL1</t>
        </is>
      </c>
      <c r="B189" t="inlineStr">
        <is>
          <t>GMBEL1_GUL00_Belummahara_Gm</t>
        </is>
      </c>
      <c r="C189" s="89" t="inlineStr">
        <is>
          <t>Huawei</t>
        </is>
      </c>
      <c r="F189" t="n">
        <v>7.0639</v>
      </c>
      <c r="G189" t="n">
        <v>80.0098</v>
      </c>
      <c r="H189" t="inlineStr">
        <is>
          <t>GMBEL1-M-L85-A1</t>
        </is>
      </c>
      <c r="J189" s="91">
        <f>LEFT(RIGHT(H189,2),1)</f>
        <v/>
      </c>
      <c r="K189" s="91">
        <f>_xlfn.XLOOKUP(J189,#REF!,#REF!)</f>
        <v/>
      </c>
      <c r="L189" s="91" t="inlineStr">
        <is>
          <t>4G</t>
        </is>
      </c>
      <c r="M189" s="91" t="n">
        <v>850</v>
      </c>
      <c r="N189" s="91" t="inlineStr">
        <is>
          <t>AQU4518R9v06</t>
        </is>
      </c>
      <c r="O189" s="92" t="n">
        <v>60</v>
      </c>
      <c r="P189" t="n">
        <v>20</v>
      </c>
      <c r="R189" s="92" t="n">
        <v>0</v>
      </c>
      <c r="Y189" t="inlineStr">
        <is>
          <t>2T2R</t>
        </is>
      </c>
      <c r="AB189" s="91" t="inlineStr">
        <is>
          <t>R9254E S8500</t>
        </is>
      </c>
      <c r="AC189" s="91" t="inlineStr">
        <is>
          <t>A9652 S35*3+R9254E S1800*1+R9264H M901821*3+R9254E S8500*2+R9244 S9000*1</t>
        </is>
      </c>
      <c r="AD189" s="91">
        <f>_xlfn.XLOOKUP(AE189,[4]透视表!$G:$G,[4]透视表!$D:$D)</f>
        <v/>
      </c>
      <c r="AE189" s="91">
        <f>A189&amp;K189</f>
        <v/>
      </c>
      <c r="AL189" s="91" t="inlineStr">
        <is>
          <t>高优先级</t>
        </is>
      </c>
    </row>
    <row r="190" hidden="1" ht="15" customHeight="1" s="99">
      <c r="A190" t="inlineStr">
        <is>
          <t>GMBEL1</t>
        </is>
      </c>
      <c r="B190" t="inlineStr">
        <is>
          <t>GMBEL1_GUL00_Belummahara_Gm</t>
        </is>
      </c>
      <c r="C190" s="89" t="inlineStr">
        <is>
          <t>Huawei</t>
        </is>
      </c>
      <c r="F190" t="n">
        <v>7.0639</v>
      </c>
      <c r="G190" t="n">
        <v>80.0098</v>
      </c>
      <c r="H190" t="inlineStr">
        <is>
          <t>GMBEL1G</t>
        </is>
      </c>
      <c r="J190" s="91">
        <f>RIGHT(H190,1)</f>
        <v/>
      </c>
      <c r="K190" s="91">
        <f>_xlfn.XLOOKUP(J190,#REF!,#REF!)</f>
        <v/>
      </c>
      <c r="L190" s="91" t="inlineStr">
        <is>
          <t>4G</t>
        </is>
      </c>
      <c r="M190" s="91" t="n">
        <v>1800</v>
      </c>
      <c r="N190" s="91" t="inlineStr">
        <is>
          <t>AQU4518R9v06</t>
        </is>
      </c>
      <c r="O190" s="92" t="n">
        <v>60</v>
      </c>
      <c r="P190" t="n">
        <v>20</v>
      </c>
      <c r="R190" s="92" t="n">
        <v>0</v>
      </c>
      <c r="Y190" t="inlineStr">
        <is>
          <t>4T4R</t>
        </is>
      </c>
      <c r="AB190" s="91" t="inlineStr">
        <is>
          <t>R9264H M901821</t>
        </is>
      </c>
      <c r="AC190" s="91" t="inlineStr">
        <is>
          <t>A9652 S35*3+R9254E S1800*1+R9264H M901821*3+R9254E S8500*2+R9244 S9000*1</t>
        </is>
      </c>
      <c r="AD190" s="91">
        <f>_xlfn.XLOOKUP(AE190,[4]透视表!$G:$G,[4]透视表!$E:$E)</f>
        <v/>
      </c>
      <c r="AE190" s="91">
        <f>A190&amp;K190</f>
        <v/>
      </c>
      <c r="AL190" s="91" t="inlineStr">
        <is>
          <t>高优先级</t>
        </is>
      </c>
    </row>
    <row r="191" hidden="1" ht="15" customHeight="1" s="99">
      <c r="A191" t="inlineStr">
        <is>
          <t>GMBEL1</t>
        </is>
      </c>
      <c r="B191" t="inlineStr">
        <is>
          <t>GMBEL1_GUL00_Belummahara_Gm</t>
        </is>
      </c>
      <c r="C191" s="89" t="inlineStr">
        <is>
          <t>Huawei</t>
        </is>
      </c>
      <c r="F191" t="n">
        <v>7.0639</v>
      </c>
      <c r="G191" t="n">
        <v>80.0098</v>
      </c>
      <c r="H191" t="inlineStr">
        <is>
          <t>GMBEL1-M-L21-A2</t>
        </is>
      </c>
      <c r="J191" s="91">
        <f>LEFT(RIGHT(H191,2),1)</f>
        <v/>
      </c>
      <c r="K191" s="91">
        <f>_xlfn.XLOOKUP(J191,#REF!,#REF!)</f>
        <v/>
      </c>
      <c r="L191" s="91" t="inlineStr">
        <is>
          <t>4G</t>
        </is>
      </c>
      <c r="M191" s="91" t="n">
        <v>2100</v>
      </c>
      <c r="N191" s="91" t="inlineStr">
        <is>
          <t>AQU4518R9v06</t>
        </is>
      </c>
      <c r="O191" s="92" t="n">
        <v>60</v>
      </c>
      <c r="P191" t="n">
        <v>20</v>
      </c>
      <c r="R191" s="92" t="n">
        <v>0</v>
      </c>
      <c r="Y191" t="inlineStr">
        <is>
          <t>2T2R</t>
        </is>
      </c>
      <c r="AB191" s="91" t="inlineStr">
        <is>
          <t>R9264H M901821</t>
        </is>
      </c>
      <c r="AC191" s="91" t="inlineStr">
        <is>
          <t>A9652 S35*3+R9254E S1800*1+R9264H M901821*3+R9254E S8500*2+R9244 S9000*1</t>
        </is>
      </c>
      <c r="AD191" s="91">
        <f>_xlfn.XLOOKUP(AE191,[4]透视表!$G:$G,[4]透视表!$F:$F)</f>
        <v/>
      </c>
      <c r="AE191" s="91">
        <f>A191&amp;K191</f>
        <v/>
      </c>
      <c r="AL191" s="91" t="inlineStr">
        <is>
          <t>高优先级</t>
        </is>
      </c>
    </row>
    <row r="192" hidden="1" ht="15" customHeight="1" s="99">
      <c r="A192" t="inlineStr">
        <is>
          <t>GMBEL1</t>
        </is>
      </c>
      <c r="C192" s="89" t="inlineStr">
        <is>
          <t>Huawei</t>
        </is>
      </c>
      <c r="F192" t="n">
        <v>7.0639</v>
      </c>
      <c r="G192" t="n">
        <v>80.0098</v>
      </c>
      <c r="H192" t="inlineStr">
        <is>
          <t>GMBEL1B</t>
        </is>
      </c>
      <c r="J192" s="91">
        <f>RIGHT(H192,1)</f>
        <v/>
      </c>
      <c r="K192" t="inlineStr">
        <is>
          <t>S2</t>
        </is>
      </c>
      <c r="L192" s="91" t="inlineStr">
        <is>
          <t>2G</t>
        </is>
      </c>
      <c r="M192" t="n">
        <v>900</v>
      </c>
      <c r="N192" s="91" t="inlineStr">
        <is>
          <t>AQU4518R9v06</t>
        </is>
      </c>
      <c r="P192" t="n">
        <v>220</v>
      </c>
      <c r="R192" s="92" t="n">
        <v>2</v>
      </c>
      <c r="AB192" s="91" t="inlineStr">
        <is>
          <t>R9264H M901821</t>
        </is>
      </c>
      <c r="AC192" s="91" t="inlineStr">
        <is>
          <t>A9652 S35*3+R9254E S1800*1+R9264H M901821*3+R9254E S8500*2+R9244 S9000*1</t>
        </is>
      </c>
      <c r="AD192" s="91">
        <f>_xlfn.XLOOKUP(AE192,[4]透视表!$G:$G,[4]透视表!$D:$D)</f>
        <v/>
      </c>
      <c r="AE192" s="91">
        <f>A192&amp;K192</f>
        <v/>
      </c>
      <c r="AL192" s="91" t="inlineStr">
        <is>
          <t>高优先级</t>
        </is>
      </c>
    </row>
    <row r="193" hidden="1" ht="15" customHeight="1" s="99">
      <c r="A193" t="inlineStr">
        <is>
          <t>GMBEL1</t>
        </is>
      </c>
      <c r="C193" s="89" t="inlineStr">
        <is>
          <t>Huawei</t>
        </is>
      </c>
      <c r="F193" t="n">
        <v>7.0639</v>
      </c>
      <c r="G193" t="n">
        <v>80.0098</v>
      </c>
      <c r="H193" t="inlineStr">
        <is>
          <t>GMBEL1Q</t>
        </is>
      </c>
      <c r="J193" s="91">
        <f>RIGHT(H193,1)</f>
        <v/>
      </c>
      <c r="K193" t="inlineStr">
        <is>
          <t>S2</t>
        </is>
      </c>
      <c r="L193" s="91" t="inlineStr">
        <is>
          <t>2G</t>
        </is>
      </c>
      <c r="M193" t="n">
        <v>1800</v>
      </c>
      <c r="N193" s="91" t="inlineStr">
        <is>
          <t>AQU4518R9v06</t>
        </is>
      </c>
      <c r="P193" t="n">
        <v>220</v>
      </c>
      <c r="R193" s="92" t="n">
        <v>2</v>
      </c>
      <c r="AB193" s="91" t="inlineStr">
        <is>
          <t>R9264H M901821</t>
        </is>
      </c>
      <c r="AC193" s="91" t="inlineStr">
        <is>
          <t>A9652 S35*3+R9254E S1800*1+R9264H M901821*3+R9254E S8500*2+R9244 S9000*1</t>
        </is>
      </c>
      <c r="AD193" s="91">
        <f>_xlfn.XLOOKUP(AE193,[4]透视表!$G:$G,[4]透视表!$E:$E)</f>
        <v/>
      </c>
      <c r="AE193" s="91">
        <f>A193&amp;K193</f>
        <v/>
      </c>
      <c r="AL193" s="91" t="inlineStr">
        <is>
          <t>高优先级</t>
        </is>
      </c>
    </row>
    <row r="194" hidden="1" ht="15" customHeight="1" s="99">
      <c r="A194" t="inlineStr">
        <is>
          <t>GMBEL1</t>
        </is>
      </c>
      <c r="B194" t="inlineStr">
        <is>
          <t>GMBEL1_GUL00_Belummahara_Gm</t>
        </is>
      </c>
      <c r="C194" s="89" t="inlineStr">
        <is>
          <t>Huawei</t>
        </is>
      </c>
      <c r="F194" t="n">
        <v>7.0639</v>
      </c>
      <c r="G194" t="n">
        <v>80.0098</v>
      </c>
      <c r="H194" t="inlineStr">
        <is>
          <t>GMBEL1-M-L85-B1</t>
        </is>
      </c>
      <c r="J194" s="91">
        <f>LEFT(RIGHT(H194,2),1)</f>
        <v/>
      </c>
      <c r="K194" s="91">
        <f>_xlfn.XLOOKUP(J194,#REF!,#REF!)</f>
        <v/>
      </c>
      <c r="L194" s="91" t="inlineStr">
        <is>
          <t>4G</t>
        </is>
      </c>
      <c r="M194" s="91" t="n">
        <v>850</v>
      </c>
      <c r="N194" s="91" t="inlineStr">
        <is>
          <t>AQU4518R9v06</t>
        </is>
      </c>
      <c r="O194" s="92" t="n">
        <v>60</v>
      </c>
      <c r="P194" t="n">
        <v>220</v>
      </c>
      <c r="R194" s="92" t="n">
        <v>0</v>
      </c>
      <c r="Y194" t="inlineStr">
        <is>
          <t>2T2R</t>
        </is>
      </c>
      <c r="AB194" s="91" t="inlineStr">
        <is>
          <t>R9254E S8500</t>
        </is>
      </c>
      <c r="AC194" s="91" t="inlineStr">
        <is>
          <t>A9652 S35*3+R9254E S1800*1+R9264H M901821*3+R9254E S8500*2+R9244 S9000*1</t>
        </is>
      </c>
      <c r="AD194" s="91">
        <f>_xlfn.XLOOKUP(AE194,[4]透视表!$G:$G,[4]透视表!$D:$D)</f>
        <v/>
      </c>
      <c r="AE194" s="91">
        <f>A194&amp;K194</f>
        <v/>
      </c>
      <c r="AL194" s="91" t="inlineStr">
        <is>
          <t>高优先级</t>
        </is>
      </c>
    </row>
    <row r="195" hidden="1" ht="15" customHeight="1" s="99">
      <c r="A195" t="inlineStr">
        <is>
          <t>GMBEL1</t>
        </is>
      </c>
      <c r="B195" t="inlineStr">
        <is>
          <t>GMBEL1_GUL00_Belummahara_Gm</t>
        </is>
      </c>
      <c r="C195" s="89" t="inlineStr">
        <is>
          <t>Huawei</t>
        </is>
      </c>
      <c r="F195" t="n">
        <v>7.0639</v>
      </c>
      <c r="G195" t="n">
        <v>80.0098</v>
      </c>
      <c r="H195" t="inlineStr">
        <is>
          <t>GMBEL1H</t>
        </is>
      </c>
      <c r="J195" s="91">
        <f>RIGHT(H195,1)</f>
        <v/>
      </c>
      <c r="K195" s="91">
        <f>_xlfn.XLOOKUP(J195,#REF!,#REF!)</f>
        <v/>
      </c>
      <c r="L195" s="91" t="inlineStr">
        <is>
          <t>4G</t>
        </is>
      </c>
      <c r="M195" s="91" t="n">
        <v>1800</v>
      </c>
      <c r="N195" s="91" t="inlineStr">
        <is>
          <t>AQU4518R9v06</t>
        </is>
      </c>
      <c r="O195" s="92" t="n">
        <v>60</v>
      </c>
      <c r="P195" t="n">
        <v>220</v>
      </c>
      <c r="R195" s="92" t="n">
        <v>0</v>
      </c>
      <c r="Y195" t="inlineStr">
        <is>
          <t>4T4R</t>
        </is>
      </c>
      <c r="AB195" s="91" t="inlineStr">
        <is>
          <t>R9264H M901821</t>
        </is>
      </c>
      <c r="AC195" s="91" t="inlineStr">
        <is>
          <t>A9652 S35*3+R9254E S1800*1+R9264H M901821*3+R9254E S8500*2+R9244 S9000*1</t>
        </is>
      </c>
      <c r="AD195" s="91">
        <f>_xlfn.XLOOKUP(AE195,[4]透视表!$G:$G,[4]透视表!$E:$E)</f>
        <v/>
      </c>
      <c r="AE195" s="91">
        <f>A195&amp;K195</f>
        <v/>
      </c>
      <c r="AL195" s="91" t="inlineStr">
        <is>
          <t>高优先级</t>
        </is>
      </c>
    </row>
    <row r="196" hidden="1" ht="15" customHeight="1" s="99">
      <c r="A196" t="inlineStr">
        <is>
          <t>GMBEL1</t>
        </is>
      </c>
      <c r="B196" t="inlineStr">
        <is>
          <t>GMBEL1_GUL00_Belummahara_Gm</t>
        </is>
      </c>
      <c r="C196" s="89" t="inlineStr">
        <is>
          <t>Huawei</t>
        </is>
      </c>
      <c r="F196" t="n">
        <v>7.0639</v>
      </c>
      <c r="G196" t="n">
        <v>80.0098</v>
      </c>
      <c r="H196" t="inlineStr">
        <is>
          <t>GMBEL1-M-L21-B2</t>
        </is>
      </c>
      <c r="J196" s="91">
        <f>LEFT(RIGHT(H196,2),1)</f>
        <v/>
      </c>
      <c r="K196" s="91">
        <f>_xlfn.XLOOKUP(J196,#REF!,#REF!)</f>
        <v/>
      </c>
      <c r="L196" s="91" t="inlineStr">
        <is>
          <t>4G</t>
        </is>
      </c>
      <c r="M196" s="91" t="n">
        <v>2100</v>
      </c>
      <c r="N196" s="91" t="inlineStr">
        <is>
          <t>AQU4518R9v06</t>
        </is>
      </c>
      <c r="O196" s="92" t="n">
        <v>60</v>
      </c>
      <c r="P196" t="n">
        <v>220</v>
      </c>
      <c r="R196" s="92" t="n">
        <v>0</v>
      </c>
      <c r="Y196" t="inlineStr">
        <is>
          <t>2T2R</t>
        </is>
      </c>
      <c r="AB196" s="91" t="inlineStr">
        <is>
          <t>R9264H M901821</t>
        </is>
      </c>
      <c r="AC196" s="91" t="inlineStr">
        <is>
          <t>A9652 S35*3+R9254E S1800*1+R9264H M901821*3+R9254E S8500*2+R9244 S9000*1</t>
        </is>
      </c>
      <c r="AD196" s="91">
        <f>_xlfn.XLOOKUP(AE196,[4]透视表!$G:$G,[4]透视表!$F:$F)</f>
        <v/>
      </c>
      <c r="AE196" s="91">
        <f>A196&amp;K196</f>
        <v/>
      </c>
      <c r="AL196" s="91" t="inlineStr">
        <is>
          <t>高优先级</t>
        </is>
      </c>
    </row>
    <row r="197" hidden="1" ht="15" customHeight="1" s="99">
      <c r="A197" t="inlineStr">
        <is>
          <t>GMBEL1</t>
        </is>
      </c>
      <c r="C197" s="89" t="inlineStr">
        <is>
          <t>Huawei</t>
        </is>
      </c>
      <c r="F197" t="n">
        <v>7.0639</v>
      </c>
      <c r="G197" t="n">
        <v>80.0098</v>
      </c>
      <c r="H197" t="inlineStr">
        <is>
          <t>GMBEL1C</t>
        </is>
      </c>
      <c r="J197" s="91">
        <f>RIGHT(H197,1)</f>
        <v/>
      </c>
      <c r="K197" t="inlineStr">
        <is>
          <t>S3</t>
        </is>
      </c>
      <c r="L197" s="91" t="inlineStr">
        <is>
          <t>2G</t>
        </is>
      </c>
      <c r="M197" t="n">
        <v>900</v>
      </c>
      <c r="N197" s="91" t="inlineStr">
        <is>
          <t>AQU4518R9v06</t>
        </is>
      </c>
      <c r="P197" t="n">
        <v>300</v>
      </c>
      <c r="R197" s="92" t="n">
        <v>2</v>
      </c>
      <c r="AB197" s="91" t="inlineStr">
        <is>
          <t>R9264H M901821</t>
        </is>
      </c>
      <c r="AC197" s="91" t="inlineStr">
        <is>
          <t>A9652 S35*3+R9254E S1800*1+R9264H M901821*3+R9254E S8500*2+R9244 S9000*1</t>
        </is>
      </c>
      <c r="AD197" s="91">
        <f>_xlfn.XLOOKUP(AE197,[4]透视表!$G:$G,[4]透视表!$D:$D)</f>
        <v/>
      </c>
      <c r="AE197" s="91">
        <f>A197&amp;K197</f>
        <v/>
      </c>
      <c r="AL197" s="91" t="inlineStr">
        <is>
          <t>高优先级</t>
        </is>
      </c>
    </row>
    <row r="198" hidden="1" ht="15" customHeight="1" s="99">
      <c r="A198" t="inlineStr">
        <is>
          <t>GMBEL1</t>
        </is>
      </c>
      <c r="C198" s="89" t="inlineStr">
        <is>
          <t>Huawei</t>
        </is>
      </c>
      <c r="F198" t="n">
        <v>7.0639</v>
      </c>
      <c r="G198" t="n">
        <v>80.0098</v>
      </c>
      <c r="H198" t="inlineStr">
        <is>
          <t>GMBEL1R</t>
        </is>
      </c>
      <c r="J198" s="91">
        <f>RIGHT(H198,1)</f>
        <v/>
      </c>
      <c r="K198" t="inlineStr">
        <is>
          <t>S3</t>
        </is>
      </c>
      <c r="L198" s="91" t="inlineStr">
        <is>
          <t>2G</t>
        </is>
      </c>
      <c r="M198" t="n">
        <v>1800</v>
      </c>
      <c r="N198" s="91" t="inlineStr">
        <is>
          <t>AQU4518R9v06</t>
        </is>
      </c>
      <c r="P198" t="n">
        <v>300</v>
      </c>
      <c r="R198" s="92" t="n">
        <v>2</v>
      </c>
      <c r="AB198" s="91" t="inlineStr">
        <is>
          <t>R9264H M901821</t>
        </is>
      </c>
      <c r="AC198" s="91" t="inlineStr">
        <is>
          <t>A9652 S35*3+R9254E S1800*1+R9264H M901821*3+R9254E S8500*2+R9244 S9000*1</t>
        </is>
      </c>
      <c r="AD198" s="91">
        <f>_xlfn.XLOOKUP(AE198,[4]透视表!$G:$G,[4]透视表!$E:$E)</f>
        <v/>
      </c>
      <c r="AE198" s="91">
        <f>A198&amp;K198</f>
        <v/>
      </c>
      <c r="AL198" s="91" t="inlineStr">
        <is>
          <t>高优先级</t>
        </is>
      </c>
    </row>
    <row r="199" hidden="1" ht="15" customHeight="1" s="99">
      <c r="A199" t="inlineStr">
        <is>
          <t>GMBEL1</t>
        </is>
      </c>
      <c r="B199" t="inlineStr">
        <is>
          <t>GMBEL1_GUL00_Belummahara_Gm</t>
        </is>
      </c>
      <c r="C199" s="89" t="inlineStr">
        <is>
          <t>Huawei</t>
        </is>
      </c>
      <c r="F199" t="n">
        <v>7.0639</v>
      </c>
      <c r="G199" t="n">
        <v>80.0098</v>
      </c>
      <c r="H199" t="inlineStr">
        <is>
          <t>GMBEL1-M-L85-C1</t>
        </is>
      </c>
      <c r="J199" s="91">
        <f>LEFT(RIGHT(H199,2),1)</f>
        <v/>
      </c>
      <c r="K199" s="91">
        <f>_xlfn.XLOOKUP(J199,#REF!,#REF!)</f>
        <v/>
      </c>
      <c r="L199" s="91" t="inlineStr">
        <is>
          <t>4G</t>
        </is>
      </c>
      <c r="M199" s="91" t="n">
        <v>850</v>
      </c>
      <c r="N199" s="91" t="inlineStr">
        <is>
          <t>AQU4518R9v06</t>
        </is>
      </c>
      <c r="O199" s="92" t="n">
        <v>60</v>
      </c>
      <c r="P199" t="n">
        <v>300</v>
      </c>
      <c r="R199" s="92" t="n">
        <v>0</v>
      </c>
      <c r="Y199" t="inlineStr">
        <is>
          <t>2T2R</t>
        </is>
      </c>
      <c r="AB199" s="91" t="inlineStr">
        <is>
          <t>R9254E S8500</t>
        </is>
      </c>
      <c r="AC199" s="91" t="inlineStr">
        <is>
          <t>A9652 S35*3+R9254E S1800*1+R9264H M901821*3+R9254E S8500*2+R9244 S9000*1</t>
        </is>
      </c>
      <c r="AD199" s="91">
        <f>_xlfn.XLOOKUP(AE199,[4]透视表!$G:$G,[4]透视表!$D:$D)</f>
        <v/>
      </c>
      <c r="AE199" s="91">
        <f>A199&amp;K199</f>
        <v/>
      </c>
      <c r="AL199" s="91" t="inlineStr">
        <is>
          <t>高优先级</t>
        </is>
      </c>
    </row>
    <row r="200" hidden="1" ht="15" customHeight="1" s="99">
      <c r="A200" t="inlineStr">
        <is>
          <t>GMBEL1</t>
        </is>
      </c>
      <c r="B200" t="inlineStr">
        <is>
          <t>GMBEL1_GUL00_Belummahara_Gm</t>
        </is>
      </c>
      <c r="C200" s="89" t="inlineStr">
        <is>
          <t>Huawei</t>
        </is>
      </c>
      <c r="F200" t="n">
        <v>7.0639</v>
      </c>
      <c r="G200" t="n">
        <v>80.0098</v>
      </c>
      <c r="H200" t="inlineStr">
        <is>
          <t>GMBEL1I</t>
        </is>
      </c>
      <c r="J200" s="91">
        <f>RIGHT(H200,1)</f>
        <v/>
      </c>
      <c r="K200" s="91">
        <f>_xlfn.XLOOKUP(J200,#REF!,#REF!)</f>
        <v/>
      </c>
      <c r="L200" s="91" t="inlineStr">
        <is>
          <t>4G</t>
        </is>
      </c>
      <c r="M200" s="91" t="n">
        <v>1800</v>
      </c>
      <c r="N200" s="91" t="inlineStr">
        <is>
          <t>AQU4518R9v06</t>
        </is>
      </c>
      <c r="O200" s="92" t="n">
        <v>60</v>
      </c>
      <c r="P200" t="n">
        <v>300</v>
      </c>
      <c r="R200" s="92" t="n">
        <v>0</v>
      </c>
      <c r="Y200" t="inlineStr">
        <is>
          <t>4T4R</t>
        </is>
      </c>
      <c r="AB200" s="91" t="inlineStr">
        <is>
          <t>R9264H M901821</t>
        </is>
      </c>
      <c r="AC200" s="91" t="inlineStr">
        <is>
          <t>A9652 S35*3+R9254E S1800*1+R9264H M901821*3+R9254E S8500*2+R9244 S9000*1</t>
        </is>
      </c>
      <c r="AD200" s="91">
        <f>_xlfn.XLOOKUP(AE200,[4]透视表!$G:$G,[4]透视表!$E:$E)</f>
        <v/>
      </c>
      <c r="AE200" s="91">
        <f>A200&amp;K200</f>
        <v/>
      </c>
      <c r="AL200" s="91" t="inlineStr">
        <is>
          <t>高优先级</t>
        </is>
      </c>
    </row>
    <row r="201" hidden="1" ht="15" customHeight="1" s="99">
      <c r="A201" t="inlineStr">
        <is>
          <t>GMBEL1</t>
        </is>
      </c>
      <c r="B201" t="inlineStr">
        <is>
          <t>GMBEL1_GUL00_Belummahara_Gm</t>
        </is>
      </c>
      <c r="C201" s="89" t="inlineStr">
        <is>
          <t>Huawei</t>
        </is>
      </c>
      <c r="F201" t="n">
        <v>7.0639</v>
      </c>
      <c r="G201" t="n">
        <v>80.0098</v>
      </c>
      <c r="H201" t="inlineStr">
        <is>
          <t>GMBEL1-M-L21-C2</t>
        </is>
      </c>
      <c r="J201" s="91">
        <f>LEFT(RIGHT(H201,2),1)</f>
        <v/>
      </c>
      <c r="K201" s="91">
        <f>_xlfn.XLOOKUP(J201,#REF!,#REF!)</f>
        <v/>
      </c>
      <c r="L201" s="91" t="inlineStr">
        <is>
          <t>4G</t>
        </is>
      </c>
      <c r="M201" s="91" t="n">
        <v>2100</v>
      </c>
      <c r="N201" s="91" t="inlineStr">
        <is>
          <t>AQU4518R9v06</t>
        </is>
      </c>
      <c r="O201" s="92" t="n">
        <v>60</v>
      </c>
      <c r="P201" t="n">
        <v>300</v>
      </c>
      <c r="R201" s="92" t="n">
        <v>0</v>
      </c>
      <c r="Y201" t="inlineStr">
        <is>
          <t>2T2R</t>
        </is>
      </c>
      <c r="AB201" s="91" t="inlineStr">
        <is>
          <t>R9264H M901821</t>
        </is>
      </c>
      <c r="AC201" s="91" t="inlineStr">
        <is>
          <t>A9652 S35*3+R9254E S1800*1+R9264H M901821*3+R9254E S8500*2+R9244 S9000*1</t>
        </is>
      </c>
      <c r="AD201" s="91">
        <f>_xlfn.XLOOKUP(AE201,[4]透视表!$G:$G,[4]透视表!$F:$F)</f>
        <v/>
      </c>
      <c r="AE201" s="91">
        <f>A201&amp;K201</f>
        <v/>
      </c>
      <c r="AL201" s="91" t="inlineStr">
        <is>
          <t>高优先级</t>
        </is>
      </c>
    </row>
    <row r="202" hidden="1" ht="15" customHeight="1" s="99">
      <c r="A202" t="inlineStr">
        <is>
          <t>GMBEL1</t>
        </is>
      </c>
      <c r="C202" s="89" t="inlineStr">
        <is>
          <t>Huawei</t>
        </is>
      </c>
      <c r="F202" t="n">
        <v>7.0639</v>
      </c>
      <c r="G202" t="n">
        <v>80.0098</v>
      </c>
      <c r="H202" t="inlineStr">
        <is>
          <t>GMBEL1E</t>
        </is>
      </c>
      <c r="J202" s="91">
        <f>RIGHT(H202,1)</f>
        <v/>
      </c>
      <c r="K202" t="inlineStr">
        <is>
          <t>S4</t>
        </is>
      </c>
      <c r="L202" s="91" t="inlineStr">
        <is>
          <t>2G</t>
        </is>
      </c>
      <c r="M202" t="n">
        <v>900</v>
      </c>
      <c r="N202" s="91" t="e">
        <v>#N/A</v>
      </c>
      <c r="P202" t="n">
        <v>120</v>
      </c>
      <c r="R202" s="92" t="n">
        <v>2</v>
      </c>
      <c r="AB202" s="91" t="inlineStr">
        <is>
          <t>R9244 S9000</t>
        </is>
      </c>
      <c r="AC202" s="91" t="inlineStr">
        <is>
          <t>A9652 S35*3+R9254E S1800*1+R9264H M901821*3+R9254E S8500*2+R9244 S9000*1</t>
        </is>
      </c>
      <c r="AD202" s="91">
        <f>_xlfn.XLOOKUP(AE202,[4]透视表!$G:$G,[4]透视表!$D:$D)</f>
        <v/>
      </c>
      <c r="AE202" s="91">
        <f>A202&amp;K202</f>
        <v/>
      </c>
      <c r="AL202" s="91" t="inlineStr">
        <is>
          <t>高优先级</t>
        </is>
      </c>
    </row>
    <row r="203" hidden="1" ht="15" customHeight="1" s="99">
      <c r="A203" t="inlineStr">
        <is>
          <t>GMBEL1</t>
        </is>
      </c>
      <c r="C203" s="89" t="inlineStr">
        <is>
          <t>Huawei</t>
        </is>
      </c>
      <c r="F203" t="n">
        <v>7.0639</v>
      </c>
      <c r="G203" t="n">
        <v>80.0098</v>
      </c>
      <c r="H203" t="inlineStr">
        <is>
          <t>GMBEL1T</t>
        </is>
      </c>
      <c r="J203" s="91">
        <f>RIGHT(H203,1)</f>
        <v/>
      </c>
      <c r="K203" t="inlineStr">
        <is>
          <t>S4</t>
        </is>
      </c>
      <c r="L203" s="91" t="inlineStr">
        <is>
          <t>2G</t>
        </is>
      </c>
      <c r="M203" t="n">
        <v>1800</v>
      </c>
      <c r="N203" s="91" t="e">
        <v>#N/A</v>
      </c>
      <c r="P203" t="n">
        <v>120</v>
      </c>
      <c r="R203" s="92" t="n">
        <v>2</v>
      </c>
      <c r="AB203" s="91" t="inlineStr">
        <is>
          <t>R9254E S1800</t>
        </is>
      </c>
      <c r="AC203" s="91" t="inlineStr">
        <is>
          <t>A9652 S35*3+R9254E S1800*1+R9264H M901821*3+R9254E S8500*2+R9244 S9000*1</t>
        </is>
      </c>
      <c r="AD203" s="91">
        <f>_xlfn.XLOOKUP(AE203,[4]透视表!$G:$G,[4]透视表!$E:$E)</f>
        <v/>
      </c>
      <c r="AE203" s="91">
        <f>A203&amp;K203</f>
        <v/>
      </c>
      <c r="AL203" s="91" t="inlineStr">
        <is>
          <t>高优先级</t>
        </is>
      </c>
    </row>
    <row r="204" hidden="1" ht="15" customHeight="1" s="99">
      <c r="A204" t="inlineStr">
        <is>
          <t>GMBEL1</t>
        </is>
      </c>
      <c r="B204" t="inlineStr">
        <is>
          <t>GMBEL1_GUL00_Belummahara_Gm</t>
        </is>
      </c>
      <c r="C204" s="89" t="inlineStr">
        <is>
          <t>Huawei</t>
        </is>
      </c>
      <c r="F204" t="n">
        <v>7.0639</v>
      </c>
      <c r="G204" t="n">
        <v>80.0098</v>
      </c>
      <c r="H204" t="inlineStr">
        <is>
          <t>GMBEL1-M-L85-D1</t>
        </is>
      </c>
      <c r="J204" s="91">
        <f>LEFT(RIGHT(H204,2),1)</f>
        <v/>
      </c>
      <c r="K204" s="91">
        <f>_xlfn.XLOOKUP(J204,#REF!,#REF!)</f>
        <v/>
      </c>
      <c r="L204" s="91" t="inlineStr">
        <is>
          <t>4G</t>
        </is>
      </c>
      <c r="M204" s="91" t="n">
        <v>850</v>
      </c>
      <c r="N204" s="91" t="e">
        <v>#N/A</v>
      </c>
      <c r="O204" s="92" t="n">
        <v>60</v>
      </c>
      <c r="P204" t="n">
        <v>120</v>
      </c>
      <c r="R204" s="92" t="n">
        <v>0</v>
      </c>
      <c r="Y204" t="inlineStr">
        <is>
          <t>2T2R</t>
        </is>
      </c>
      <c r="AB204" s="91" t="inlineStr">
        <is>
          <t>R9254E S8500</t>
        </is>
      </c>
      <c r="AC204" s="91" t="inlineStr">
        <is>
          <t>A9652 S35*3+R9254E S1800*1+R9264H M901821*3+R9254E S8500*2+R9244 S9000*1</t>
        </is>
      </c>
      <c r="AD204" s="91">
        <f>_xlfn.XLOOKUP(AE204,[4]透视表!$G:$G,[4]透视表!$D:$D)</f>
        <v/>
      </c>
      <c r="AE204" s="91">
        <f>A204&amp;K204</f>
        <v/>
      </c>
      <c r="AL204" s="91" t="inlineStr">
        <is>
          <t>高优先级</t>
        </is>
      </c>
    </row>
    <row r="205" hidden="1" ht="15" customHeight="1" s="99">
      <c r="A205" t="inlineStr">
        <is>
          <t>GMBEL2</t>
        </is>
      </c>
      <c r="C205" s="89" t="inlineStr">
        <is>
          <t>Huawei</t>
        </is>
      </c>
      <c r="F205" t="n">
        <v>7.06428</v>
      </c>
      <c r="G205" t="n">
        <v>80.0244</v>
      </c>
      <c r="H205" t="inlineStr">
        <is>
          <t>GMBEL2A</t>
        </is>
      </c>
      <c r="J205" s="91">
        <f>RIGHT(H205,1)</f>
        <v/>
      </c>
      <c r="K205" t="inlineStr">
        <is>
          <t>S1</t>
        </is>
      </c>
      <c r="L205" s="91" t="inlineStr">
        <is>
          <t>2G</t>
        </is>
      </c>
      <c r="M205" t="n">
        <v>900</v>
      </c>
      <c r="N205" s="91" t="inlineStr">
        <is>
          <t>AQU4518R9v06</t>
        </is>
      </c>
      <c r="P205" t="n">
        <v>50</v>
      </c>
      <c r="R205" s="92" t="n">
        <v>2</v>
      </c>
      <c r="AB205" s="91" t="inlineStr">
        <is>
          <t>R9264H M901821</t>
        </is>
      </c>
      <c r="AC205" s="91" t="inlineStr">
        <is>
          <t>A9652 S35*3+R9264H M901821*3+R9254E S8500*2+R9264 M1821N*1</t>
        </is>
      </c>
      <c r="AD205" s="91">
        <f>_xlfn.XLOOKUP(AE205,[4]透视表!$G:$G,[4]透视表!$D:$D)</f>
        <v/>
      </c>
      <c r="AE205" s="91">
        <f>A205&amp;K205</f>
        <v/>
      </c>
      <c r="AL205" s="91" t="inlineStr">
        <is>
          <t>高优先级</t>
        </is>
      </c>
    </row>
    <row r="206" hidden="1" ht="15" customHeight="1" s="99">
      <c r="A206" t="inlineStr">
        <is>
          <t>GMBEL2</t>
        </is>
      </c>
      <c r="C206" s="89" t="inlineStr">
        <is>
          <t>Huawei</t>
        </is>
      </c>
      <c r="F206" t="n">
        <v>7.06428</v>
      </c>
      <c r="G206" t="n">
        <v>80.0244</v>
      </c>
      <c r="H206" t="inlineStr">
        <is>
          <t>GMBEL2P</t>
        </is>
      </c>
      <c r="J206" s="91">
        <f>RIGHT(H206,1)</f>
        <v/>
      </c>
      <c r="K206" t="inlineStr">
        <is>
          <t>S1</t>
        </is>
      </c>
      <c r="L206" s="91" t="inlineStr">
        <is>
          <t>2G</t>
        </is>
      </c>
      <c r="M206" t="n">
        <v>1800</v>
      </c>
      <c r="N206" s="91" t="inlineStr">
        <is>
          <t>AQU4518R9v06</t>
        </is>
      </c>
      <c r="P206" t="n">
        <v>50</v>
      </c>
      <c r="R206" s="92" t="n">
        <v>2</v>
      </c>
      <c r="AB206" s="91" t="inlineStr">
        <is>
          <t>R9264H M901821</t>
        </is>
      </c>
      <c r="AC206" s="91" t="inlineStr">
        <is>
          <t>A9652 S35*3+R9264H M901821*3+R9254E S8500*2+R9264 M1821N*1</t>
        </is>
      </c>
      <c r="AD206" s="91">
        <f>_xlfn.XLOOKUP(AE206,[4]透视表!$G:$G,[4]透视表!$E:$E)</f>
        <v/>
      </c>
      <c r="AE206" s="91">
        <f>A206&amp;K206</f>
        <v/>
      </c>
      <c r="AL206" s="91" t="inlineStr">
        <is>
          <t>高优先级</t>
        </is>
      </c>
    </row>
    <row r="207" hidden="1" ht="15" customHeight="1" s="99">
      <c r="A207" t="inlineStr">
        <is>
          <t>GMBEL2</t>
        </is>
      </c>
      <c r="B207" t="inlineStr">
        <is>
          <t>GMBEL2_GUL00_Mudungoda_IP_Gm</t>
        </is>
      </c>
      <c r="C207" s="89" t="inlineStr">
        <is>
          <t>Huawei</t>
        </is>
      </c>
      <c r="F207" t="n">
        <v>7.06428</v>
      </c>
      <c r="G207" t="n">
        <v>80.0244</v>
      </c>
      <c r="H207" t="inlineStr">
        <is>
          <t>GMBEL2-M-L85-A1</t>
        </is>
      </c>
      <c r="J207" s="91">
        <f>LEFT(RIGHT(H207,2),1)</f>
        <v/>
      </c>
      <c r="K207" s="91">
        <f>_xlfn.XLOOKUP(J207,#REF!,#REF!)</f>
        <v/>
      </c>
      <c r="L207" s="91" t="inlineStr">
        <is>
          <t>4G</t>
        </is>
      </c>
      <c r="M207" s="91" t="n">
        <v>850</v>
      </c>
      <c r="N207" s="91" t="inlineStr">
        <is>
          <t>AQU4518R9v06</t>
        </is>
      </c>
      <c r="O207" s="92" t="n">
        <v>60</v>
      </c>
      <c r="P207" t="n">
        <v>50</v>
      </c>
      <c r="R207" s="92" t="n">
        <v>0</v>
      </c>
      <c r="Y207" t="inlineStr">
        <is>
          <t>2T2R</t>
        </is>
      </c>
      <c r="AB207" s="91" t="inlineStr">
        <is>
          <t>R9254E S8500</t>
        </is>
      </c>
      <c r="AC207" s="91" t="inlineStr">
        <is>
          <t>A9652 S35*3+R9264H M901821*3+R9254E S8500*2+R9264 M1821N*1</t>
        </is>
      </c>
      <c r="AD207" s="91">
        <f>_xlfn.XLOOKUP(AE207,[4]透视表!$G:$G,[4]透视表!$D:$D)</f>
        <v/>
      </c>
      <c r="AE207" s="91">
        <f>A207&amp;K207</f>
        <v/>
      </c>
      <c r="AL207" s="91" t="inlineStr">
        <is>
          <t>高优先级</t>
        </is>
      </c>
    </row>
    <row r="208" hidden="1" ht="15" customHeight="1" s="99">
      <c r="A208" t="inlineStr">
        <is>
          <t>GMBEL2</t>
        </is>
      </c>
      <c r="B208" t="inlineStr">
        <is>
          <t>GMBEL2_GUL00_Mudungoda_IP_Gm</t>
        </is>
      </c>
      <c r="C208" s="89" t="inlineStr">
        <is>
          <t>Huawei</t>
        </is>
      </c>
      <c r="F208" t="n">
        <v>7.06428</v>
      </c>
      <c r="G208" t="n">
        <v>80.0244</v>
      </c>
      <c r="H208" t="inlineStr">
        <is>
          <t>GMBEL2G</t>
        </is>
      </c>
      <c r="J208" s="91">
        <f>RIGHT(H208,1)</f>
        <v/>
      </c>
      <c r="K208" s="91">
        <f>_xlfn.XLOOKUP(J208,#REF!,#REF!)</f>
        <v/>
      </c>
      <c r="L208" s="91" t="inlineStr">
        <is>
          <t>4G</t>
        </is>
      </c>
      <c r="M208" s="91" t="n">
        <v>1800</v>
      </c>
      <c r="N208" s="91" t="inlineStr">
        <is>
          <t>AQU4518R9v06</t>
        </is>
      </c>
      <c r="O208" s="92" t="n">
        <v>60</v>
      </c>
      <c r="P208" t="n">
        <v>50</v>
      </c>
      <c r="R208" s="92" t="n">
        <v>0</v>
      </c>
      <c r="Y208" t="inlineStr">
        <is>
          <t>2T2R</t>
        </is>
      </c>
      <c r="AB208" s="91" t="inlineStr">
        <is>
          <t>R9264H M901821</t>
        </is>
      </c>
      <c r="AC208" s="91" t="inlineStr">
        <is>
          <t>A9652 S35*3+R9264H M901821*3+R9254E S8500*2+R9264 M1821N*1</t>
        </is>
      </c>
      <c r="AD208" s="91">
        <f>_xlfn.XLOOKUP(AE208,[4]透视表!$G:$G,[4]透视表!$E:$E)</f>
        <v/>
      </c>
      <c r="AE208" s="91">
        <f>A208&amp;K208</f>
        <v/>
      </c>
      <c r="AL208" s="91" t="inlineStr">
        <is>
          <t>高优先级</t>
        </is>
      </c>
    </row>
    <row r="209" hidden="1" ht="15" customHeight="1" s="99">
      <c r="A209" t="inlineStr">
        <is>
          <t>GMBEL2</t>
        </is>
      </c>
      <c r="B209" t="inlineStr">
        <is>
          <t>GMBEL2_GUL00_Mudungoda_IP_Gm</t>
        </is>
      </c>
      <c r="C209" s="89" t="inlineStr">
        <is>
          <t>Huawei</t>
        </is>
      </c>
      <c r="F209" t="n">
        <v>7.06428</v>
      </c>
      <c r="G209" t="n">
        <v>80.0244</v>
      </c>
      <c r="H209" t="inlineStr">
        <is>
          <t>GMBEL2-M-L21-A2</t>
        </is>
      </c>
      <c r="J209" s="91">
        <f>LEFT(RIGHT(H209,2),1)</f>
        <v/>
      </c>
      <c r="K209" s="91">
        <f>_xlfn.XLOOKUP(J209,#REF!,#REF!)</f>
        <v/>
      </c>
      <c r="L209" s="91" t="inlineStr">
        <is>
          <t>4G</t>
        </is>
      </c>
      <c r="M209" s="91" t="n">
        <v>2100</v>
      </c>
      <c r="N209" s="91" t="inlineStr">
        <is>
          <t>AQU4518R9v06</t>
        </is>
      </c>
      <c r="O209" s="92" t="n">
        <v>60</v>
      </c>
      <c r="P209" t="n">
        <v>50</v>
      </c>
      <c r="R209" s="92" t="n">
        <v>0</v>
      </c>
      <c r="Y209" t="inlineStr">
        <is>
          <t>2T2R</t>
        </is>
      </c>
      <c r="AB209" s="91" t="inlineStr">
        <is>
          <t>R9264H M901821</t>
        </is>
      </c>
      <c r="AC209" s="91" t="inlineStr">
        <is>
          <t>A9652 S35*3+R9264H M901821*3+R9254E S8500*2+R9264 M1821N*1</t>
        </is>
      </c>
      <c r="AD209" s="91">
        <f>_xlfn.XLOOKUP(AE209,[4]透视表!$G:$G,[4]透视表!$F:$F)</f>
        <v/>
      </c>
      <c r="AE209" s="91">
        <f>A209&amp;K209</f>
        <v/>
      </c>
      <c r="AL209" s="91" t="inlineStr">
        <is>
          <t>高优先级</t>
        </is>
      </c>
    </row>
    <row r="210" hidden="1" ht="15" customHeight="1" s="99">
      <c r="A210" t="inlineStr">
        <is>
          <t>GMBEL2</t>
        </is>
      </c>
      <c r="C210" s="89" t="inlineStr">
        <is>
          <t>Huawei</t>
        </is>
      </c>
      <c r="F210" t="n">
        <v>7.06428</v>
      </c>
      <c r="G210" t="n">
        <v>80.0244</v>
      </c>
      <c r="H210" t="inlineStr">
        <is>
          <t>GMBEL2B</t>
        </is>
      </c>
      <c r="J210" s="91">
        <f>RIGHT(H210,1)</f>
        <v/>
      </c>
      <c r="K210" t="inlineStr">
        <is>
          <t>S2</t>
        </is>
      </c>
      <c r="L210" s="91" t="inlineStr">
        <is>
          <t>2G</t>
        </is>
      </c>
      <c r="M210" t="n">
        <v>900</v>
      </c>
      <c r="N210" s="91" t="inlineStr">
        <is>
          <t>AQU4518R9v06</t>
        </is>
      </c>
      <c r="P210" t="n">
        <v>160</v>
      </c>
      <c r="R210" s="92" t="n">
        <v>2</v>
      </c>
      <c r="AB210" s="91" t="inlineStr">
        <is>
          <t>R9264H M901821</t>
        </is>
      </c>
      <c r="AC210" s="91" t="inlineStr">
        <is>
          <t>A9652 S35*3+R9264H M901821*3+R9254E S8500*2+R9264 M1821N*1</t>
        </is>
      </c>
      <c r="AD210" s="91">
        <f>_xlfn.XLOOKUP(AE210,[4]透视表!$G:$G,[4]透视表!$D:$D)</f>
        <v/>
      </c>
      <c r="AE210" s="91">
        <f>A210&amp;K210</f>
        <v/>
      </c>
      <c r="AL210" s="91" t="inlineStr">
        <is>
          <t>高优先级</t>
        </is>
      </c>
    </row>
    <row r="211" hidden="1" ht="15" customHeight="1" s="99">
      <c r="A211" t="inlineStr">
        <is>
          <t>GMBEL2</t>
        </is>
      </c>
      <c r="C211" s="89" t="inlineStr">
        <is>
          <t>Huawei</t>
        </is>
      </c>
      <c r="F211" t="n">
        <v>7.06428</v>
      </c>
      <c r="G211" t="n">
        <v>80.0244</v>
      </c>
      <c r="H211" t="inlineStr">
        <is>
          <t>GMBEL2Q</t>
        </is>
      </c>
      <c r="J211" s="91">
        <f>RIGHT(H211,1)</f>
        <v/>
      </c>
      <c r="K211" t="inlineStr">
        <is>
          <t>S2</t>
        </is>
      </c>
      <c r="L211" s="91" t="inlineStr">
        <is>
          <t>2G</t>
        </is>
      </c>
      <c r="M211" t="n">
        <v>1800</v>
      </c>
      <c r="N211" s="91" t="inlineStr">
        <is>
          <t>AQU4518R9v06</t>
        </is>
      </c>
      <c r="P211" t="n">
        <v>160</v>
      </c>
      <c r="R211" s="92" t="n">
        <v>2</v>
      </c>
      <c r="AB211" s="91" t="inlineStr">
        <is>
          <t>R9264H M901821</t>
        </is>
      </c>
      <c r="AC211" s="91" t="inlineStr">
        <is>
          <t>A9652 S35*3+R9264H M901821*3+R9254E S8500*2+R9264 M1821N*1</t>
        </is>
      </c>
      <c r="AD211" s="91">
        <f>_xlfn.XLOOKUP(AE211,[4]透视表!$G:$G,[4]透视表!$E:$E)</f>
        <v/>
      </c>
      <c r="AE211" s="91">
        <f>A211&amp;K211</f>
        <v/>
      </c>
      <c r="AL211" s="91" t="inlineStr">
        <is>
          <t>高优先级</t>
        </is>
      </c>
    </row>
    <row r="212" hidden="1" ht="15" customHeight="1" s="99">
      <c r="A212" t="inlineStr">
        <is>
          <t>GMBEL2</t>
        </is>
      </c>
      <c r="B212" t="inlineStr">
        <is>
          <t>GMBEL2_GUL00_Mudungoda_IP_Gm</t>
        </is>
      </c>
      <c r="C212" s="89" t="inlineStr">
        <is>
          <t>Huawei</t>
        </is>
      </c>
      <c r="F212" t="n">
        <v>7.06428</v>
      </c>
      <c r="G212" t="n">
        <v>80.0244</v>
      </c>
      <c r="H212" t="inlineStr">
        <is>
          <t>GMBEL2-M-L85-B1</t>
        </is>
      </c>
      <c r="J212" s="91">
        <f>LEFT(RIGHT(H212,2),1)</f>
        <v/>
      </c>
      <c r="K212" s="91">
        <f>_xlfn.XLOOKUP(J212,#REF!,#REF!)</f>
        <v/>
      </c>
      <c r="L212" s="91" t="inlineStr">
        <is>
          <t>4G</t>
        </is>
      </c>
      <c r="M212" s="91" t="n">
        <v>850</v>
      </c>
      <c r="N212" s="91" t="inlineStr">
        <is>
          <t>AQU4518R9v06</t>
        </is>
      </c>
      <c r="O212" s="92" t="n">
        <v>60</v>
      </c>
      <c r="P212" t="n">
        <v>160</v>
      </c>
      <c r="R212" s="92" t="n">
        <v>0</v>
      </c>
      <c r="Y212" t="inlineStr">
        <is>
          <t>2T2R</t>
        </is>
      </c>
      <c r="AB212" s="91" t="inlineStr">
        <is>
          <t>R9254E S8500</t>
        </is>
      </c>
      <c r="AC212" s="91" t="inlineStr">
        <is>
          <t>A9652 S35*3+R9264H M901821*3+R9254E S8500*2+R9264 M1821N*1</t>
        </is>
      </c>
      <c r="AD212" s="91">
        <f>_xlfn.XLOOKUP(AE212,[4]透视表!$G:$G,[4]透视表!$D:$D)</f>
        <v/>
      </c>
      <c r="AE212" s="91">
        <f>A212&amp;K212</f>
        <v/>
      </c>
      <c r="AL212" s="91" t="inlineStr">
        <is>
          <t>高优先级</t>
        </is>
      </c>
    </row>
    <row r="213" hidden="1" ht="15" customHeight="1" s="99">
      <c r="A213" t="inlineStr">
        <is>
          <t>GMBEL2</t>
        </is>
      </c>
      <c r="B213" t="inlineStr">
        <is>
          <t>GMBEL2_GUL00_Mudungoda_IP_Gm</t>
        </is>
      </c>
      <c r="C213" s="89" t="inlineStr">
        <is>
          <t>Huawei</t>
        </is>
      </c>
      <c r="F213" t="n">
        <v>7.06428</v>
      </c>
      <c r="G213" t="n">
        <v>80.0244</v>
      </c>
      <c r="H213" t="inlineStr">
        <is>
          <t>GMBEL2H</t>
        </is>
      </c>
      <c r="J213" s="91">
        <f>RIGHT(H213,1)</f>
        <v/>
      </c>
      <c r="K213" s="91">
        <f>_xlfn.XLOOKUP(J213,#REF!,#REF!)</f>
        <v/>
      </c>
      <c r="L213" s="91" t="inlineStr">
        <is>
          <t>4G</t>
        </is>
      </c>
      <c r="M213" s="91" t="n">
        <v>1800</v>
      </c>
      <c r="N213" s="91" t="inlineStr">
        <is>
          <t>AQU4518R9v06</t>
        </is>
      </c>
      <c r="O213" s="92" t="n">
        <v>60</v>
      </c>
      <c r="P213" t="n">
        <v>160</v>
      </c>
      <c r="R213" s="92" t="n">
        <v>0</v>
      </c>
      <c r="Y213" t="inlineStr">
        <is>
          <t>2T2R</t>
        </is>
      </c>
      <c r="AB213" s="91" t="inlineStr">
        <is>
          <t>R9264H M901821</t>
        </is>
      </c>
      <c r="AC213" s="91" t="inlineStr">
        <is>
          <t>A9652 S35*3+R9264H M901821*3+R9254E S8500*2+R9264 M1821N*1</t>
        </is>
      </c>
      <c r="AD213" s="91">
        <f>_xlfn.XLOOKUP(AE213,[4]透视表!$G:$G,[4]透视表!$E:$E)</f>
        <v/>
      </c>
      <c r="AE213" s="91">
        <f>A213&amp;K213</f>
        <v/>
      </c>
      <c r="AL213" s="91" t="inlineStr">
        <is>
          <t>高优先级</t>
        </is>
      </c>
    </row>
    <row r="214" hidden="1" ht="15" customHeight="1" s="99">
      <c r="A214" t="inlineStr">
        <is>
          <t>GMBEL2</t>
        </is>
      </c>
      <c r="C214" s="89" t="inlineStr">
        <is>
          <t>Huawei</t>
        </is>
      </c>
      <c r="F214" t="n">
        <v>7.06428</v>
      </c>
      <c r="G214" t="n">
        <v>80.0244</v>
      </c>
      <c r="H214" t="inlineStr">
        <is>
          <t>GMBEL2C</t>
        </is>
      </c>
      <c r="J214" s="91">
        <f>RIGHT(H214,1)</f>
        <v/>
      </c>
      <c r="K214" t="inlineStr">
        <is>
          <t>S3</t>
        </is>
      </c>
      <c r="L214" s="91" t="inlineStr">
        <is>
          <t>2G</t>
        </is>
      </c>
      <c r="M214" t="n">
        <v>900</v>
      </c>
      <c r="N214" s="91" t="inlineStr">
        <is>
          <t>AQU4518R9v06</t>
        </is>
      </c>
      <c r="P214" t="n">
        <v>250</v>
      </c>
      <c r="R214" s="92" t="n">
        <v>2</v>
      </c>
      <c r="AB214" s="91" t="inlineStr">
        <is>
          <t>R9264H M901821</t>
        </is>
      </c>
      <c r="AC214" s="91" t="inlineStr">
        <is>
          <t>A9652 S35*3+R9264H M901821*3+R9254E S8500*2+R9264 M1821N*1</t>
        </is>
      </c>
      <c r="AD214" s="91">
        <f>_xlfn.XLOOKUP(AE214,[4]透视表!$G:$G,[4]透视表!$D:$D)</f>
        <v/>
      </c>
      <c r="AE214" s="91">
        <f>A214&amp;K214</f>
        <v/>
      </c>
      <c r="AL214" s="91" t="inlineStr">
        <is>
          <t>高优先级</t>
        </is>
      </c>
    </row>
    <row r="215" hidden="1" ht="15" customHeight="1" s="99">
      <c r="A215" t="inlineStr">
        <is>
          <t>GMBEL2</t>
        </is>
      </c>
      <c r="C215" s="89" t="inlineStr">
        <is>
          <t>Huawei</t>
        </is>
      </c>
      <c r="F215" t="n">
        <v>7.06428</v>
      </c>
      <c r="G215" t="n">
        <v>80.0244</v>
      </c>
      <c r="H215" t="inlineStr">
        <is>
          <t>GMBEL2R</t>
        </is>
      </c>
      <c r="J215" s="91">
        <f>RIGHT(H215,1)</f>
        <v/>
      </c>
      <c r="K215" t="inlineStr">
        <is>
          <t>S3</t>
        </is>
      </c>
      <c r="L215" s="91" t="inlineStr">
        <is>
          <t>2G</t>
        </is>
      </c>
      <c r="M215" t="n">
        <v>1800</v>
      </c>
      <c r="N215" s="91" t="inlineStr">
        <is>
          <t>AQU4518R9v06</t>
        </is>
      </c>
      <c r="P215" t="n">
        <v>250</v>
      </c>
      <c r="R215" s="92" t="n">
        <v>2</v>
      </c>
      <c r="AB215" s="91" t="inlineStr">
        <is>
          <t>R9264H M901821</t>
        </is>
      </c>
      <c r="AC215" s="91" t="inlineStr">
        <is>
          <t>A9652 S35*3+R9264H M901821*3+R9254E S8500*2+R9264 M1821N*1</t>
        </is>
      </c>
      <c r="AD215" s="91">
        <f>_xlfn.XLOOKUP(AE215,[4]透视表!$G:$G,[4]透视表!$E:$E)</f>
        <v/>
      </c>
      <c r="AE215" s="91">
        <f>A215&amp;K215</f>
        <v/>
      </c>
      <c r="AL215" s="91" t="inlineStr">
        <is>
          <t>高优先级</t>
        </is>
      </c>
    </row>
    <row r="216" hidden="1" ht="15" customHeight="1" s="99">
      <c r="A216" t="inlineStr">
        <is>
          <t>GMBEL2</t>
        </is>
      </c>
      <c r="B216" t="inlineStr">
        <is>
          <t>GMBEL2_GUL00_Mudungoda_IP_Gm</t>
        </is>
      </c>
      <c r="C216" s="89" t="inlineStr">
        <is>
          <t>Huawei</t>
        </is>
      </c>
      <c r="F216" t="n">
        <v>7.06428</v>
      </c>
      <c r="G216" t="n">
        <v>80.0244</v>
      </c>
      <c r="H216" t="inlineStr">
        <is>
          <t>GMBEL2-M-L85-C1</t>
        </is>
      </c>
      <c r="J216" s="91">
        <f>LEFT(RIGHT(H216,2),1)</f>
        <v/>
      </c>
      <c r="K216" s="91">
        <f>_xlfn.XLOOKUP(J216,#REF!,#REF!)</f>
        <v/>
      </c>
      <c r="L216" s="91" t="inlineStr">
        <is>
          <t>4G</t>
        </is>
      </c>
      <c r="M216" s="91" t="n">
        <v>850</v>
      </c>
      <c r="N216" s="91" t="inlineStr">
        <is>
          <t>AQU4518R9v06</t>
        </is>
      </c>
      <c r="O216" s="92" t="n">
        <v>60</v>
      </c>
      <c r="P216" t="n">
        <v>250</v>
      </c>
      <c r="R216" s="92" t="n">
        <v>0</v>
      </c>
      <c r="Y216" t="inlineStr">
        <is>
          <t>2T2R</t>
        </is>
      </c>
      <c r="AB216" s="91" t="inlineStr">
        <is>
          <t>R9254E S8500</t>
        </is>
      </c>
      <c r="AC216" s="91" t="inlineStr">
        <is>
          <t>A9652 S35*3+R9264H M901821*3+R9254E S8500*2+R9264 M1821N*1</t>
        </is>
      </c>
      <c r="AD216" s="91">
        <f>_xlfn.XLOOKUP(AE216,[4]透视表!$G:$G,[4]透视表!$D:$D)</f>
        <v/>
      </c>
      <c r="AE216" s="91">
        <f>A216&amp;K216</f>
        <v/>
      </c>
      <c r="AL216" s="91" t="inlineStr">
        <is>
          <t>高优先级</t>
        </is>
      </c>
    </row>
    <row r="217" hidden="1" ht="15" customHeight="1" s="99">
      <c r="A217" t="inlineStr">
        <is>
          <t>GMBEL2</t>
        </is>
      </c>
      <c r="B217" t="inlineStr">
        <is>
          <t>GMBEL2_GUL00_Mudungoda_IP_Gm</t>
        </is>
      </c>
      <c r="C217" s="89" t="inlineStr">
        <is>
          <t>Huawei</t>
        </is>
      </c>
      <c r="F217" t="n">
        <v>7.06428</v>
      </c>
      <c r="G217" t="n">
        <v>80.0244</v>
      </c>
      <c r="H217" t="inlineStr">
        <is>
          <t>GMBEL2I</t>
        </is>
      </c>
      <c r="J217" s="91">
        <f>RIGHT(H217,1)</f>
        <v/>
      </c>
      <c r="K217" s="91">
        <f>_xlfn.XLOOKUP(J217,#REF!,#REF!)</f>
        <v/>
      </c>
      <c r="L217" s="91" t="inlineStr">
        <is>
          <t>4G</t>
        </is>
      </c>
      <c r="M217" s="91" t="n">
        <v>1800</v>
      </c>
      <c r="N217" s="91" t="inlineStr">
        <is>
          <t>AQU4518R9v06</t>
        </is>
      </c>
      <c r="O217" s="92" t="n">
        <v>60</v>
      </c>
      <c r="P217" t="n">
        <v>250</v>
      </c>
      <c r="R217" s="92" t="n">
        <v>0</v>
      </c>
      <c r="Y217" t="inlineStr">
        <is>
          <t>4T4R</t>
        </is>
      </c>
      <c r="AB217" s="91" t="inlineStr">
        <is>
          <t>R9264H M901821</t>
        </is>
      </c>
      <c r="AC217" s="91" t="inlineStr">
        <is>
          <t>A9652 S35*3+R9264H M901821*3+R9254E S8500*2+R9264 M1821N*1</t>
        </is>
      </c>
      <c r="AD217" s="91">
        <f>_xlfn.XLOOKUP(AE217,[4]透视表!$G:$G,[4]透视表!$E:$E)</f>
        <v/>
      </c>
      <c r="AE217" s="91">
        <f>A217&amp;K217</f>
        <v/>
      </c>
      <c r="AL217" s="91" t="inlineStr">
        <is>
          <t>高优先级</t>
        </is>
      </c>
    </row>
    <row r="218" hidden="1" ht="15" customHeight="1" s="99">
      <c r="A218" t="inlineStr">
        <is>
          <t>GMBEL2</t>
        </is>
      </c>
      <c r="B218" t="inlineStr">
        <is>
          <t>GMBEL2_GUL00_Mudungoda_IP_Gm</t>
        </is>
      </c>
      <c r="C218" s="89" t="inlineStr">
        <is>
          <t>Huawei</t>
        </is>
      </c>
      <c r="F218" t="n">
        <v>7.06428</v>
      </c>
      <c r="G218" t="n">
        <v>80.0244</v>
      </c>
      <c r="H218" t="inlineStr">
        <is>
          <t>GMBEL2-M-L21-C2</t>
        </is>
      </c>
      <c r="J218" s="91">
        <f>LEFT(RIGHT(H218,2),1)</f>
        <v/>
      </c>
      <c r="K218" s="91">
        <f>_xlfn.XLOOKUP(J218,#REF!,#REF!)</f>
        <v/>
      </c>
      <c r="L218" s="91" t="inlineStr">
        <is>
          <t>4G</t>
        </is>
      </c>
      <c r="M218" s="91" t="n">
        <v>2100</v>
      </c>
      <c r="N218" s="91" t="inlineStr">
        <is>
          <t>AQU4518R9v06</t>
        </is>
      </c>
      <c r="O218" s="92" t="n">
        <v>60</v>
      </c>
      <c r="P218" t="n">
        <v>250</v>
      </c>
      <c r="R218" s="92" t="n">
        <v>0</v>
      </c>
      <c r="Y218" t="inlineStr">
        <is>
          <t>4T4R</t>
        </is>
      </c>
      <c r="AB218" s="91" t="inlineStr">
        <is>
          <t>R9264H M901821</t>
        </is>
      </c>
      <c r="AC218" s="91" t="inlineStr">
        <is>
          <t>A9652 S35*3+R9264H M901821*3+R9254E S8500*2+R9264 M1821N*1</t>
        </is>
      </c>
      <c r="AD218" s="91">
        <f>_xlfn.XLOOKUP(AE218,[4]透视表!$G:$G,[4]透视表!$F:$F)</f>
        <v/>
      </c>
      <c r="AE218" s="91">
        <f>A218&amp;K218</f>
        <v/>
      </c>
      <c r="AL218" s="91" t="inlineStr">
        <is>
          <t>高优先级</t>
        </is>
      </c>
    </row>
    <row r="219" hidden="1" ht="15" customHeight="1" s="99">
      <c r="A219" t="inlineStr">
        <is>
          <t>GMBEL2</t>
        </is>
      </c>
      <c r="B219" t="inlineStr">
        <is>
          <t>GMBEL2_GUL00_Mudungoda_IP_Gm</t>
        </is>
      </c>
      <c r="C219" s="89" t="inlineStr">
        <is>
          <t>Huawei</t>
        </is>
      </c>
      <c r="F219" t="n">
        <v>7.06428</v>
      </c>
      <c r="G219" t="n">
        <v>80.0244</v>
      </c>
      <c r="H219" t="inlineStr">
        <is>
          <t>GMBEL2-M-L18-D1</t>
        </is>
      </c>
      <c r="J219" s="91">
        <f>LEFT(RIGHT(H219,2),1)</f>
        <v/>
      </c>
      <c r="K219" s="91">
        <f>_xlfn.XLOOKUP(J219,#REF!,#REF!)</f>
        <v/>
      </c>
      <c r="L219" s="91" t="inlineStr">
        <is>
          <t>4G</t>
        </is>
      </c>
      <c r="M219" s="91" t="n">
        <v>1800</v>
      </c>
      <c r="N219" s="91" t="e">
        <v>#N/A</v>
      </c>
      <c r="O219" s="92" t="n">
        <v>60</v>
      </c>
      <c r="P219" t="n">
        <v>270</v>
      </c>
      <c r="R219" s="92" t="n">
        <v>0</v>
      </c>
      <c r="Y219" t="inlineStr">
        <is>
          <t>2T2R</t>
        </is>
      </c>
      <c r="AB219" s="91" t="inlineStr">
        <is>
          <t>R9264 M1821N</t>
        </is>
      </c>
      <c r="AC219" s="91" t="inlineStr">
        <is>
          <t>A9652 S35*3+R9264H M901821*3+R9254E S8500*2+R9264 M1821N*1</t>
        </is>
      </c>
      <c r="AD219" s="91">
        <f>_xlfn.XLOOKUP(AE219,[4]透视表!$G:$G,[4]透视表!$E:$E)</f>
        <v/>
      </c>
      <c r="AE219" s="91">
        <f>A219&amp;K219</f>
        <v/>
      </c>
      <c r="AL219" s="91" t="inlineStr">
        <is>
          <t>高优先级</t>
        </is>
      </c>
    </row>
    <row r="220" hidden="1" ht="15" customHeight="1" s="99">
      <c r="A220" t="inlineStr">
        <is>
          <t>GMBEL3</t>
        </is>
      </c>
      <c r="B220" t="inlineStr">
        <is>
          <t>GMBEL3_0UL00_Belummahara3_IP_Kd</t>
        </is>
      </c>
      <c r="C220" s="89" t="inlineStr">
        <is>
          <t>Huawei</t>
        </is>
      </c>
      <c r="F220" t="n">
        <v>7.0563</v>
      </c>
      <c r="G220" t="n">
        <v>80.0061</v>
      </c>
      <c r="H220" t="inlineStr">
        <is>
          <t>GMBEL3-M-L21-A2</t>
        </is>
      </c>
      <c r="J220" s="91">
        <f>LEFT(RIGHT(H220,2),1)</f>
        <v/>
      </c>
      <c r="K220" s="91">
        <f>_xlfn.XLOOKUP(J220,#REF!,#REF!)</f>
        <v/>
      </c>
      <c r="L220" s="91" t="inlineStr">
        <is>
          <t>4G</t>
        </is>
      </c>
      <c r="M220" s="91" t="n">
        <v>2100</v>
      </c>
      <c r="N220" s="91" t="e">
        <v>#N/A</v>
      </c>
      <c r="O220" s="92" t="n">
        <v>40</v>
      </c>
      <c r="P220" t="n">
        <v>0</v>
      </c>
      <c r="R220" s="92" t="n">
        <v>0</v>
      </c>
      <c r="Y220" t="inlineStr">
        <is>
          <t>2T2R</t>
        </is>
      </c>
      <c r="AB220" s="91" t="inlineStr">
        <is>
          <t>R9264 M1821N</t>
        </is>
      </c>
      <c r="AC220" s="91" t="inlineStr">
        <is>
          <t>R9264 M1821N*3</t>
        </is>
      </c>
      <c r="AD220" s="91">
        <f>_xlfn.XLOOKUP(AE220,[4]透视表!$G:$G,[4]透视表!$F:$F)</f>
        <v/>
      </c>
      <c r="AE220" s="91">
        <f>A220&amp;K220</f>
        <v/>
      </c>
      <c r="AL220" s="91" t="inlineStr">
        <is>
          <t>高优先级</t>
        </is>
      </c>
    </row>
    <row r="221" hidden="1" ht="15" customHeight="1" s="99">
      <c r="A221" t="inlineStr">
        <is>
          <t>GMBEL3</t>
        </is>
      </c>
      <c r="B221" t="inlineStr">
        <is>
          <t>GMBEL3_0UL00_Belummahara3_IP_Kd</t>
        </is>
      </c>
      <c r="C221" s="89" t="inlineStr">
        <is>
          <t>Huawei</t>
        </is>
      </c>
      <c r="F221" t="n">
        <v>7.0563</v>
      </c>
      <c r="G221" t="n">
        <v>80.0061</v>
      </c>
      <c r="H221" t="inlineStr">
        <is>
          <t>GMBEL3-M-L21-B2</t>
        </is>
      </c>
      <c r="J221" s="91">
        <f>LEFT(RIGHT(H221,2),1)</f>
        <v/>
      </c>
      <c r="K221" s="91">
        <f>_xlfn.XLOOKUP(J221,#REF!,#REF!)</f>
        <v/>
      </c>
      <c r="L221" s="91" t="inlineStr">
        <is>
          <t>4G</t>
        </is>
      </c>
      <c r="M221" s="91" t="n">
        <v>2100</v>
      </c>
      <c r="N221" s="91" t="e">
        <v>#N/A</v>
      </c>
      <c r="O221" s="92" t="n">
        <v>40</v>
      </c>
      <c r="P221" t="n">
        <v>90</v>
      </c>
      <c r="R221" s="92" t="n">
        <v>0</v>
      </c>
      <c r="Y221" t="inlineStr">
        <is>
          <t>2T2R</t>
        </is>
      </c>
      <c r="AB221" s="91" t="inlineStr">
        <is>
          <t>R9264 M1821N</t>
        </is>
      </c>
      <c r="AC221" s="91" t="inlineStr">
        <is>
          <t>R9264 M1821N*3</t>
        </is>
      </c>
      <c r="AD221" s="91">
        <f>_xlfn.XLOOKUP(AE221,[4]透视表!$G:$G,[4]透视表!$F:$F)</f>
        <v/>
      </c>
      <c r="AE221" s="91">
        <f>A221&amp;K221</f>
        <v/>
      </c>
      <c r="AL221" s="91" t="inlineStr">
        <is>
          <t>高优先级</t>
        </is>
      </c>
    </row>
    <row r="222" hidden="1" ht="15" customHeight="1" s="99">
      <c r="A222" t="inlineStr">
        <is>
          <t>GMBEL3</t>
        </is>
      </c>
      <c r="B222" t="inlineStr">
        <is>
          <t>GMBEL3_0UL00_Belummahara3_IP_Kd</t>
        </is>
      </c>
      <c r="C222" s="89" t="inlineStr">
        <is>
          <t>Huawei</t>
        </is>
      </c>
      <c r="F222" t="n">
        <v>7.0563</v>
      </c>
      <c r="G222" t="n">
        <v>80.0061</v>
      </c>
      <c r="H222" t="inlineStr">
        <is>
          <t>GMBEL3-M-L21-C2</t>
        </is>
      </c>
      <c r="J222" s="91">
        <f>LEFT(RIGHT(H222,2),1)</f>
        <v/>
      </c>
      <c r="K222" s="91">
        <f>_xlfn.XLOOKUP(J222,#REF!,#REF!)</f>
        <v/>
      </c>
      <c r="L222" s="91" t="inlineStr">
        <is>
          <t>4G</t>
        </is>
      </c>
      <c r="M222" s="91" t="n">
        <v>2100</v>
      </c>
      <c r="N222" s="91" t="e">
        <v>#N/A</v>
      </c>
      <c r="O222" s="92" t="n">
        <v>40</v>
      </c>
      <c r="P222" t="n">
        <v>180</v>
      </c>
      <c r="R222" s="92" t="n">
        <v>0</v>
      </c>
      <c r="Y222" t="inlineStr">
        <is>
          <t>2T2R</t>
        </is>
      </c>
      <c r="AB222" s="91" t="inlineStr">
        <is>
          <t>R9264 M1821N</t>
        </is>
      </c>
      <c r="AC222" s="91" t="inlineStr">
        <is>
          <t>R9264 M1821N*3</t>
        </is>
      </c>
      <c r="AD222" s="91">
        <f>_xlfn.XLOOKUP(AE222,[4]透视表!$G:$G,[4]透视表!$F:$F)</f>
        <v/>
      </c>
      <c r="AE222" s="91">
        <f>A222&amp;K222</f>
        <v/>
      </c>
      <c r="AL222" s="91" t="inlineStr">
        <is>
          <t>高优先级</t>
        </is>
      </c>
    </row>
    <row r="223" hidden="1" ht="15" customHeight="1" s="99">
      <c r="A223" t="inlineStr">
        <is>
          <t>GMBEM1</t>
        </is>
      </c>
      <c r="C223" s="89" t="inlineStr">
        <is>
          <t>Huawei</t>
        </is>
      </c>
      <c r="F223" t="n">
        <v>7.12145</v>
      </c>
      <c r="G223" t="n">
        <v>80.0215</v>
      </c>
      <c r="H223" t="inlineStr">
        <is>
          <t>GMBEM1A</t>
        </is>
      </c>
      <c r="J223" s="91">
        <f>RIGHT(H223,1)</f>
        <v/>
      </c>
      <c r="K223" t="inlineStr">
        <is>
          <t>S1</t>
        </is>
      </c>
      <c r="L223" s="91" t="inlineStr">
        <is>
          <t>2G</t>
        </is>
      </c>
      <c r="M223" t="n">
        <v>900</v>
      </c>
      <c r="N223" s="91" t="inlineStr">
        <is>
          <t>AQU4518R9v06</t>
        </is>
      </c>
      <c r="P223" t="n">
        <v>10</v>
      </c>
      <c r="R223" s="92" t="n">
        <v>2</v>
      </c>
      <c r="AB223" s="91" t="inlineStr">
        <is>
          <t>R9264H M901821</t>
        </is>
      </c>
      <c r="AC223" s="91" t="inlineStr">
        <is>
          <t>R9264H M901821*3+R9254E S8500*2+R9264 M1821N*1</t>
        </is>
      </c>
      <c r="AD223" s="91">
        <f>_xlfn.XLOOKUP(AE223,[4]透视表!$G:$G,[4]透视表!$D:$D)</f>
        <v/>
      </c>
      <c r="AE223" s="91">
        <f>A223&amp;K223</f>
        <v/>
      </c>
      <c r="AL223" s="91" t="inlineStr">
        <is>
          <t>高优先级</t>
        </is>
      </c>
    </row>
    <row r="224" hidden="1" ht="15" customHeight="1" s="99">
      <c r="A224" t="inlineStr">
        <is>
          <t>GMBEM1</t>
        </is>
      </c>
      <c r="C224" s="89" t="inlineStr">
        <is>
          <t>Huawei</t>
        </is>
      </c>
      <c r="F224" t="n">
        <v>7.12145</v>
      </c>
      <c r="G224" t="n">
        <v>80.0215</v>
      </c>
      <c r="H224" t="inlineStr">
        <is>
          <t>GMBEM1P</t>
        </is>
      </c>
      <c r="J224" s="91">
        <f>RIGHT(H224,1)</f>
        <v/>
      </c>
      <c r="K224" t="inlineStr">
        <is>
          <t>S1</t>
        </is>
      </c>
      <c r="L224" s="91" t="inlineStr">
        <is>
          <t>2G</t>
        </is>
      </c>
      <c r="M224" t="n">
        <v>1800</v>
      </c>
      <c r="N224" s="91" t="inlineStr">
        <is>
          <t>AQU4518R9v06</t>
        </is>
      </c>
      <c r="P224" t="n">
        <v>10</v>
      </c>
      <c r="R224" s="92" t="n">
        <v>2</v>
      </c>
      <c r="AB224" s="91" t="inlineStr">
        <is>
          <t>R9264H M901821</t>
        </is>
      </c>
      <c r="AC224" s="91" t="inlineStr">
        <is>
          <t>R9264H M901821*3+R9254E S8500*2+R9264 M1821N*1</t>
        </is>
      </c>
      <c r="AD224" s="91">
        <f>_xlfn.XLOOKUP(AE224,[4]透视表!$G:$G,[4]透视表!$E:$E)</f>
        <v/>
      </c>
      <c r="AE224" s="91">
        <f>A224&amp;K224</f>
        <v/>
      </c>
      <c r="AL224" s="91" t="inlineStr">
        <is>
          <t>高优先级</t>
        </is>
      </c>
    </row>
    <row r="225" hidden="1" ht="15" customHeight="1" s="99">
      <c r="A225" t="inlineStr">
        <is>
          <t>GMBEM1</t>
        </is>
      </c>
      <c r="B225" t="inlineStr">
        <is>
          <t>GMBEM1_0UL00_Bemmulla_IP_Gm</t>
        </is>
      </c>
      <c r="C225" s="89" t="inlineStr">
        <is>
          <t>Huawei</t>
        </is>
      </c>
      <c r="F225" t="n">
        <v>7.12145</v>
      </c>
      <c r="G225" t="n">
        <v>80.0215</v>
      </c>
      <c r="H225" t="inlineStr">
        <is>
          <t>GMBEM1-M-L85-A1</t>
        </is>
      </c>
      <c r="J225" s="91">
        <f>LEFT(RIGHT(H225,2),1)</f>
        <v/>
      </c>
      <c r="K225" s="91">
        <f>_xlfn.XLOOKUP(J225,#REF!,#REF!)</f>
        <v/>
      </c>
      <c r="L225" s="91" t="inlineStr">
        <is>
          <t>4G</t>
        </is>
      </c>
      <c r="M225" s="91" t="n">
        <v>850</v>
      </c>
      <c r="N225" s="91" t="inlineStr">
        <is>
          <t>AQU4518R9v06</t>
        </is>
      </c>
      <c r="O225" s="92" t="n">
        <v>60</v>
      </c>
      <c r="P225" t="n">
        <v>10</v>
      </c>
      <c r="R225" s="92" t="n">
        <v>0</v>
      </c>
      <c r="Y225" t="inlineStr">
        <is>
          <t>2T2R</t>
        </is>
      </c>
      <c r="AB225" s="91" t="inlineStr">
        <is>
          <t>R9254E S8500</t>
        </is>
      </c>
      <c r="AC225" s="91" t="inlineStr">
        <is>
          <t>R9264H M901821*3+R9254E S8500*2+R9264 M1821N*1</t>
        </is>
      </c>
      <c r="AD225" s="91">
        <f>_xlfn.XLOOKUP(AE225,[4]透视表!$G:$G,[4]透视表!$D:$D)</f>
        <v/>
      </c>
      <c r="AE225" s="91">
        <f>A225&amp;K225</f>
        <v/>
      </c>
      <c r="AL225" s="91" t="inlineStr">
        <is>
          <t>高优先级</t>
        </is>
      </c>
    </row>
    <row r="226" hidden="1" ht="15" customHeight="1" s="99">
      <c r="A226" t="inlineStr">
        <is>
          <t>GMBEM1</t>
        </is>
      </c>
      <c r="B226" t="inlineStr">
        <is>
          <t>GMBEM1_0UL00_Bemmulla_IP_Gm</t>
        </is>
      </c>
      <c r="C226" s="89" t="inlineStr">
        <is>
          <t>Huawei</t>
        </is>
      </c>
      <c r="F226" t="n">
        <v>7.12145</v>
      </c>
      <c r="G226" t="n">
        <v>80.0215</v>
      </c>
      <c r="H226" t="inlineStr">
        <is>
          <t>GMBEM1G</t>
        </is>
      </c>
      <c r="J226" s="91">
        <f>RIGHT(H226,1)</f>
        <v/>
      </c>
      <c r="K226" s="91">
        <f>_xlfn.XLOOKUP(J226,#REF!,#REF!)</f>
        <v/>
      </c>
      <c r="L226" s="91" t="inlineStr">
        <is>
          <t>4G</t>
        </is>
      </c>
      <c r="M226" s="91" t="n">
        <v>1800</v>
      </c>
      <c r="N226" s="91" t="inlineStr">
        <is>
          <t>AQU4518R9v06</t>
        </is>
      </c>
      <c r="O226" s="92" t="n">
        <v>60</v>
      </c>
      <c r="P226" t="n">
        <v>10</v>
      </c>
      <c r="R226" s="92" t="n">
        <v>0</v>
      </c>
      <c r="Y226" t="inlineStr">
        <is>
          <t>2T2R</t>
        </is>
      </c>
      <c r="AB226" s="91" t="inlineStr">
        <is>
          <t>R9264H M901821</t>
        </is>
      </c>
      <c r="AC226" s="91" t="inlineStr">
        <is>
          <t>R9264H M901821*3+R9254E S8500*2+R9264 M1821N*1</t>
        </is>
      </c>
      <c r="AD226" s="91">
        <f>_xlfn.XLOOKUP(AE226,[4]透视表!$G:$G,[4]透视表!$E:$E)</f>
        <v/>
      </c>
      <c r="AE226" s="91">
        <f>A226&amp;K226</f>
        <v/>
      </c>
      <c r="AL226" s="91" t="inlineStr">
        <is>
          <t>高优先级</t>
        </is>
      </c>
    </row>
    <row r="227" hidden="1" ht="15" customHeight="1" s="99">
      <c r="A227" t="inlineStr">
        <is>
          <t>GMBEM1</t>
        </is>
      </c>
      <c r="B227" t="inlineStr">
        <is>
          <t>GMBEM1_0UL00_Bemmulla_IP_Gm</t>
        </is>
      </c>
      <c r="C227" s="89" t="inlineStr">
        <is>
          <t>Huawei</t>
        </is>
      </c>
      <c r="F227" t="n">
        <v>7.12145</v>
      </c>
      <c r="G227" t="n">
        <v>80.0215</v>
      </c>
      <c r="H227" t="inlineStr">
        <is>
          <t>GMBEM1-M-L21-A2</t>
        </is>
      </c>
      <c r="J227" s="91">
        <f>LEFT(RIGHT(H227,2),1)</f>
        <v/>
      </c>
      <c r="K227" s="91">
        <f>_xlfn.XLOOKUP(J227,#REF!,#REF!)</f>
        <v/>
      </c>
      <c r="L227" s="91" t="inlineStr">
        <is>
          <t>4G</t>
        </is>
      </c>
      <c r="M227" s="91" t="n">
        <v>2100</v>
      </c>
      <c r="N227" s="91" t="inlineStr">
        <is>
          <t>AQU4518R9v06</t>
        </is>
      </c>
      <c r="O227" s="92" t="n">
        <v>60</v>
      </c>
      <c r="P227" t="n">
        <v>10</v>
      </c>
      <c r="R227" s="92" t="n">
        <v>0</v>
      </c>
      <c r="Y227" t="inlineStr">
        <is>
          <t>2T2R</t>
        </is>
      </c>
      <c r="AB227" s="91" t="inlineStr">
        <is>
          <t>R9264H M901821</t>
        </is>
      </c>
      <c r="AC227" s="91" t="inlineStr">
        <is>
          <t>R9264H M901821*3+R9254E S8500*2+R9264 M1821N*1</t>
        </is>
      </c>
      <c r="AD227" s="91">
        <f>_xlfn.XLOOKUP(AE227,[4]透视表!$G:$G,[4]透视表!$F:$F)</f>
        <v/>
      </c>
      <c r="AE227" s="91">
        <f>A227&amp;K227</f>
        <v/>
      </c>
      <c r="AL227" s="91" t="inlineStr">
        <is>
          <t>高优先级</t>
        </is>
      </c>
    </row>
    <row r="228" hidden="1" ht="15" customHeight="1" s="99">
      <c r="A228" t="inlineStr">
        <is>
          <t>GMBEM1</t>
        </is>
      </c>
      <c r="C228" s="89" t="inlineStr">
        <is>
          <t>Huawei</t>
        </is>
      </c>
      <c r="F228" t="n">
        <v>7.12145</v>
      </c>
      <c r="G228" t="n">
        <v>80.0215</v>
      </c>
      <c r="H228" t="inlineStr">
        <is>
          <t>GMBEM1B</t>
        </is>
      </c>
      <c r="J228" s="91">
        <f>RIGHT(H228,1)</f>
        <v/>
      </c>
      <c r="K228" t="inlineStr">
        <is>
          <t>S2</t>
        </is>
      </c>
      <c r="L228" s="91" t="inlineStr">
        <is>
          <t>2G</t>
        </is>
      </c>
      <c r="M228" t="n">
        <v>900</v>
      </c>
      <c r="N228" s="91" t="inlineStr">
        <is>
          <t>AQU4518R9v06</t>
        </is>
      </c>
      <c r="P228" t="n">
        <v>130</v>
      </c>
      <c r="R228" s="92" t="n">
        <v>2</v>
      </c>
      <c r="AB228" s="91" t="inlineStr">
        <is>
          <t>R9264H M901821</t>
        </is>
      </c>
      <c r="AC228" s="91" t="inlineStr">
        <is>
          <t>R9264H M901821*3+R9254E S8500*2+R9264 M1821N*1</t>
        </is>
      </c>
      <c r="AD228" s="91">
        <f>_xlfn.XLOOKUP(AE228,[4]透视表!$G:$G,[4]透视表!$D:$D)</f>
        <v/>
      </c>
      <c r="AE228" s="91">
        <f>A228&amp;K228</f>
        <v/>
      </c>
      <c r="AL228" s="91" t="inlineStr">
        <is>
          <t>高优先级</t>
        </is>
      </c>
    </row>
    <row r="229" hidden="1" ht="15" customHeight="1" s="99">
      <c r="A229" t="inlineStr">
        <is>
          <t>GMBEM1</t>
        </is>
      </c>
      <c r="C229" s="89" t="inlineStr">
        <is>
          <t>Huawei</t>
        </is>
      </c>
      <c r="F229" t="n">
        <v>7.12145</v>
      </c>
      <c r="G229" t="n">
        <v>80.0215</v>
      </c>
      <c r="H229" t="inlineStr">
        <is>
          <t>GMBEM1Q</t>
        </is>
      </c>
      <c r="J229" s="91">
        <f>RIGHT(H229,1)</f>
        <v/>
      </c>
      <c r="K229" t="inlineStr">
        <is>
          <t>S2</t>
        </is>
      </c>
      <c r="L229" s="91" t="inlineStr">
        <is>
          <t>2G</t>
        </is>
      </c>
      <c r="M229" t="n">
        <v>1800</v>
      </c>
      <c r="N229" s="91" t="inlineStr">
        <is>
          <t>AMB4519R6v06</t>
        </is>
      </c>
      <c r="P229" t="n">
        <v>130</v>
      </c>
      <c r="R229" s="92" t="n">
        <v>2</v>
      </c>
      <c r="AB229" s="91" t="inlineStr">
        <is>
          <t>R9264H M901821</t>
        </is>
      </c>
      <c r="AC229" s="91" t="inlineStr">
        <is>
          <t>R9264H M901821*3+R9254E S8500*2+R9264 M1821N*1</t>
        </is>
      </c>
      <c r="AD229" s="91">
        <f>_xlfn.XLOOKUP(AE229,[4]透视表!$G:$G,[4]透视表!$E:$E)</f>
        <v/>
      </c>
      <c r="AE229" s="91">
        <f>A229&amp;K229</f>
        <v/>
      </c>
      <c r="AL229" s="91" t="inlineStr">
        <is>
          <t>高优先级</t>
        </is>
      </c>
    </row>
    <row r="230" hidden="1" ht="15" customHeight="1" s="99">
      <c r="A230" t="inlineStr">
        <is>
          <t>GMBEM1</t>
        </is>
      </c>
      <c r="C230" s="89" t="inlineStr">
        <is>
          <t>Huawei</t>
        </is>
      </c>
      <c r="F230" t="n">
        <v>7.12145</v>
      </c>
      <c r="G230" t="n">
        <v>80.0215</v>
      </c>
      <c r="I230" t="inlineStr">
        <is>
          <t>GMBEM1S</t>
        </is>
      </c>
      <c r="J230" s="91">
        <f>RIGHT(H230,1)</f>
        <v/>
      </c>
      <c r="K230" t="inlineStr">
        <is>
          <t>S2</t>
        </is>
      </c>
      <c r="L230" s="91" t="inlineStr">
        <is>
          <t>2G</t>
        </is>
      </c>
      <c r="M230" t="n">
        <v>1800</v>
      </c>
      <c r="N230" s="91" t="inlineStr">
        <is>
          <t>AMB4519R6v06</t>
        </is>
      </c>
      <c r="P230" t="n">
        <v>130</v>
      </c>
      <c r="R230" s="92" t="n">
        <v>2</v>
      </c>
      <c r="AB230" s="91" t="inlineStr">
        <is>
          <t>R9264H M901821</t>
        </is>
      </c>
      <c r="AC230" s="91" t="inlineStr">
        <is>
          <t>R9264H M901821*3+R9254E S8500*2+R9264 M1821N*1</t>
        </is>
      </c>
      <c r="AD230" s="91">
        <f>_xlfn.XLOOKUP(AE230,[4]透视表!$G:$G,[4]透视表!$E:$E)</f>
        <v/>
      </c>
      <c r="AE230" s="91">
        <f>A230&amp;K230</f>
        <v/>
      </c>
      <c r="AL230" s="91" t="inlineStr">
        <is>
          <t>高优先级</t>
        </is>
      </c>
    </row>
    <row r="231" hidden="1" ht="15" customHeight="1" s="99">
      <c r="A231" t="inlineStr">
        <is>
          <t>GMBEM1</t>
        </is>
      </c>
      <c r="B231" t="inlineStr">
        <is>
          <t>GMBEM1_0UL00_Bemmulla_IP_Gm</t>
        </is>
      </c>
      <c r="C231" s="89" t="inlineStr">
        <is>
          <t>Huawei</t>
        </is>
      </c>
      <c r="F231" t="n">
        <v>7.12145</v>
      </c>
      <c r="G231" t="n">
        <v>80.0215</v>
      </c>
      <c r="H231" t="inlineStr">
        <is>
          <t>GMBEM1-M-L85-B1</t>
        </is>
      </c>
      <c r="J231" s="91">
        <f>LEFT(RIGHT(H231,2),1)</f>
        <v/>
      </c>
      <c r="K231" s="91">
        <f>_xlfn.XLOOKUP(J231,#REF!,#REF!)</f>
        <v/>
      </c>
      <c r="L231" s="91" t="inlineStr">
        <is>
          <t>4G</t>
        </is>
      </c>
      <c r="M231" s="91" t="n">
        <v>850</v>
      </c>
      <c r="N231" s="91" t="inlineStr">
        <is>
          <t>AQU4518R9v06</t>
        </is>
      </c>
      <c r="O231" s="92" t="n">
        <v>60</v>
      </c>
      <c r="P231" t="n">
        <v>130</v>
      </c>
      <c r="R231" s="92" t="n">
        <v>0</v>
      </c>
      <c r="Y231" t="inlineStr">
        <is>
          <t>2T2R</t>
        </is>
      </c>
      <c r="AB231" s="91" t="inlineStr">
        <is>
          <t>R9254E S8500</t>
        </is>
      </c>
      <c r="AC231" s="91" t="inlineStr">
        <is>
          <t>R9264H M901821*3+R9254E S8500*2+R9264 M1821N*1</t>
        </is>
      </c>
      <c r="AD231" s="91">
        <f>_xlfn.XLOOKUP(AE231,[4]透视表!$G:$G,[4]透视表!$D:$D)</f>
        <v/>
      </c>
      <c r="AE231" s="91">
        <f>A231&amp;K231</f>
        <v/>
      </c>
      <c r="AL231" s="91" t="inlineStr">
        <is>
          <t>高优先级</t>
        </is>
      </c>
    </row>
    <row r="232" hidden="1" ht="15" customHeight="1" s="99">
      <c r="A232" t="inlineStr">
        <is>
          <t>GMBEM1</t>
        </is>
      </c>
      <c r="B232" t="inlineStr">
        <is>
          <t>GMBEM1_0UL00_Bemmulla_IP_Gm</t>
        </is>
      </c>
      <c r="C232" s="89" t="inlineStr">
        <is>
          <t>Huawei</t>
        </is>
      </c>
      <c r="E232" s="91" t="inlineStr">
        <is>
          <t>劈裂</t>
        </is>
      </c>
      <c r="F232" t="n">
        <v>7.12145</v>
      </c>
      <c r="G232" t="n">
        <v>80.0215</v>
      </c>
      <c r="H232" t="inlineStr">
        <is>
          <t>GMBEM1-M-L18-H1</t>
        </is>
      </c>
      <c r="J232" s="91">
        <f>LEFT(RIGHT(H232,2),1)</f>
        <v/>
      </c>
      <c r="K232" s="91">
        <f>_xlfn.XLOOKUP(J232,#REF!,#REF!)</f>
        <v/>
      </c>
      <c r="L232" s="91" t="inlineStr">
        <is>
          <t>4G</t>
        </is>
      </c>
      <c r="M232" s="91" t="n">
        <v>1800</v>
      </c>
      <c r="N232" s="91" t="inlineStr">
        <is>
          <t>AMB4519R6v06</t>
        </is>
      </c>
      <c r="O232" s="92" t="n">
        <v>60</v>
      </c>
      <c r="P232" t="n">
        <v>130</v>
      </c>
      <c r="R232" s="92" t="n">
        <v>0</v>
      </c>
      <c r="Y232" t="inlineStr">
        <is>
          <t>2T2R</t>
        </is>
      </c>
      <c r="AB232" s="91" t="inlineStr">
        <is>
          <t>R9264H M901821</t>
        </is>
      </c>
      <c r="AC232" s="91" t="inlineStr">
        <is>
          <t>R9264H M901821*3+R9254E S8500*2+R9264 M1821N*1</t>
        </is>
      </c>
      <c r="AD232" s="91">
        <f>_xlfn.XLOOKUP(AE232,[4]透视表!$G:$G,[4]透视表!$E:$E)</f>
        <v/>
      </c>
      <c r="AE232" s="91">
        <f>A232&amp;K232</f>
        <v/>
      </c>
      <c r="AL232" s="91" t="inlineStr">
        <is>
          <t>高优先级</t>
        </is>
      </c>
    </row>
    <row r="233" hidden="1" ht="15" customHeight="1" s="99">
      <c r="A233" t="inlineStr">
        <is>
          <t>GMBEM1</t>
        </is>
      </c>
      <c r="B233" t="inlineStr">
        <is>
          <t>GMBEM1_0UL00_Bemmulla_IP_Gm</t>
        </is>
      </c>
      <c r="C233" s="89" t="inlineStr">
        <is>
          <t>Huawei</t>
        </is>
      </c>
      <c r="E233" s="91" t="inlineStr">
        <is>
          <t>劈裂</t>
        </is>
      </c>
      <c r="F233" t="n">
        <v>7.12145</v>
      </c>
      <c r="G233" t="n">
        <v>80.0215</v>
      </c>
      <c r="H233" t="inlineStr">
        <is>
          <t>GMBEM1H</t>
        </is>
      </c>
      <c r="J233" s="91">
        <f>RIGHT(H233,1)</f>
        <v/>
      </c>
      <c r="K233" s="91">
        <f>_xlfn.XLOOKUP(J233,#REF!,#REF!)</f>
        <v/>
      </c>
      <c r="L233" s="91" t="inlineStr">
        <is>
          <t>4G</t>
        </is>
      </c>
      <c r="M233" s="91" t="n">
        <v>1800</v>
      </c>
      <c r="N233" s="91" t="inlineStr">
        <is>
          <t>AMB4519R6v06</t>
        </is>
      </c>
      <c r="O233" s="92" t="n">
        <v>60</v>
      </c>
      <c r="P233" t="n">
        <v>130</v>
      </c>
      <c r="R233" s="92" t="n">
        <v>0</v>
      </c>
      <c r="Y233" t="inlineStr">
        <is>
          <t>2T2R</t>
        </is>
      </c>
      <c r="AB233" s="91" t="inlineStr">
        <is>
          <t>R9264H M901821</t>
        </is>
      </c>
      <c r="AC233" s="91" t="inlineStr">
        <is>
          <t>R9264H M901821*3+R9254E S8500*2+R9264 M1821N*1</t>
        </is>
      </c>
      <c r="AD233" s="91">
        <f>_xlfn.XLOOKUP(AE233,[4]透视表!$G:$G,[4]透视表!$E:$E)</f>
        <v/>
      </c>
      <c r="AE233" s="91">
        <f>A233&amp;K233</f>
        <v/>
      </c>
      <c r="AL233" s="91" t="inlineStr">
        <is>
          <t>高优先级</t>
        </is>
      </c>
    </row>
    <row r="234" hidden="1" ht="15" customHeight="1" s="99">
      <c r="A234" t="inlineStr">
        <is>
          <t>GMBEM1</t>
        </is>
      </c>
      <c r="C234" s="89" t="inlineStr">
        <is>
          <t>Huawei</t>
        </is>
      </c>
      <c r="F234" t="n">
        <v>7.12145</v>
      </c>
      <c r="G234" t="n">
        <v>80.0215</v>
      </c>
      <c r="H234" t="inlineStr">
        <is>
          <t>GMBEM1C</t>
        </is>
      </c>
      <c r="J234" s="91">
        <f>RIGHT(H234,1)</f>
        <v/>
      </c>
      <c r="K234" t="inlineStr">
        <is>
          <t>S3</t>
        </is>
      </c>
      <c r="L234" s="91" t="inlineStr">
        <is>
          <t>2G</t>
        </is>
      </c>
      <c r="M234" t="n">
        <v>900</v>
      </c>
      <c r="N234" s="91" t="inlineStr">
        <is>
          <t>AQU4518R9v06</t>
        </is>
      </c>
      <c r="P234" t="n">
        <v>250</v>
      </c>
      <c r="R234" s="92" t="n">
        <v>2</v>
      </c>
      <c r="AB234" s="91" t="inlineStr">
        <is>
          <t>R9264H M901821</t>
        </is>
      </c>
      <c r="AC234" s="91" t="inlineStr">
        <is>
          <t>R9264H M901821*3+R9254E S8500*2+R9264 M1821N*1</t>
        </is>
      </c>
      <c r="AD234" s="91">
        <f>_xlfn.XLOOKUP(AE234,[4]透视表!$G:$G,[4]透视表!$D:$D)</f>
        <v/>
      </c>
      <c r="AE234" s="91">
        <f>A234&amp;K234</f>
        <v/>
      </c>
      <c r="AL234" s="91" t="inlineStr">
        <is>
          <t>高优先级</t>
        </is>
      </c>
    </row>
    <row r="235" hidden="1" ht="15" customHeight="1" s="99">
      <c r="A235" t="inlineStr">
        <is>
          <t>GMBEM1</t>
        </is>
      </c>
      <c r="C235" s="89" t="inlineStr">
        <is>
          <t>Huawei</t>
        </is>
      </c>
      <c r="F235" t="n">
        <v>7.12145</v>
      </c>
      <c r="G235" t="n">
        <v>80.0215</v>
      </c>
      <c r="H235" t="inlineStr">
        <is>
          <t>GMBEM1R</t>
        </is>
      </c>
      <c r="J235" s="91">
        <f>RIGHT(H235,1)</f>
        <v/>
      </c>
      <c r="K235" t="inlineStr">
        <is>
          <t>S3</t>
        </is>
      </c>
      <c r="L235" s="91" t="inlineStr">
        <is>
          <t>2G</t>
        </is>
      </c>
      <c r="M235" t="n">
        <v>1800</v>
      </c>
      <c r="N235" s="91" t="inlineStr">
        <is>
          <t>AQU4518R9v06</t>
        </is>
      </c>
      <c r="P235" t="n">
        <v>250</v>
      </c>
      <c r="R235" s="92" t="n">
        <v>2</v>
      </c>
      <c r="AB235" s="91" t="inlineStr">
        <is>
          <t>R9264H M901821</t>
        </is>
      </c>
      <c r="AC235" s="91" t="inlineStr">
        <is>
          <t>R9264H M901821*3+R9254E S8500*2+R9264 M1821N*1</t>
        </is>
      </c>
      <c r="AD235" s="91">
        <f>_xlfn.XLOOKUP(AE235,[4]透视表!$G:$G,[4]透视表!$E:$E)</f>
        <v/>
      </c>
      <c r="AE235" s="91">
        <f>A235&amp;K235</f>
        <v/>
      </c>
      <c r="AL235" s="91" t="inlineStr">
        <is>
          <t>高优先级</t>
        </is>
      </c>
    </row>
    <row r="236" hidden="1" ht="15" customHeight="1" s="99">
      <c r="A236" t="inlineStr">
        <is>
          <t>GMBEM1</t>
        </is>
      </c>
      <c r="B236" t="inlineStr">
        <is>
          <t>GMBEM1_0UL00_Bemmulla_IP_Gm</t>
        </is>
      </c>
      <c r="C236" s="89" t="inlineStr">
        <is>
          <t>Huawei</t>
        </is>
      </c>
      <c r="F236" t="n">
        <v>7.12145</v>
      </c>
      <c r="G236" t="n">
        <v>80.0215</v>
      </c>
      <c r="H236" t="inlineStr">
        <is>
          <t>GMBEM1-M-L85-C1</t>
        </is>
      </c>
      <c r="J236" s="91">
        <f>LEFT(RIGHT(H236,2),1)</f>
        <v/>
      </c>
      <c r="K236" s="91">
        <f>_xlfn.XLOOKUP(J236,#REF!,#REF!)</f>
        <v/>
      </c>
      <c r="L236" s="91" t="inlineStr">
        <is>
          <t>4G</t>
        </is>
      </c>
      <c r="M236" s="91" t="n">
        <v>850</v>
      </c>
      <c r="N236" s="91" t="inlineStr">
        <is>
          <t>AQU4518R9v06</t>
        </is>
      </c>
      <c r="O236" s="92" t="n">
        <v>60</v>
      </c>
      <c r="P236" t="n">
        <v>250</v>
      </c>
      <c r="R236" s="92" t="n">
        <v>0</v>
      </c>
      <c r="Y236" t="inlineStr">
        <is>
          <t>2T2R</t>
        </is>
      </c>
      <c r="AB236" s="91" t="inlineStr">
        <is>
          <t>R9254E S8500</t>
        </is>
      </c>
      <c r="AC236" s="91" t="inlineStr">
        <is>
          <t>R9264H M901821*3+R9254E S8500*2+R9264 M1821N*1</t>
        </is>
      </c>
      <c r="AD236" s="91">
        <f>_xlfn.XLOOKUP(AE236,[4]透视表!$G:$G,[4]透视表!$D:$D)</f>
        <v/>
      </c>
      <c r="AE236" s="91">
        <f>A236&amp;K236</f>
        <v/>
      </c>
      <c r="AL236" s="91" t="inlineStr">
        <is>
          <t>高优先级</t>
        </is>
      </c>
    </row>
    <row r="237" hidden="1" ht="15" customHeight="1" s="99">
      <c r="A237" t="inlineStr">
        <is>
          <t>GMBEM1</t>
        </is>
      </c>
      <c r="B237" t="inlineStr">
        <is>
          <t>GMBEM1_0UL00_Bemmulla_IP_Gm</t>
        </is>
      </c>
      <c r="C237" s="89" t="inlineStr">
        <is>
          <t>Huawei</t>
        </is>
      </c>
      <c r="F237" t="n">
        <v>7.12145</v>
      </c>
      <c r="G237" t="n">
        <v>80.0215</v>
      </c>
      <c r="H237" t="inlineStr">
        <is>
          <t>GMBEM1I</t>
        </is>
      </c>
      <c r="J237" s="91">
        <f>RIGHT(H237,1)</f>
        <v/>
      </c>
      <c r="K237" s="91">
        <f>_xlfn.XLOOKUP(J237,#REF!,#REF!)</f>
        <v/>
      </c>
      <c r="L237" s="91" t="inlineStr">
        <is>
          <t>4G</t>
        </is>
      </c>
      <c r="M237" s="91" t="n">
        <v>1800</v>
      </c>
      <c r="N237" s="91" t="inlineStr">
        <is>
          <t>AQU4518R9v06</t>
        </is>
      </c>
      <c r="O237" s="92" t="n">
        <v>60</v>
      </c>
      <c r="P237" t="n">
        <v>250</v>
      </c>
      <c r="R237" s="92" t="n">
        <v>0</v>
      </c>
      <c r="Y237" t="inlineStr">
        <is>
          <t>2T2R</t>
        </is>
      </c>
      <c r="AB237" s="91" t="inlineStr">
        <is>
          <t>R9264H M901821</t>
        </is>
      </c>
      <c r="AC237" s="91" t="inlineStr">
        <is>
          <t>R9264H M901821*3+R9254E S8500*2+R9264 M1821N*1</t>
        </is>
      </c>
      <c r="AD237" s="91">
        <f>_xlfn.XLOOKUP(AE237,[4]透视表!$G:$G,[4]透视表!$E:$E)</f>
        <v/>
      </c>
      <c r="AE237" s="91">
        <f>A237&amp;K237</f>
        <v/>
      </c>
      <c r="AL237" s="91" t="inlineStr">
        <is>
          <t>高优先级</t>
        </is>
      </c>
    </row>
    <row r="238" hidden="1" ht="15" customHeight="1" s="99">
      <c r="A238" t="inlineStr">
        <is>
          <t>GMBEM1</t>
        </is>
      </c>
      <c r="B238" t="inlineStr">
        <is>
          <t>GMBEM1_0UL00_Bemmulla_IP_Gm</t>
        </is>
      </c>
      <c r="C238" s="89" t="inlineStr">
        <is>
          <t>Huawei</t>
        </is>
      </c>
      <c r="D238" s="91" t="inlineStr">
        <is>
          <t>劈裂？</t>
        </is>
      </c>
      <c r="E238" s="91" t="inlineStr">
        <is>
          <t>劈裂</t>
        </is>
      </c>
      <c r="F238" t="n">
        <v>7.12145</v>
      </c>
      <c r="G238" t="n">
        <v>80.0215</v>
      </c>
      <c r="H238" t="inlineStr">
        <is>
          <t>GMBEM1-M-L18-F1</t>
        </is>
      </c>
      <c r="J238" s="91">
        <f>LEFT(RIGHT(H238,2),1)</f>
        <v/>
      </c>
      <c r="K238" s="91">
        <f>_xlfn.XLOOKUP(J238,#REF!,#REF!)</f>
        <v/>
      </c>
      <c r="L238" s="91" t="inlineStr">
        <is>
          <t>4G</t>
        </is>
      </c>
      <c r="M238" s="91" t="n">
        <v>1800</v>
      </c>
      <c r="N238" s="91" t="e">
        <v>#N/A</v>
      </c>
      <c r="O238" s="92" t="n">
        <v>60</v>
      </c>
      <c r="P238" t="n">
        <v>270</v>
      </c>
      <c r="R238" s="92" t="n">
        <v>0</v>
      </c>
      <c r="Y238" t="inlineStr">
        <is>
          <t>4T4R</t>
        </is>
      </c>
      <c r="AB238" s="91" t="inlineStr">
        <is>
          <t>R9264 M1821N</t>
        </is>
      </c>
      <c r="AC238" s="91" t="inlineStr">
        <is>
          <t>R9264H M901821*3+R9254E S8500*2+R9264 M1821N*1</t>
        </is>
      </c>
      <c r="AD238" s="91">
        <f>_xlfn.XLOOKUP(AE238,[4]透视表!$G:$G,[4]透视表!$E:$E)</f>
        <v/>
      </c>
      <c r="AE238" s="91">
        <f>A238&amp;K238</f>
        <v/>
      </c>
      <c r="AL238" s="91" t="inlineStr">
        <is>
          <t>高优先级</t>
        </is>
      </c>
    </row>
    <row r="239" hidden="1" ht="15" customHeight="1" s="99">
      <c r="A239" t="inlineStr">
        <is>
          <t>GMBEM1</t>
        </is>
      </c>
      <c r="B239" t="inlineStr">
        <is>
          <t>GMBEM1_0UL00_Bemmulla_IP_Gm</t>
        </is>
      </c>
      <c r="C239" s="89" t="inlineStr">
        <is>
          <t>Huawei</t>
        </is>
      </c>
      <c r="D239" s="91" t="inlineStr">
        <is>
          <t>劈裂？</t>
        </is>
      </c>
      <c r="E239" s="91" t="inlineStr">
        <is>
          <t>劈裂</t>
        </is>
      </c>
      <c r="F239" t="n">
        <v>7.12145</v>
      </c>
      <c r="G239" t="n">
        <v>80.0215</v>
      </c>
      <c r="H239" t="inlineStr">
        <is>
          <t>GMBEM1F</t>
        </is>
      </c>
      <c r="J239" s="91">
        <f>RIGHT(H239,1)</f>
        <v/>
      </c>
      <c r="K239" s="91">
        <f>_xlfn.XLOOKUP(J239,#REF!,#REF!)</f>
        <v/>
      </c>
      <c r="L239" s="91" t="inlineStr">
        <is>
          <t>4G</t>
        </is>
      </c>
      <c r="M239" s="91" t="n">
        <v>1800</v>
      </c>
      <c r="N239" s="91" t="e">
        <v>#N/A</v>
      </c>
      <c r="O239" s="92" t="n">
        <v>60</v>
      </c>
      <c r="P239" t="n">
        <v>270</v>
      </c>
      <c r="R239" s="92" t="n">
        <v>0</v>
      </c>
      <c r="Y239" t="inlineStr">
        <is>
          <t>2T2R</t>
        </is>
      </c>
      <c r="AB239" s="91" t="inlineStr">
        <is>
          <t>R9264 M1821N</t>
        </is>
      </c>
      <c r="AC239" s="91" t="inlineStr">
        <is>
          <t>R9264H M901821*3+R9254E S8500*2+R9264 M1821N*1</t>
        </is>
      </c>
      <c r="AD239" s="91">
        <f>_xlfn.XLOOKUP(AE239,[4]透视表!$G:$G,[4]透视表!$E:$E)</f>
        <v/>
      </c>
      <c r="AE239" s="91">
        <f>A239&amp;K239</f>
        <v/>
      </c>
      <c r="AL239" s="91" t="inlineStr">
        <is>
          <t>高优先级</t>
        </is>
      </c>
    </row>
    <row r="240" hidden="1" ht="15" customHeight="1" s="99">
      <c r="A240" t="inlineStr">
        <is>
          <t>GMGAM1</t>
        </is>
      </c>
      <c r="C240" s="89" t="inlineStr">
        <is>
          <t>Huawei</t>
        </is>
      </c>
      <c r="E240" s="91" t="inlineStr">
        <is>
          <t>站点勘察</t>
        </is>
      </c>
      <c r="F240" t="n">
        <v>7.0903</v>
      </c>
      <c r="G240" t="n">
        <v>79.9935</v>
      </c>
      <c r="H240" t="inlineStr">
        <is>
          <t>GMGAM1A</t>
        </is>
      </c>
      <c r="J240" s="91">
        <f>RIGHT(H240,1)</f>
        <v/>
      </c>
      <c r="K240" t="inlineStr">
        <is>
          <t>S1</t>
        </is>
      </c>
      <c r="L240" s="91" t="inlineStr">
        <is>
          <t>2G</t>
        </is>
      </c>
      <c r="M240" t="n">
        <v>900</v>
      </c>
      <c r="N240" s="91" t="inlineStr">
        <is>
          <t>AQU4518R9v06</t>
        </is>
      </c>
      <c r="P240" t="n">
        <v>90</v>
      </c>
      <c r="R240" s="92" t="n">
        <v>2</v>
      </c>
      <c r="AB240" s="91" t="inlineStr">
        <is>
          <t>R9264H M901821</t>
        </is>
      </c>
      <c r="AC240" s="91" t="inlineStr">
        <is>
          <t>A9652 S35*3+R9264H M901821*3+R9254E S8500*2+R9264 M1821N*2</t>
        </is>
      </c>
      <c r="AD240" s="91">
        <f>_xlfn.XLOOKUP(AE240,[4]透视表!$G:$G,[4]透视表!$D:$D)</f>
        <v/>
      </c>
      <c r="AE240" s="91">
        <f>A240&amp;K240</f>
        <v/>
      </c>
      <c r="AL240" s="91" t="inlineStr">
        <is>
          <t>高优先级</t>
        </is>
      </c>
    </row>
    <row r="241" hidden="1" ht="15" customHeight="1" s="99">
      <c r="A241" t="inlineStr">
        <is>
          <t>GMGAM1</t>
        </is>
      </c>
      <c r="C241" s="89" t="inlineStr">
        <is>
          <t>Huawei</t>
        </is>
      </c>
      <c r="D241" s="91" t="inlineStr">
        <is>
          <t>2G三个小区？</t>
        </is>
      </c>
      <c r="E241" s="91" t="inlineStr">
        <is>
          <t>站点勘察</t>
        </is>
      </c>
      <c r="F241" t="n">
        <v>7.0903</v>
      </c>
      <c r="G241" t="n">
        <v>79.9935</v>
      </c>
      <c r="H241" t="inlineStr">
        <is>
          <t>GMGAM1J</t>
        </is>
      </c>
      <c r="J241" s="91">
        <f>RIGHT(H241,1)</f>
        <v/>
      </c>
      <c r="K241" t="inlineStr">
        <is>
          <t>S1</t>
        </is>
      </c>
      <c r="L241" s="91" t="inlineStr">
        <is>
          <t>2G</t>
        </is>
      </c>
      <c r="M241" t="n">
        <v>1800</v>
      </c>
      <c r="N241" s="91" t="inlineStr">
        <is>
          <t>AQU4518R9v06</t>
        </is>
      </c>
      <c r="P241" t="n">
        <v>90</v>
      </c>
      <c r="R241" s="92" t="n">
        <v>2</v>
      </c>
      <c r="AB241" s="91" t="inlineStr">
        <is>
          <t>？</t>
        </is>
      </c>
      <c r="AC241" s="91" t="inlineStr">
        <is>
          <t>A9652 S35*3+R9264H M901821*3+R9254E S8500*2+R9264 M1821N*2</t>
        </is>
      </c>
      <c r="AD241" s="91">
        <f>_xlfn.XLOOKUP(AE241,[4]透视表!$G:$G,[4]透视表!$E:$E)</f>
        <v/>
      </c>
      <c r="AE241" s="91">
        <f>A241&amp;K241</f>
        <v/>
      </c>
      <c r="AL241" s="91" t="inlineStr">
        <is>
          <t>高优先级</t>
        </is>
      </c>
    </row>
    <row r="242" hidden="1" ht="15" customHeight="1" s="99">
      <c r="A242" t="inlineStr">
        <is>
          <t>GMGAM1</t>
        </is>
      </c>
      <c r="C242" s="89" t="inlineStr">
        <is>
          <t>Huawei</t>
        </is>
      </c>
      <c r="D242" s="91" t="inlineStr">
        <is>
          <t>2G三个小区？</t>
        </is>
      </c>
      <c r="E242" s="91" t="inlineStr">
        <is>
          <t>站点勘察</t>
        </is>
      </c>
      <c r="F242" t="n">
        <v>7.0903</v>
      </c>
      <c r="G242" t="n">
        <v>79.9935</v>
      </c>
      <c r="H242" t="inlineStr">
        <is>
          <t>GMGAM1P</t>
        </is>
      </c>
      <c r="J242" s="91">
        <f>RIGHT(H242,1)</f>
        <v/>
      </c>
      <c r="K242" t="inlineStr">
        <is>
          <t>S1</t>
        </is>
      </c>
      <c r="L242" s="91" t="inlineStr">
        <is>
          <t>2G</t>
        </is>
      </c>
      <c r="M242" t="n">
        <v>1800</v>
      </c>
      <c r="N242" s="91" t="inlineStr">
        <is>
          <t>AQU4518R9v06</t>
        </is>
      </c>
      <c r="P242" t="n">
        <v>90</v>
      </c>
      <c r="R242" s="92" t="n">
        <v>2</v>
      </c>
      <c r="AB242" s="91" t="inlineStr">
        <is>
          <t>？</t>
        </is>
      </c>
      <c r="AC242" s="91" t="inlineStr">
        <is>
          <t>A9652 S35*3+R9264H M901821*3+R9254E S8500*2+R9264 M1821N*2</t>
        </is>
      </c>
      <c r="AD242" s="91">
        <f>_xlfn.XLOOKUP(AE242,[4]透视表!$G:$G,[4]透视表!$E:$E)</f>
        <v/>
      </c>
      <c r="AE242" s="91">
        <f>A242&amp;K242</f>
        <v/>
      </c>
      <c r="AL242" s="91" t="inlineStr">
        <is>
          <t>高优先级</t>
        </is>
      </c>
    </row>
    <row r="243" hidden="1" ht="15" customHeight="1" s="99">
      <c r="A243" t="inlineStr">
        <is>
          <t>GMGAM1</t>
        </is>
      </c>
      <c r="C243" s="89" t="inlineStr">
        <is>
          <t>Huawei</t>
        </is>
      </c>
      <c r="D243" s="91" t="inlineStr">
        <is>
          <t>2G三个小区？</t>
        </is>
      </c>
      <c r="E243" s="91" t="inlineStr">
        <is>
          <t>站点勘察</t>
        </is>
      </c>
      <c r="F243" t="n">
        <v>7.0903</v>
      </c>
      <c r="G243" t="n">
        <v>79.9935</v>
      </c>
      <c r="H243" t="inlineStr">
        <is>
          <t>GMGAM1S</t>
        </is>
      </c>
      <c r="J243" s="91">
        <f>RIGHT(H243,1)</f>
        <v/>
      </c>
      <c r="K243" t="inlineStr">
        <is>
          <t>S1</t>
        </is>
      </c>
      <c r="L243" s="91" t="inlineStr">
        <is>
          <t>2G</t>
        </is>
      </c>
      <c r="M243" t="n">
        <v>1800</v>
      </c>
      <c r="N243" s="91" t="inlineStr">
        <is>
          <t>AQU4518R9v06</t>
        </is>
      </c>
      <c r="P243" t="n">
        <v>90</v>
      </c>
      <c r="R243" s="92" t="n">
        <v>2</v>
      </c>
      <c r="AB243" s="91" t="inlineStr">
        <is>
          <t>？</t>
        </is>
      </c>
      <c r="AC243" s="91" t="inlineStr">
        <is>
          <t>A9652 S35*3+R9264H M901821*3+R9254E S8500*2+R9264 M1821N*2</t>
        </is>
      </c>
      <c r="AD243" s="91">
        <f>_xlfn.XLOOKUP(AE243,[4]透视表!$G:$G,[4]透视表!$E:$E)</f>
        <v/>
      </c>
      <c r="AE243" s="91">
        <f>A243&amp;K243</f>
        <v/>
      </c>
      <c r="AL243" s="91" t="inlineStr">
        <is>
          <t>高优先级</t>
        </is>
      </c>
    </row>
    <row r="244" hidden="1" ht="15" customHeight="1" s="99">
      <c r="A244" t="inlineStr">
        <is>
          <t>GMGAM1</t>
        </is>
      </c>
      <c r="B244" t="inlineStr">
        <is>
          <t>GMGAM1_GULM0_GAMPAHA_SLT_Gm</t>
        </is>
      </c>
      <c r="C244" s="89" t="inlineStr">
        <is>
          <t>Huawei</t>
        </is>
      </c>
      <c r="E244" s="91" t="inlineStr">
        <is>
          <t>站点勘察</t>
        </is>
      </c>
      <c r="F244" t="n">
        <v>7.0903</v>
      </c>
      <c r="G244" t="n">
        <v>79.9935</v>
      </c>
      <c r="H244" t="inlineStr">
        <is>
          <t>GMGAM1-M-L85-A1</t>
        </is>
      </c>
      <c r="J244" s="91">
        <f>LEFT(RIGHT(H244,2),1)</f>
        <v/>
      </c>
      <c r="K244" s="91">
        <f>_xlfn.XLOOKUP(J244,#REF!,#REF!)</f>
        <v/>
      </c>
      <c r="L244" s="91" t="inlineStr">
        <is>
          <t>4G</t>
        </is>
      </c>
      <c r="M244" s="91" t="n">
        <v>850</v>
      </c>
      <c r="N244" s="91" t="inlineStr">
        <is>
          <t>AQU4518R9v06</t>
        </is>
      </c>
      <c r="O244" s="92" t="n">
        <v>54</v>
      </c>
      <c r="P244" t="n">
        <v>330</v>
      </c>
      <c r="R244" s="92" t="n">
        <v>0</v>
      </c>
      <c r="Y244" t="inlineStr">
        <is>
          <t>2T2R</t>
        </is>
      </c>
      <c r="AB244" s="91" t="inlineStr">
        <is>
          <t>R9254E S8500</t>
        </is>
      </c>
      <c r="AC244" s="91" t="inlineStr">
        <is>
          <t>A9652 S35*3+R9264H M901821*3+R9254E S8500*2+R9264 M1821N*2</t>
        </is>
      </c>
      <c r="AD244" s="91">
        <f>_xlfn.XLOOKUP(AE244,[4]透视表!$G:$G,[4]透视表!$D:$D)</f>
        <v/>
      </c>
      <c r="AE244" s="91">
        <f>A244&amp;K244</f>
        <v/>
      </c>
      <c r="AL244" s="91" t="inlineStr">
        <is>
          <t>高优先级</t>
        </is>
      </c>
    </row>
    <row r="245" hidden="1" ht="15" customHeight="1" s="99">
      <c r="A245" t="inlineStr">
        <is>
          <t>GMGAM1</t>
        </is>
      </c>
      <c r="B245" t="inlineStr">
        <is>
          <t>GMGAM1_GULM0_GAMPAHA_SLT_Gm</t>
        </is>
      </c>
      <c r="C245" s="89" t="inlineStr">
        <is>
          <t>Huawei</t>
        </is>
      </c>
      <c r="E245" s="91" t="inlineStr">
        <is>
          <t>站点勘察</t>
        </is>
      </c>
      <c r="F245" t="n">
        <v>7.0903</v>
      </c>
      <c r="G245" t="n">
        <v>79.9935</v>
      </c>
      <c r="H245" t="inlineStr">
        <is>
          <t>GMGAM1-M-L18-A1</t>
        </is>
      </c>
      <c r="J245" s="91">
        <f>LEFT(RIGHT(H245,2),1)</f>
        <v/>
      </c>
      <c r="K245" s="91">
        <f>_xlfn.XLOOKUP(J245,#REF!,#REF!)</f>
        <v/>
      </c>
      <c r="L245" s="91" t="inlineStr">
        <is>
          <t>4G</t>
        </is>
      </c>
      <c r="M245" s="91" t="n">
        <v>1800</v>
      </c>
      <c r="N245" s="91" t="inlineStr">
        <is>
          <t>AQU4518R9v06</t>
        </is>
      </c>
      <c r="O245" s="92" t="n">
        <v>54</v>
      </c>
      <c r="P245" t="n">
        <v>330</v>
      </c>
      <c r="R245" s="92" t="n">
        <v>0</v>
      </c>
      <c r="Y245" t="inlineStr">
        <is>
          <t>2T2R</t>
        </is>
      </c>
      <c r="AB245" s="91" t="inlineStr">
        <is>
          <t>？</t>
        </is>
      </c>
      <c r="AC245" s="91" t="inlineStr">
        <is>
          <t>A9652 S35*3+R9264H M901821*3+R9254E S8500*2+R9264 M1821N*2</t>
        </is>
      </c>
      <c r="AD245" s="91">
        <f>_xlfn.XLOOKUP(AE245,[4]透视表!$G:$G,[4]透视表!$E:$E)</f>
        <v/>
      </c>
      <c r="AE245" s="91">
        <f>A245&amp;K245</f>
        <v/>
      </c>
      <c r="AL245" s="91" t="inlineStr">
        <is>
          <t>高优先级</t>
        </is>
      </c>
    </row>
    <row r="246" hidden="1" ht="15" customHeight="1" s="99">
      <c r="A246" t="inlineStr">
        <is>
          <t>GMGAM1</t>
        </is>
      </c>
      <c r="B246" t="inlineStr">
        <is>
          <t>GMGAM1_GULM0_GAMPAHA_SLT_Gm</t>
        </is>
      </c>
      <c r="C246" s="89" t="inlineStr">
        <is>
          <t>Huawei</t>
        </is>
      </c>
      <c r="E246" s="91" t="inlineStr">
        <is>
          <t>站点勘察</t>
        </is>
      </c>
      <c r="F246" t="n">
        <v>7.0903</v>
      </c>
      <c r="G246" t="n">
        <v>79.9935</v>
      </c>
      <c r="H246" t="inlineStr">
        <is>
          <t>GMGAM1G</t>
        </is>
      </c>
      <c r="J246" s="91">
        <f>RIGHT(H246,1)</f>
        <v/>
      </c>
      <c r="K246" s="91">
        <f>_xlfn.XLOOKUP(J246,#REF!,#REF!)</f>
        <v/>
      </c>
      <c r="L246" s="91" t="inlineStr">
        <is>
          <t>4G</t>
        </is>
      </c>
      <c r="M246" s="91" t="n">
        <v>1800</v>
      </c>
      <c r="N246" s="91" t="inlineStr">
        <is>
          <t>AQU4518R9v06</t>
        </is>
      </c>
      <c r="O246" s="92" t="n">
        <v>54</v>
      </c>
      <c r="P246" t="n">
        <v>330</v>
      </c>
      <c r="R246" s="92" t="n">
        <v>0</v>
      </c>
      <c r="Y246" t="inlineStr">
        <is>
          <t>4T4R</t>
        </is>
      </c>
      <c r="AB246" s="91" t="inlineStr">
        <is>
          <t>？</t>
        </is>
      </c>
      <c r="AC246" s="91" t="inlineStr">
        <is>
          <t>A9652 S35*3+R9264H M901821*3+R9254E S8500*2+R9264 M1821N*2</t>
        </is>
      </c>
      <c r="AD246" s="91">
        <f>_xlfn.XLOOKUP(AE246,[4]透视表!$G:$G,[4]透视表!$E:$E)</f>
        <v/>
      </c>
      <c r="AE246" s="91">
        <f>A246&amp;K246</f>
        <v/>
      </c>
      <c r="AL246" s="91" t="inlineStr">
        <is>
          <t>高优先级</t>
        </is>
      </c>
    </row>
    <row r="247" hidden="1" ht="15" customHeight="1" s="99">
      <c r="A247" t="inlineStr">
        <is>
          <t>GMGAM1</t>
        </is>
      </c>
      <c r="B247" t="inlineStr">
        <is>
          <t>GMGAM1_GULM0_GAMPAHA_SLT_Gm</t>
        </is>
      </c>
      <c r="C247" s="89" t="inlineStr">
        <is>
          <t>Huawei</t>
        </is>
      </c>
      <c r="E247" s="91" t="inlineStr">
        <is>
          <t>站点勘察</t>
        </is>
      </c>
      <c r="F247" t="n">
        <v>7.0903</v>
      </c>
      <c r="G247" t="n">
        <v>79.9935</v>
      </c>
      <c r="H247" t="inlineStr">
        <is>
          <t>GMGAM1-M-L21-A2</t>
        </is>
      </c>
      <c r="J247" s="91">
        <f>LEFT(RIGHT(H247,2),1)</f>
        <v/>
      </c>
      <c r="K247" s="91">
        <f>_xlfn.XLOOKUP(J247,#REF!,#REF!)</f>
        <v/>
      </c>
      <c r="L247" s="91" t="inlineStr">
        <is>
          <t>4G</t>
        </is>
      </c>
      <c r="M247" s="91" t="n">
        <v>2100</v>
      </c>
      <c r="N247" s="91" t="inlineStr">
        <is>
          <t>AQU4518R9v06</t>
        </is>
      </c>
      <c r="O247" s="92" t="n">
        <v>54</v>
      </c>
      <c r="P247" t="n">
        <v>330</v>
      </c>
      <c r="R247" s="92" t="n">
        <v>0</v>
      </c>
      <c r="Y247" t="inlineStr">
        <is>
          <t>2T2R</t>
        </is>
      </c>
      <c r="AB247" s="91" t="inlineStr">
        <is>
          <t>？</t>
        </is>
      </c>
      <c r="AC247" s="91" t="inlineStr">
        <is>
          <t>A9652 S35*3+R9264H M901821*3+R9254E S8500*2+R9264 M1821N*2</t>
        </is>
      </c>
      <c r="AD247" s="91">
        <f>_xlfn.XLOOKUP(AE247,[4]透视表!$G:$G,[4]透视表!$F:$F)</f>
        <v/>
      </c>
      <c r="AE247" s="91">
        <f>A247&amp;K247</f>
        <v/>
      </c>
      <c r="AL247" s="91" t="inlineStr">
        <is>
          <t>高优先级</t>
        </is>
      </c>
    </row>
    <row r="248" hidden="1" ht="15" customHeight="1" s="99">
      <c r="A248" t="inlineStr">
        <is>
          <t>GMGAM1</t>
        </is>
      </c>
      <c r="B248" t="inlineStr">
        <is>
          <t>GMGAM1_GULM0_GAMPAHA_SLT_Gm</t>
        </is>
      </c>
      <c r="C248" s="89" t="inlineStr">
        <is>
          <t>Huawei</t>
        </is>
      </c>
      <c r="E248" s="91" t="inlineStr">
        <is>
          <t>站点勘察</t>
        </is>
      </c>
      <c r="F248" t="n">
        <v>7.0903</v>
      </c>
      <c r="G248" t="n">
        <v>79.9935</v>
      </c>
      <c r="H248" t="inlineStr">
        <is>
          <t>GMGAM1-M-L23-A1</t>
        </is>
      </c>
      <c r="J248" s="91">
        <f>LEFT(RIGHT(H248,2),1)</f>
        <v/>
      </c>
      <c r="K248" s="91">
        <f>_xlfn.XLOOKUP(J248,#REF!,#REF!)</f>
        <v/>
      </c>
      <c r="L248" s="91" t="inlineStr">
        <is>
          <t>4G</t>
        </is>
      </c>
      <c r="M248" s="91" t="n">
        <v>2300</v>
      </c>
      <c r="N248" s="91" t="n"/>
      <c r="O248" s="92" t="n">
        <v>54</v>
      </c>
      <c r="P248" t="n">
        <v>90</v>
      </c>
      <c r="R248" s="92" t="n">
        <v>0</v>
      </c>
      <c r="Y248" t="inlineStr">
        <is>
          <t>2T2R</t>
        </is>
      </c>
      <c r="AC248" s="91" t="inlineStr">
        <is>
          <t>A9652 S35*3+R9264H M901821*3+R9254E S8500*2+R9264 M1821N*2</t>
        </is>
      </c>
      <c r="AE248" s="91">
        <f>A248&amp;K248</f>
        <v/>
      </c>
      <c r="AL248" s="91" t="inlineStr">
        <is>
          <t>高优先级</t>
        </is>
      </c>
    </row>
    <row r="249" hidden="1" ht="15" customHeight="1" s="99">
      <c r="A249" t="inlineStr">
        <is>
          <t>GMGAM1</t>
        </is>
      </c>
      <c r="C249" s="89" t="inlineStr">
        <is>
          <t>Huawei</t>
        </is>
      </c>
      <c r="E249" s="91" t="inlineStr">
        <is>
          <t>站点勘察</t>
        </is>
      </c>
      <c r="F249" t="n">
        <v>7.0903</v>
      </c>
      <c r="G249" t="n">
        <v>79.9935</v>
      </c>
      <c r="H249" t="inlineStr">
        <is>
          <t>GMGAM1B</t>
        </is>
      </c>
      <c r="J249" s="91">
        <f>RIGHT(H249,1)</f>
        <v/>
      </c>
      <c r="K249" t="inlineStr">
        <is>
          <t>S2</t>
        </is>
      </c>
      <c r="L249" s="91" t="inlineStr">
        <is>
          <t>2G</t>
        </is>
      </c>
      <c r="M249" t="n">
        <v>900</v>
      </c>
      <c r="N249" s="91" t="inlineStr">
        <is>
          <t>AQU4518R9v06</t>
        </is>
      </c>
      <c r="P249" t="n">
        <v>210</v>
      </c>
      <c r="R249" s="92" t="n">
        <v>2</v>
      </c>
      <c r="AB249" s="91" t="inlineStr">
        <is>
          <t>R9264H M901821</t>
        </is>
      </c>
      <c r="AC249" s="91" t="inlineStr">
        <is>
          <t>A9652 S35*3+R9264H M901821*3+R9254E S8500*2+R9264 M1821N*2</t>
        </is>
      </c>
      <c r="AD249" s="91">
        <f>_xlfn.XLOOKUP(AE249,[4]透视表!$G:$G,[4]透视表!$D:$D)</f>
        <v/>
      </c>
      <c r="AE249" s="91">
        <f>A249&amp;K249</f>
        <v/>
      </c>
      <c r="AL249" s="91" t="inlineStr">
        <is>
          <t>高优先级</t>
        </is>
      </c>
    </row>
    <row r="250" hidden="1" ht="15" customHeight="1" s="99">
      <c r="A250" t="inlineStr">
        <is>
          <t>GMGAM1</t>
        </is>
      </c>
      <c r="C250" s="89" t="inlineStr">
        <is>
          <t>Huawei</t>
        </is>
      </c>
      <c r="D250" s="91" t="inlineStr">
        <is>
          <t>2G三个小区？</t>
        </is>
      </c>
      <c r="E250" s="91" t="inlineStr">
        <is>
          <t>站点勘察</t>
        </is>
      </c>
      <c r="F250" t="n">
        <v>7.0903</v>
      </c>
      <c r="G250" t="n">
        <v>79.9935</v>
      </c>
      <c r="H250" t="inlineStr">
        <is>
          <t>GMGAM1K</t>
        </is>
      </c>
      <c r="J250" s="91">
        <f>RIGHT(H250,1)</f>
        <v/>
      </c>
      <c r="K250" t="inlineStr">
        <is>
          <t>S2</t>
        </is>
      </c>
      <c r="L250" s="91" t="inlineStr">
        <is>
          <t>2G</t>
        </is>
      </c>
      <c r="M250" t="n">
        <v>1800</v>
      </c>
      <c r="N250" s="91" t="inlineStr">
        <is>
          <t>AQU4518R9v06</t>
        </is>
      </c>
      <c r="P250" t="n">
        <v>210</v>
      </c>
      <c r="R250" s="92" t="n">
        <v>2</v>
      </c>
      <c r="AB250" s="91" t="inlineStr">
        <is>
          <t>？</t>
        </is>
      </c>
      <c r="AC250" s="91" t="inlineStr">
        <is>
          <t>A9652 S35*3+R9264H M901821*3+R9254E S8500*2+R9264 M1821N*2</t>
        </is>
      </c>
      <c r="AD250" s="91">
        <f>_xlfn.XLOOKUP(AE250,[4]透视表!$G:$G,[4]透视表!$E:$E)</f>
        <v/>
      </c>
      <c r="AE250" s="91">
        <f>A250&amp;K250</f>
        <v/>
      </c>
      <c r="AL250" s="91" t="inlineStr">
        <is>
          <t>高优先级</t>
        </is>
      </c>
    </row>
    <row r="251" hidden="1" ht="15" customHeight="1" s="99">
      <c r="A251" t="inlineStr">
        <is>
          <t>GMGAM1</t>
        </is>
      </c>
      <c r="C251" s="89" t="inlineStr">
        <is>
          <t>Huawei</t>
        </is>
      </c>
      <c r="D251" s="91" t="inlineStr">
        <is>
          <t>2G三个小区？</t>
        </is>
      </c>
      <c r="E251" s="91" t="inlineStr">
        <is>
          <t>站点勘察</t>
        </is>
      </c>
      <c r="F251" t="n">
        <v>7.0903</v>
      </c>
      <c r="G251" t="n">
        <v>79.9935</v>
      </c>
      <c r="H251" t="inlineStr">
        <is>
          <t>GMGAM1Q</t>
        </is>
      </c>
      <c r="J251" s="91">
        <f>RIGHT(H251,1)</f>
        <v/>
      </c>
      <c r="K251" t="inlineStr">
        <is>
          <t>S2</t>
        </is>
      </c>
      <c r="L251" s="91" t="inlineStr">
        <is>
          <t>2G</t>
        </is>
      </c>
      <c r="M251" t="n">
        <v>1800</v>
      </c>
      <c r="N251" s="91" t="inlineStr">
        <is>
          <t>AQU4518R9v06</t>
        </is>
      </c>
      <c r="P251" t="n">
        <v>210</v>
      </c>
      <c r="R251" s="92" t="n">
        <v>2</v>
      </c>
      <c r="AB251" s="91" t="inlineStr">
        <is>
          <t>？</t>
        </is>
      </c>
      <c r="AC251" s="91" t="inlineStr">
        <is>
          <t>A9652 S35*3+R9264H M901821*3+R9254E S8500*2+R9264 M1821N*2</t>
        </is>
      </c>
      <c r="AD251" s="91">
        <f>_xlfn.XLOOKUP(AE251,[4]透视表!$G:$G,[4]透视表!$E:$E)</f>
        <v/>
      </c>
      <c r="AE251" s="91">
        <f>A251&amp;K251</f>
        <v/>
      </c>
      <c r="AL251" s="91" t="inlineStr">
        <is>
          <t>高优先级</t>
        </is>
      </c>
    </row>
    <row r="252" hidden="1" ht="15" customHeight="1" s="99">
      <c r="A252" t="inlineStr">
        <is>
          <t>GMGAM1</t>
        </is>
      </c>
      <c r="C252" s="89" t="inlineStr">
        <is>
          <t>Huawei</t>
        </is>
      </c>
      <c r="D252" s="91" t="inlineStr">
        <is>
          <t>2G三个小区？</t>
        </is>
      </c>
      <c r="E252" s="91" t="inlineStr">
        <is>
          <t>站点勘察</t>
        </is>
      </c>
      <c r="F252" t="n">
        <v>7.0903</v>
      </c>
      <c r="G252" t="n">
        <v>79.9935</v>
      </c>
      <c r="H252" t="inlineStr">
        <is>
          <t>GMGAM1T</t>
        </is>
      </c>
      <c r="J252" s="91">
        <f>RIGHT(H252,1)</f>
        <v/>
      </c>
      <c r="K252" t="inlineStr">
        <is>
          <t>S2</t>
        </is>
      </c>
      <c r="L252" s="91" t="inlineStr">
        <is>
          <t>2G</t>
        </is>
      </c>
      <c r="M252" t="n">
        <v>1800</v>
      </c>
      <c r="N252" s="91" t="inlineStr">
        <is>
          <t>AQU4518R9v06</t>
        </is>
      </c>
      <c r="P252" t="n">
        <v>210</v>
      </c>
      <c r="R252" s="92" t="n">
        <v>2</v>
      </c>
      <c r="AB252" s="91" t="inlineStr">
        <is>
          <t>？</t>
        </is>
      </c>
      <c r="AC252" s="91" t="inlineStr">
        <is>
          <t>A9652 S35*3+R9264H M901821*3+R9254E S8500*2+R9264 M1821N*2</t>
        </is>
      </c>
      <c r="AD252" s="91">
        <f>_xlfn.XLOOKUP(AE252,[4]透视表!$G:$G,[4]透视表!$E:$E)</f>
        <v/>
      </c>
      <c r="AE252" s="91">
        <f>A252&amp;K252</f>
        <v/>
      </c>
      <c r="AL252" s="91" t="inlineStr">
        <is>
          <t>高优先级</t>
        </is>
      </c>
    </row>
    <row r="253" hidden="1" ht="15" customHeight="1" s="99">
      <c r="A253" t="inlineStr">
        <is>
          <t>GMGAM1</t>
        </is>
      </c>
      <c r="B253" t="inlineStr">
        <is>
          <t>GMGAM1_GULM0_GAMPAHA_SLT_Gm</t>
        </is>
      </c>
      <c r="C253" s="89" t="inlineStr">
        <is>
          <t>Huawei</t>
        </is>
      </c>
      <c r="E253" s="91" t="inlineStr">
        <is>
          <t>站点勘察</t>
        </is>
      </c>
      <c r="F253" t="n">
        <v>7.0903</v>
      </c>
      <c r="G253" t="n">
        <v>79.9935</v>
      </c>
      <c r="H253" t="inlineStr">
        <is>
          <t>GMGAM1-M-L85-B1</t>
        </is>
      </c>
      <c r="J253" s="91">
        <f>LEFT(RIGHT(H253,2),1)</f>
        <v/>
      </c>
      <c r="K253" s="91">
        <f>_xlfn.XLOOKUP(J253,#REF!,#REF!)</f>
        <v/>
      </c>
      <c r="L253" s="91" t="inlineStr">
        <is>
          <t>4G</t>
        </is>
      </c>
      <c r="M253" s="91" t="n">
        <v>850</v>
      </c>
      <c r="N253" s="91" t="inlineStr">
        <is>
          <t>AQU4518R9v06</t>
        </is>
      </c>
      <c r="O253" s="92" t="n">
        <v>54</v>
      </c>
      <c r="P253" t="n">
        <v>210</v>
      </c>
      <c r="R253" s="92" t="n">
        <v>0</v>
      </c>
      <c r="Y253" t="inlineStr">
        <is>
          <t>2T2R</t>
        </is>
      </c>
      <c r="AB253" s="91" t="inlineStr">
        <is>
          <t>R9254E S8500</t>
        </is>
      </c>
      <c r="AC253" s="91" t="inlineStr">
        <is>
          <t>A9652 S35*3+R9264H M901821*3+R9254E S8500*2+R9264 M1821N*2</t>
        </is>
      </c>
      <c r="AD253" s="91">
        <f>_xlfn.XLOOKUP(AE253,[4]透视表!$G:$G,[4]透视表!$D:$D)</f>
        <v/>
      </c>
      <c r="AE253" s="91">
        <f>A253&amp;K253</f>
        <v/>
      </c>
      <c r="AL253" s="91" t="inlineStr">
        <is>
          <t>高优先级</t>
        </is>
      </c>
    </row>
    <row r="254" hidden="1" ht="15" customHeight="1" s="99">
      <c r="A254" t="inlineStr">
        <is>
          <t>GMGAM1</t>
        </is>
      </c>
      <c r="B254" t="inlineStr">
        <is>
          <t>GMGAM1_GULM0_GAMPAHA_SLT_Gm</t>
        </is>
      </c>
      <c r="C254" s="89" t="inlineStr">
        <is>
          <t>Huawei</t>
        </is>
      </c>
      <c r="E254" s="91" t="inlineStr">
        <is>
          <t>站点勘察</t>
        </is>
      </c>
      <c r="F254" t="n">
        <v>7.0903</v>
      </c>
      <c r="G254" t="n">
        <v>79.9935</v>
      </c>
      <c r="H254" t="inlineStr">
        <is>
          <t>GMGAM1H</t>
        </is>
      </c>
      <c r="J254" s="91">
        <f>RIGHT(H254,1)</f>
        <v/>
      </c>
      <c r="K254" s="91">
        <f>_xlfn.XLOOKUP(J254,#REF!,#REF!)</f>
        <v/>
      </c>
      <c r="L254" s="91" t="inlineStr">
        <is>
          <t>4G</t>
        </is>
      </c>
      <c r="M254" s="91" t="n">
        <v>1800</v>
      </c>
      <c r="N254" s="91" t="inlineStr">
        <is>
          <t>AQU4518R9v06</t>
        </is>
      </c>
      <c r="O254" s="92" t="n">
        <v>54</v>
      </c>
      <c r="P254" t="n">
        <v>210</v>
      </c>
      <c r="R254" s="92" t="n">
        <v>0</v>
      </c>
      <c r="Y254" t="inlineStr">
        <is>
          <t>2T2R</t>
        </is>
      </c>
      <c r="AB254" s="91" t="inlineStr">
        <is>
          <t>？</t>
        </is>
      </c>
      <c r="AC254" s="91" t="inlineStr">
        <is>
          <t>A9652 S35*3+R9264H M901821*3+R9254E S8500*2+R9264 M1821N*2</t>
        </is>
      </c>
      <c r="AD254" s="91">
        <f>_xlfn.XLOOKUP(AE254,[4]透视表!$G:$G,[4]透视表!$E:$E)</f>
        <v/>
      </c>
      <c r="AE254" s="91">
        <f>A254&amp;K254</f>
        <v/>
      </c>
      <c r="AL254" s="91" t="inlineStr">
        <is>
          <t>高优先级</t>
        </is>
      </c>
    </row>
    <row r="255" hidden="1" ht="15" customHeight="1" s="99">
      <c r="A255" t="inlineStr">
        <is>
          <t>GMGAM1</t>
        </is>
      </c>
      <c r="B255" t="inlineStr">
        <is>
          <t>GMGAM1_GULM0_GAMPAHA_SLT_Gm</t>
        </is>
      </c>
      <c r="C255" s="89" t="inlineStr">
        <is>
          <t>Huawei</t>
        </is>
      </c>
      <c r="E255" s="91" t="inlineStr">
        <is>
          <t>站点勘察</t>
        </is>
      </c>
      <c r="F255" t="n">
        <v>7.0903</v>
      </c>
      <c r="G255" t="n">
        <v>79.9935</v>
      </c>
      <c r="H255" t="inlineStr">
        <is>
          <t>GMGAM1-M-L18-B1</t>
        </is>
      </c>
      <c r="J255" s="91">
        <f>LEFT(RIGHT(H255,2),1)</f>
        <v/>
      </c>
      <c r="K255" s="91">
        <f>_xlfn.XLOOKUP(J255,#REF!,#REF!)</f>
        <v/>
      </c>
      <c r="L255" s="91" t="inlineStr">
        <is>
          <t>4G</t>
        </is>
      </c>
      <c r="M255" s="91" t="n">
        <v>1800</v>
      </c>
      <c r="N255" s="91" t="inlineStr">
        <is>
          <t>AQU4518R9v06</t>
        </is>
      </c>
      <c r="O255" s="92" t="n">
        <v>54</v>
      </c>
      <c r="P255" t="n">
        <v>210</v>
      </c>
      <c r="R255" s="92" t="n">
        <v>0</v>
      </c>
      <c r="Y255" t="inlineStr">
        <is>
          <t>2T2R</t>
        </is>
      </c>
      <c r="AB255" s="91" t="inlineStr">
        <is>
          <t>？</t>
        </is>
      </c>
      <c r="AC255" s="91" t="inlineStr">
        <is>
          <t>A9652 S35*3+R9264H M901821*3+R9254E S8500*2+R9264 M1821N*2</t>
        </is>
      </c>
      <c r="AD255" s="91">
        <f>_xlfn.XLOOKUP(AE255,[4]透视表!$G:$G,[4]透视表!$E:$E)</f>
        <v/>
      </c>
      <c r="AE255" s="91">
        <f>A255&amp;K255</f>
        <v/>
      </c>
      <c r="AL255" s="91" t="inlineStr">
        <is>
          <t>高优先级</t>
        </is>
      </c>
    </row>
    <row r="256" hidden="1" ht="15" customHeight="1" s="99">
      <c r="A256" t="inlineStr">
        <is>
          <t>GMGAM1</t>
        </is>
      </c>
      <c r="B256" t="inlineStr">
        <is>
          <t>GMGAM1_GULM0_GAMPAHA_SLT_Gm</t>
        </is>
      </c>
      <c r="C256" s="89" t="inlineStr">
        <is>
          <t>Huawei</t>
        </is>
      </c>
      <c r="E256" s="91" t="inlineStr">
        <is>
          <t>站点勘察</t>
        </is>
      </c>
      <c r="F256" t="n">
        <v>7.0903</v>
      </c>
      <c r="G256" t="n">
        <v>79.9935</v>
      </c>
      <c r="H256" t="inlineStr">
        <is>
          <t>GMGAM1-M-L21-B2</t>
        </is>
      </c>
      <c r="J256" s="91">
        <f>LEFT(RIGHT(H256,2),1)</f>
        <v/>
      </c>
      <c r="K256" s="91">
        <f>_xlfn.XLOOKUP(J256,#REF!,#REF!)</f>
        <v/>
      </c>
      <c r="L256" s="91" t="inlineStr">
        <is>
          <t>4G</t>
        </is>
      </c>
      <c r="M256" s="91" t="n">
        <v>2100</v>
      </c>
      <c r="N256" s="91" t="inlineStr">
        <is>
          <t>AQU4518R9v06</t>
        </is>
      </c>
      <c r="O256" s="92" t="n">
        <v>54</v>
      </c>
      <c r="P256" t="n">
        <v>210</v>
      </c>
      <c r="R256" s="92" t="n">
        <v>0</v>
      </c>
      <c r="Y256" t="inlineStr">
        <is>
          <t>2T2R</t>
        </is>
      </c>
      <c r="AB256" s="91" t="inlineStr">
        <is>
          <t>？</t>
        </is>
      </c>
      <c r="AC256" s="91" t="inlineStr">
        <is>
          <t>A9652 S35*3+R9264H M901821*3+R9254E S8500*2+R9264 M1821N*2</t>
        </is>
      </c>
      <c r="AD256" s="91">
        <f>_xlfn.XLOOKUP(AE256,[4]透视表!$G:$G,[4]透视表!$F:$F)</f>
        <v/>
      </c>
      <c r="AE256" s="91">
        <f>A256&amp;K256</f>
        <v/>
      </c>
      <c r="AL256" s="91" t="inlineStr">
        <is>
          <t>高优先级</t>
        </is>
      </c>
    </row>
    <row r="257" hidden="1" ht="15" customHeight="1" s="99">
      <c r="A257" t="inlineStr">
        <is>
          <t>GMGAM1</t>
        </is>
      </c>
      <c r="B257" t="inlineStr">
        <is>
          <t>GMGAM1_GULM0_GAMPAHA_SLT_Gm</t>
        </is>
      </c>
      <c r="C257" s="89" t="inlineStr">
        <is>
          <t>Huawei</t>
        </is>
      </c>
      <c r="E257" s="91" t="inlineStr">
        <is>
          <t>站点勘察</t>
        </is>
      </c>
      <c r="F257" t="n">
        <v>7.0903</v>
      </c>
      <c r="G257" t="n">
        <v>79.9935</v>
      </c>
      <c r="H257" t="inlineStr">
        <is>
          <t>GMGAM1-M-L23-B1</t>
        </is>
      </c>
      <c r="J257" s="91">
        <f>LEFT(RIGHT(H257,2),1)</f>
        <v/>
      </c>
      <c r="K257" s="91">
        <f>_xlfn.XLOOKUP(J257,#REF!,#REF!)</f>
        <v/>
      </c>
      <c r="L257" s="91" t="inlineStr">
        <is>
          <t>4G</t>
        </is>
      </c>
      <c r="M257" s="91" t="n">
        <v>2300</v>
      </c>
      <c r="N257" s="91" t="n"/>
      <c r="O257" s="92" t="n">
        <v>54</v>
      </c>
      <c r="P257" t="n">
        <v>210</v>
      </c>
      <c r="R257" s="92" t="n">
        <v>0</v>
      </c>
      <c r="Y257" t="inlineStr">
        <is>
          <t>2T2R</t>
        </is>
      </c>
      <c r="AC257" s="91" t="inlineStr">
        <is>
          <t>A9652 S35*3+R9264H M901821*3+R9254E S8500*2+R9264 M1821N*2</t>
        </is>
      </c>
      <c r="AE257" s="91">
        <f>A257&amp;K257</f>
        <v/>
      </c>
      <c r="AL257" s="91" t="inlineStr">
        <is>
          <t>高优先级</t>
        </is>
      </c>
    </row>
    <row r="258" hidden="1" ht="15" customHeight="1" s="99">
      <c r="A258" t="inlineStr">
        <is>
          <t>GMGAM1</t>
        </is>
      </c>
      <c r="C258" s="89" t="inlineStr">
        <is>
          <t>Huawei</t>
        </is>
      </c>
      <c r="E258" s="91" t="inlineStr">
        <is>
          <t>站点勘察</t>
        </is>
      </c>
      <c r="F258" t="n">
        <v>7.0903</v>
      </c>
      <c r="G258" t="n">
        <v>79.9935</v>
      </c>
      <c r="H258" t="inlineStr">
        <is>
          <t>GMGAM1C</t>
        </is>
      </c>
      <c r="J258" s="91">
        <f>RIGHT(H258,1)</f>
        <v/>
      </c>
      <c r="K258" t="inlineStr">
        <is>
          <t>S3</t>
        </is>
      </c>
      <c r="L258" s="91" t="inlineStr">
        <is>
          <t>2G</t>
        </is>
      </c>
      <c r="M258" t="n">
        <v>900</v>
      </c>
      <c r="N258" s="91" t="inlineStr">
        <is>
          <t>AQU4518R9v06</t>
        </is>
      </c>
      <c r="P258" t="n">
        <v>330</v>
      </c>
      <c r="R258" s="92" t="n">
        <v>2</v>
      </c>
      <c r="AB258" s="91" t="inlineStr">
        <is>
          <t>R9264H M901821</t>
        </is>
      </c>
      <c r="AC258" s="91" t="inlineStr">
        <is>
          <t>A9652 S35*3+R9264H M901821*3+R9254E S8500*2+R9264 M1821N*2</t>
        </is>
      </c>
      <c r="AD258" s="91">
        <f>_xlfn.XLOOKUP(AE258,[4]透视表!$G:$G,[4]透视表!$D:$D)</f>
        <v/>
      </c>
      <c r="AE258" s="91">
        <f>A258&amp;K258</f>
        <v/>
      </c>
      <c r="AL258" s="91" t="inlineStr">
        <is>
          <t>高优先级</t>
        </is>
      </c>
    </row>
    <row r="259" hidden="1" ht="15" customHeight="1" s="99">
      <c r="A259" t="inlineStr">
        <is>
          <t>GMGAM1</t>
        </is>
      </c>
      <c r="C259" s="89" t="inlineStr">
        <is>
          <t>Huawei</t>
        </is>
      </c>
      <c r="D259" s="91" t="inlineStr">
        <is>
          <t>2G三个小区？</t>
        </is>
      </c>
      <c r="E259" s="91" t="inlineStr">
        <is>
          <t>站点勘察</t>
        </is>
      </c>
      <c r="F259" t="n">
        <v>7.0903</v>
      </c>
      <c r="G259" t="n">
        <v>79.9935</v>
      </c>
      <c r="H259" t="inlineStr">
        <is>
          <t>GMGAM1L</t>
        </is>
      </c>
      <c r="J259" s="91">
        <f>RIGHT(H259,1)</f>
        <v/>
      </c>
      <c r="K259" t="inlineStr">
        <is>
          <t>S3</t>
        </is>
      </c>
      <c r="L259" s="91" t="inlineStr">
        <is>
          <t>2G</t>
        </is>
      </c>
      <c r="M259" t="n">
        <v>1800</v>
      </c>
      <c r="N259" s="91" t="inlineStr">
        <is>
          <t>AMB4519R6v06</t>
        </is>
      </c>
      <c r="P259" t="n">
        <v>330</v>
      </c>
      <c r="R259" s="92" t="n">
        <v>2</v>
      </c>
      <c r="AB259" s="91" t="inlineStr">
        <is>
          <t>？</t>
        </is>
      </c>
      <c r="AC259" s="91" t="inlineStr">
        <is>
          <t>A9652 S35*3+R9264H M901821*3+R9254E S8500*2+R9264 M1821N*2</t>
        </is>
      </c>
      <c r="AD259" s="91" t="inlineStr">
        <is>
          <t>AMB4519R6v06</t>
        </is>
      </c>
      <c r="AE259" s="91">
        <f>A259&amp;K259</f>
        <v/>
      </c>
      <c r="AL259" s="91" t="inlineStr">
        <is>
          <t>高优先级</t>
        </is>
      </c>
    </row>
    <row r="260" hidden="1" ht="15" customHeight="1" s="99">
      <c r="A260" t="inlineStr">
        <is>
          <t>GMGAM1</t>
        </is>
      </c>
      <c r="C260" s="89" t="inlineStr">
        <is>
          <t>Huawei</t>
        </is>
      </c>
      <c r="D260" s="91" t="inlineStr">
        <is>
          <t>2G三个小区？</t>
        </is>
      </c>
      <c r="E260" s="91" t="inlineStr">
        <is>
          <t>站点勘察</t>
        </is>
      </c>
      <c r="F260" t="n">
        <v>7.0903</v>
      </c>
      <c r="G260" t="n">
        <v>79.9935</v>
      </c>
      <c r="H260" t="inlineStr">
        <is>
          <t>GMGAM1R</t>
        </is>
      </c>
      <c r="J260" s="91">
        <f>RIGHT(H260,1)</f>
        <v/>
      </c>
      <c r="K260" t="inlineStr">
        <is>
          <t>S3</t>
        </is>
      </c>
      <c r="L260" s="91" t="inlineStr">
        <is>
          <t>2G</t>
        </is>
      </c>
      <c r="M260" t="n">
        <v>1800</v>
      </c>
      <c r="N260" s="91" t="inlineStr">
        <is>
          <t>AMB4519R6v06</t>
        </is>
      </c>
      <c r="P260" t="n">
        <v>330</v>
      </c>
      <c r="R260" s="92" t="n">
        <v>2</v>
      </c>
      <c r="AB260" s="91" t="inlineStr">
        <is>
          <t>？</t>
        </is>
      </c>
      <c r="AC260" s="91" t="inlineStr">
        <is>
          <t>A9652 S35*3+R9264H M901821*3+R9254E S8500*2+R9264 M1821N*2</t>
        </is>
      </c>
      <c r="AD260" s="91" t="inlineStr">
        <is>
          <t>AMB4519R6v06</t>
        </is>
      </c>
      <c r="AE260" s="91">
        <f>A260&amp;K260</f>
        <v/>
      </c>
      <c r="AL260" s="91" t="inlineStr">
        <is>
          <t>高优先级</t>
        </is>
      </c>
    </row>
    <row r="261" hidden="1" ht="15" customHeight="1" s="99">
      <c r="A261" t="inlineStr">
        <is>
          <t>GMGAM1</t>
        </is>
      </c>
      <c r="C261" s="89" t="inlineStr">
        <is>
          <t>Huawei</t>
        </is>
      </c>
      <c r="D261" s="91" t="inlineStr">
        <is>
          <t>2G三个小区？</t>
        </is>
      </c>
      <c r="E261" s="91" t="inlineStr">
        <is>
          <t>站点勘察</t>
        </is>
      </c>
      <c r="F261" t="n">
        <v>7.0903</v>
      </c>
      <c r="G261" t="n">
        <v>79.9935</v>
      </c>
      <c r="H261" t="inlineStr">
        <is>
          <t>GMGAM1U</t>
        </is>
      </c>
      <c r="J261" s="91">
        <f>RIGHT(H261,1)</f>
        <v/>
      </c>
      <c r="K261" t="inlineStr">
        <is>
          <t>S3</t>
        </is>
      </c>
      <c r="L261" s="91" t="inlineStr">
        <is>
          <t>2G</t>
        </is>
      </c>
      <c r="M261" t="n">
        <v>1800</v>
      </c>
      <c r="N261" s="91" t="inlineStr">
        <is>
          <t>AMB4519R6v06</t>
        </is>
      </c>
      <c r="P261" t="n">
        <v>330</v>
      </c>
      <c r="R261" s="92" t="n">
        <v>2</v>
      </c>
      <c r="AB261" s="91" t="inlineStr">
        <is>
          <t>？</t>
        </is>
      </c>
      <c r="AC261" s="91" t="inlineStr">
        <is>
          <t>A9652 S35*3+R9264H M901821*3+R9254E S8500*2+R9264 M1821N*2</t>
        </is>
      </c>
      <c r="AD261" s="91" t="inlineStr">
        <is>
          <t>AMB4519R6v06</t>
        </is>
      </c>
      <c r="AE261" s="91">
        <f>A261&amp;K261</f>
        <v/>
      </c>
      <c r="AL261" s="91" t="inlineStr">
        <is>
          <t>高优先级</t>
        </is>
      </c>
    </row>
    <row r="262" hidden="1" ht="15" customHeight="1" s="99">
      <c r="A262" t="inlineStr">
        <is>
          <t>GMGAM1</t>
        </is>
      </c>
      <c r="B262" t="inlineStr">
        <is>
          <t>GMGAM1_GULM0_GAMPAHA_SLT_Gm</t>
        </is>
      </c>
      <c r="C262" s="89" t="inlineStr">
        <is>
          <t>Huawei</t>
        </is>
      </c>
      <c r="E262" s="91" t="inlineStr">
        <is>
          <t>站点勘察</t>
        </is>
      </c>
      <c r="F262" t="n">
        <v>7.0903</v>
      </c>
      <c r="G262" t="n">
        <v>79.9935</v>
      </c>
      <c r="H262" t="inlineStr">
        <is>
          <t>GMGAM1-M-L85-C1</t>
        </is>
      </c>
      <c r="J262" s="91">
        <f>LEFT(RIGHT(H262,2),1)</f>
        <v/>
      </c>
      <c r="K262" s="91">
        <f>_xlfn.XLOOKUP(J262,#REF!,#REF!)</f>
        <v/>
      </c>
      <c r="L262" s="91" t="inlineStr">
        <is>
          <t>4G</t>
        </is>
      </c>
      <c r="M262" s="91" t="n">
        <v>850</v>
      </c>
      <c r="N262" s="91" t="inlineStr">
        <is>
          <t>AQU4518R9v06</t>
        </is>
      </c>
      <c r="O262" s="92" t="n">
        <v>54</v>
      </c>
      <c r="P262" t="n">
        <v>330</v>
      </c>
      <c r="R262" s="92" t="n">
        <v>0</v>
      </c>
      <c r="Y262" t="inlineStr">
        <is>
          <t>2T2R</t>
        </is>
      </c>
      <c r="AB262" s="91" t="inlineStr">
        <is>
          <t>R9254E S8500</t>
        </is>
      </c>
      <c r="AC262" s="91" t="inlineStr">
        <is>
          <t>A9652 S35*3+R9264H M901821*3+R9254E S8500*2+R9264 M1821N*2</t>
        </is>
      </c>
      <c r="AD262" s="91">
        <f>_xlfn.XLOOKUP(AE262,[4]透视表!$G:$G,[4]透视表!$D:$D)</f>
        <v/>
      </c>
      <c r="AE262" s="91">
        <f>A262&amp;K262</f>
        <v/>
      </c>
      <c r="AL262" s="91" t="inlineStr">
        <is>
          <t>高优先级</t>
        </is>
      </c>
    </row>
    <row r="263" hidden="1" ht="15" customHeight="1" s="99">
      <c r="A263" t="inlineStr">
        <is>
          <t>GMGAM1</t>
        </is>
      </c>
      <c r="B263" t="inlineStr">
        <is>
          <t>GMGAM1_GULM0_GAMPAHA_SLT_Gm</t>
        </is>
      </c>
      <c r="C263" s="89" t="inlineStr">
        <is>
          <t>Huawei</t>
        </is>
      </c>
      <c r="E263" s="91" t="inlineStr">
        <is>
          <t>站点勘察</t>
        </is>
      </c>
      <c r="F263" t="n">
        <v>7.0903</v>
      </c>
      <c r="G263" t="n">
        <v>79.9935</v>
      </c>
      <c r="H263" t="inlineStr">
        <is>
          <t>GMGAM1-M-L18-C1</t>
        </is>
      </c>
      <c r="J263" s="91">
        <f>LEFT(RIGHT(H263,2),1)</f>
        <v/>
      </c>
      <c r="K263" s="91">
        <f>_xlfn.XLOOKUP(J263,#REF!,#REF!)</f>
        <v/>
      </c>
      <c r="L263" s="91" t="inlineStr">
        <is>
          <t>4G</t>
        </is>
      </c>
      <c r="M263" s="91" t="n">
        <v>1800</v>
      </c>
      <c r="N263" s="91" t="inlineStr">
        <is>
          <t>AMB4519R6v06</t>
        </is>
      </c>
      <c r="O263" s="92" t="n">
        <v>54</v>
      </c>
      <c r="P263" t="n">
        <v>330</v>
      </c>
      <c r="R263" s="92" t="n">
        <v>0</v>
      </c>
      <c r="Y263" t="inlineStr">
        <is>
          <t>4T4R</t>
        </is>
      </c>
      <c r="AB263" s="91" t="inlineStr">
        <is>
          <t>？</t>
        </is>
      </c>
      <c r="AC263" s="91" t="inlineStr">
        <is>
          <t>A9652 S35*3+R9264H M901821*3+R9254E S8500*2+R9264 M1821N*2</t>
        </is>
      </c>
      <c r="AD263" s="91" t="inlineStr">
        <is>
          <t>AMB4519R6v06</t>
        </is>
      </c>
      <c r="AE263" s="91">
        <f>A263&amp;K263</f>
        <v/>
      </c>
      <c r="AL263" s="91" t="inlineStr">
        <is>
          <t>高优先级</t>
        </is>
      </c>
    </row>
    <row r="264" hidden="1" ht="15" customHeight="1" s="99">
      <c r="A264" t="inlineStr">
        <is>
          <t>GMGAM1</t>
        </is>
      </c>
      <c r="B264" t="inlineStr">
        <is>
          <t>GMGAM1_GULM0_GAMPAHA_SLT_Gm</t>
        </is>
      </c>
      <c r="C264" s="89" t="inlineStr">
        <is>
          <t>Huawei</t>
        </is>
      </c>
      <c r="E264" s="91" t="inlineStr">
        <is>
          <t>站点勘察</t>
        </is>
      </c>
      <c r="F264" t="n">
        <v>7.0903</v>
      </c>
      <c r="G264" t="n">
        <v>79.9935</v>
      </c>
      <c r="H264" t="inlineStr">
        <is>
          <t>GMGAM1I</t>
        </is>
      </c>
      <c r="J264" s="91">
        <f>RIGHT(H264,1)</f>
        <v/>
      </c>
      <c r="K264" s="91">
        <f>_xlfn.XLOOKUP(J264,#REF!,#REF!)</f>
        <v/>
      </c>
      <c r="L264" s="91" t="inlineStr">
        <is>
          <t>4G</t>
        </is>
      </c>
      <c r="M264" s="91" t="n">
        <v>1800</v>
      </c>
      <c r="N264" s="91" t="inlineStr">
        <is>
          <t>AMB4519R6v06</t>
        </is>
      </c>
      <c r="O264" s="92" t="n">
        <v>54</v>
      </c>
      <c r="P264" t="n">
        <v>330</v>
      </c>
      <c r="R264" s="92" t="n">
        <v>0</v>
      </c>
      <c r="Y264" t="inlineStr">
        <is>
          <t>4T4R</t>
        </is>
      </c>
      <c r="AB264" s="91" t="inlineStr">
        <is>
          <t>？</t>
        </is>
      </c>
      <c r="AC264" s="91" t="inlineStr">
        <is>
          <t>A9652 S35*3+R9264H M901821*3+R9254E S8500*2+R9264 M1821N*2</t>
        </is>
      </c>
      <c r="AD264" s="91" t="inlineStr">
        <is>
          <t>AMB4519R6v06</t>
        </is>
      </c>
      <c r="AE264" s="91">
        <f>A264&amp;K264</f>
        <v/>
      </c>
      <c r="AL264" s="91" t="inlineStr">
        <is>
          <t>高优先级</t>
        </is>
      </c>
    </row>
    <row r="265" hidden="1" ht="15" customHeight="1" s="99">
      <c r="A265" t="inlineStr">
        <is>
          <t>GMGAM1</t>
        </is>
      </c>
      <c r="B265" t="inlineStr">
        <is>
          <t>GMGAM1_GULM0_GAMPAHA_SLT_Gm</t>
        </is>
      </c>
      <c r="C265" s="89" t="inlineStr">
        <is>
          <t>Huawei</t>
        </is>
      </c>
      <c r="E265" s="91" t="inlineStr">
        <is>
          <t>站点勘察</t>
        </is>
      </c>
      <c r="F265" t="n">
        <v>7.0903</v>
      </c>
      <c r="G265" t="n">
        <v>79.9935</v>
      </c>
      <c r="H265" t="inlineStr">
        <is>
          <t>GMGAM1-M-L21-C2</t>
        </is>
      </c>
      <c r="J265" s="91">
        <f>LEFT(RIGHT(H265,2),1)</f>
        <v/>
      </c>
      <c r="K265" s="91">
        <f>_xlfn.XLOOKUP(J265,#REF!,#REF!)</f>
        <v/>
      </c>
      <c r="L265" s="91" t="inlineStr">
        <is>
          <t>4G</t>
        </is>
      </c>
      <c r="M265" s="91" t="n">
        <v>2100</v>
      </c>
      <c r="N265" s="91" t="inlineStr"/>
      <c r="O265" s="92" t="n">
        <v>54</v>
      </c>
      <c r="P265" t="n">
        <v>330</v>
      </c>
      <c r="R265" s="92" t="n">
        <v>0</v>
      </c>
      <c r="Y265" t="inlineStr">
        <is>
          <t>4T4R</t>
        </is>
      </c>
      <c r="AB265" s="91" t="inlineStr">
        <is>
          <t>？</t>
        </is>
      </c>
      <c r="AC265" s="91" t="inlineStr">
        <is>
          <t>A9652 S35*3+R9264H M901821*3+R9254E S8500*2+R9264 M1821N*2</t>
        </is>
      </c>
      <c r="AD265" s="91">
        <f>_xlfn.XLOOKUP(AE265,[4]透视表!$G:$G,[4]透视表!$F:$F)</f>
        <v/>
      </c>
      <c r="AE265" s="91">
        <f>A265&amp;K265</f>
        <v/>
      </c>
      <c r="AL265" s="91" t="inlineStr">
        <is>
          <t>高优先级</t>
        </is>
      </c>
    </row>
    <row r="266" hidden="1" ht="15" customHeight="1" s="99">
      <c r="A266" t="inlineStr">
        <is>
          <t>GMGAM1</t>
        </is>
      </c>
      <c r="B266" t="inlineStr">
        <is>
          <t>GMGAM1_GULM0_GAMPAHA_SLT_Gm</t>
        </is>
      </c>
      <c r="C266" s="89" t="inlineStr">
        <is>
          <t>Huawei</t>
        </is>
      </c>
      <c r="E266" s="91" t="inlineStr">
        <is>
          <t>站点勘察</t>
        </is>
      </c>
      <c r="F266" t="n">
        <v>7.0903</v>
      </c>
      <c r="G266" t="n">
        <v>79.9935</v>
      </c>
      <c r="H266" t="inlineStr">
        <is>
          <t>GMGAM1-M-L21-C1</t>
        </is>
      </c>
      <c r="J266" s="91">
        <f>LEFT(RIGHT(H266,2),1)</f>
        <v/>
      </c>
      <c r="K266" s="91">
        <f>_xlfn.XLOOKUP(J266,#REF!,#REF!)</f>
        <v/>
      </c>
      <c r="L266" s="91" t="inlineStr">
        <is>
          <t>4G</t>
        </is>
      </c>
      <c r="M266" s="91" t="n">
        <v>2100</v>
      </c>
      <c r="N266" s="91" t="inlineStr"/>
      <c r="O266" s="92" t="n">
        <v>54</v>
      </c>
      <c r="P266" t="n">
        <v>330</v>
      </c>
      <c r="R266" s="92" t="n">
        <v>0</v>
      </c>
      <c r="Y266" t="inlineStr">
        <is>
          <t>4T4R</t>
        </is>
      </c>
      <c r="AB266" s="91" t="inlineStr">
        <is>
          <t>？</t>
        </is>
      </c>
      <c r="AC266" s="91" t="inlineStr">
        <is>
          <t>A9652 S35*3+R9264H M901821*3+R9254E S8500*2+R9264 M1821N*2</t>
        </is>
      </c>
      <c r="AD266" s="91">
        <f>_xlfn.XLOOKUP(AE266,[4]透视表!$G:$G,[4]透视表!$F:$F)</f>
        <v/>
      </c>
      <c r="AE266" s="91">
        <f>A266&amp;K266</f>
        <v/>
      </c>
      <c r="AL266" s="91" t="inlineStr">
        <is>
          <t>高优先级</t>
        </is>
      </c>
    </row>
    <row r="267" hidden="1" ht="15" customHeight="1" s="99">
      <c r="A267" t="inlineStr">
        <is>
          <t>GMGAM1</t>
        </is>
      </c>
      <c r="B267" t="inlineStr">
        <is>
          <t>GMGAM1_GULM0_GAMPAHA_SLT_Gm</t>
        </is>
      </c>
      <c r="C267" s="89" t="inlineStr">
        <is>
          <t>Huawei</t>
        </is>
      </c>
      <c r="E267" s="91" t="inlineStr">
        <is>
          <t>站点勘察</t>
        </is>
      </c>
      <c r="F267" t="n">
        <v>7.0903</v>
      </c>
      <c r="G267" t="n">
        <v>79.9935</v>
      </c>
      <c r="H267" t="inlineStr">
        <is>
          <t>GMGAM1-M-L23-C1</t>
        </is>
      </c>
      <c r="J267" s="91">
        <f>LEFT(RIGHT(H267,2),1)</f>
        <v/>
      </c>
      <c r="K267" s="91">
        <f>_xlfn.XLOOKUP(J267,#REF!,#REF!)</f>
        <v/>
      </c>
      <c r="L267" s="91" t="inlineStr">
        <is>
          <t>4G</t>
        </is>
      </c>
      <c r="M267" s="91" t="n">
        <v>2300</v>
      </c>
      <c r="N267" s="91" t="n"/>
      <c r="O267" s="92" t="n">
        <v>54</v>
      </c>
      <c r="P267" t="n">
        <v>330</v>
      </c>
      <c r="R267" s="92" t="n">
        <v>0</v>
      </c>
      <c r="Y267" t="inlineStr">
        <is>
          <t>2T2R</t>
        </is>
      </c>
      <c r="AC267" s="91" t="inlineStr">
        <is>
          <t>A9652 S35*3+R9264H M901821*3+R9254E S8500*2+R9264 M1821N*2</t>
        </is>
      </c>
      <c r="AE267" s="91">
        <f>A267&amp;K267</f>
        <v/>
      </c>
      <c r="AL267" s="91" t="inlineStr">
        <is>
          <t>高优先级</t>
        </is>
      </c>
    </row>
    <row r="268" hidden="1" ht="15" customHeight="1" s="99">
      <c r="A268" t="inlineStr">
        <is>
          <t>GMGAM2</t>
        </is>
      </c>
      <c r="C268" s="89" t="inlineStr">
        <is>
          <t>Huawei</t>
        </is>
      </c>
      <c r="F268" t="n">
        <v>7.08764</v>
      </c>
      <c r="G268" t="n">
        <v>80.0095</v>
      </c>
      <c r="H268" t="inlineStr">
        <is>
          <t>GMGAM2A</t>
        </is>
      </c>
      <c r="J268" s="91">
        <f>RIGHT(H268,1)</f>
        <v/>
      </c>
      <c r="K268" t="inlineStr">
        <is>
          <t>S1</t>
        </is>
      </c>
      <c r="L268" s="91" t="inlineStr">
        <is>
          <t>2G</t>
        </is>
      </c>
      <c r="M268" t="n">
        <v>900</v>
      </c>
      <c r="N268" s="91" t="e">
        <v>#N/A</v>
      </c>
      <c r="P268" t="n">
        <v>0</v>
      </c>
      <c r="R268" s="92" t="n">
        <v>2</v>
      </c>
      <c r="AB268" s="91" t="inlineStr">
        <is>
          <t>R9264H M901821</t>
        </is>
      </c>
      <c r="AC268" s="91" t="inlineStr">
        <is>
          <t>A9652 S35*3+R9264H M901821*3+R9254E S8500*2+R9264 M1821N*1</t>
        </is>
      </c>
      <c r="AD268" s="91">
        <f>_xlfn.XLOOKUP(AE268,[4]透视表!$G:$G,[4]透视表!$D:$D)</f>
        <v/>
      </c>
      <c r="AE268" s="91">
        <f>A268&amp;K268</f>
        <v/>
      </c>
      <c r="AL268" s="91" t="inlineStr">
        <is>
          <t>高优先级</t>
        </is>
      </c>
    </row>
    <row r="269" hidden="1" ht="15" customHeight="1" s="99">
      <c r="A269" t="inlineStr">
        <is>
          <t>GMGAM2</t>
        </is>
      </c>
      <c r="C269" s="89" t="inlineStr">
        <is>
          <t>Huawei</t>
        </is>
      </c>
      <c r="F269" t="n">
        <v>7.08764</v>
      </c>
      <c r="G269" t="n">
        <v>80.0095</v>
      </c>
      <c r="H269" t="inlineStr">
        <is>
          <t>GMGAM2P</t>
        </is>
      </c>
      <c r="J269" s="91">
        <f>RIGHT(H269,1)</f>
        <v/>
      </c>
      <c r="K269" t="inlineStr">
        <is>
          <t>S1</t>
        </is>
      </c>
      <c r="L269" s="91" t="inlineStr">
        <is>
          <t>2G</t>
        </is>
      </c>
      <c r="M269" t="n">
        <v>1800</v>
      </c>
      <c r="N269" s="91" t="inlineStr">
        <is>
          <t>AMB4519R6v06</t>
        </is>
      </c>
      <c r="P269" t="n">
        <v>0</v>
      </c>
      <c r="R269" s="92" t="n">
        <v>2</v>
      </c>
      <c r="AB269" s="91" t="inlineStr">
        <is>
          <t>R9264H M901821</t>
        </is>
      </c>
      <c r="AC269" s="91" t="inlineStr">
        <is>
          <t>A9652 S35*3+R9264H M901821*3+R9254E S8500*2+R9264 M1821N*1</t>
        </is>
      </c>
      <c r="AD269" s="91" t="inlineStr">
        <is>
          <t>AMB4519R6v06</t>
        </is>
      </c>
      <c r="AE269" s="91">
        <f>A269&amp;K269</f>
        <v/>
      </c>
      <c r="AL269" s="91" t="inlineStr">
        <is>
          <t>高优先级</t>
        </is>
      </c>
    </row>
    <row r="270" hidden="1" ht="15" customHeight="1" s="99">
      <c r="A270" t="inlineStr">
        <is>
          <t>GMGAM2</t>
        </is>
      </c>
      <c r="C270" s="89" t="inlineStr">
        <is>
          <t>Huawei</t>
        </is>
      </c>
      <c r="F270" t="n">
        <v>7.08764</v>
      </c>
      <c r="G270" t="n">
        <v>80.0095</v>
      </c>
      <c r="I270" t="inlineStr">
        <is>
          <t>GMGAM2S</t>
        </is>
      </c>
      <c r="J270" s="91">
        <f>RIGHT(I270,1)</f>
        <v/>
      </c>
      <c r="K270" t="inlineStr">
        <is>
          <t>S1</t>
        </is>
      </c>
      <c r="L270" s="91" t="inlineStr">
        <is>
          <t>2G</t>
        </is>
      </c>
      <c r="M270" t="n">
        <v>1800</v>
      </c>
      <c r="N270" s="91" t="inlineStr">
        <is>
          <t>AMB4519R6v06</t>
        </is>
      </c>
      <c r="P270" t="n">
        <v>0</v>
      </c>
      <c r="R270" s="92" t="n">
        <v>2</v>
      </c>
      <c r="AB270" s="91" t="inlineStr">
        <is>
          <t>R9264 M1821N</t>
        </is>
      </c>
      <c r="AC270" s="91" t="inlineStr">
        <is>
          <t>A9652 S35*3+R9264H M901821*3+R9254E S8500*2+R9264 M1821N*1</t>
        </is>
      </c>
      <c r="AD270" s="91" t="inlineStr">
        <is>
          <t>AMB4519R6v06</t>
        </is>
      </c>
      <c r="AE270" s="91">
        <f>A270&amp;K270</f>
        <v/>
      </c>
      <c r="AL270" s="91" t="inlineStr">
        <is>
          <t>高优先级</t>
        </is>
      </c>
    </row>
    <row r="271" hidden="1" ht="15" customHeight="1" s="99">
      <c r="A271" t="inlineStr">
        <is>
          <t>GMGAM2</t>
        </is>
      </c>
      <c r="B271" t="inlineStr">
        <is>
          <t>GMGAM2_GUL00_GAMPAHA_Gm</t>
        </is>
      </c>
      <c r="C271" s="89" t="inlineStr">
        <is>
          <t>Huawei</t>
        </is>
      </c>
      <c r="F271" t="n">
        <v>7.08764</v>
      </c>
      <c r="G271" t="n">
        <v>80.0095</v>
      </c>
      <c r="H271" t="inlineStr">
        <is>
          <t>GMGAM2-M-L85-A1</t>
        </is>
      </c>
      <c r="J271" s="91">
        <f>LEFT(RIGHT(H271,2),1)</f>
        <v/>
      </c>
      <c r="K271" s="91">
        <f>_xlfn.XLOOKUP(J271,#REF!,#REF!)</f>
        <v/>
      </c>
      <c r="L271" s="91" t="inlineStr">
        <is>
          <t>4G</t>
        </is>
      </c>
      <c r="M271" s="91" t="n">
        <v>850</v>
      </c>
      <c r="N271" s="91" t="e">
        <v>#N/A</v>
      </c>
      <c r="O271" s="92" t="n">
        <v>50</v>
      </c>
      <c r="P271" t="n">
        <v>0</v>
      </c>
      <c r="R271" s="92" t="n">
        <v>0</v>
      </c>
      <c r="Y271" t="inlineStr">
        <is>
          <t>2T2R</t>
        </is>
      </c>
      <c r="AB271" s="91" t="inlineStr">
        <is>
          <t>R9254E S8500</t>
        </is>
      </c>
      <c r="AC271" s="91" t="inlineStr">
        <is>
          <t>A9652 S35*3+R9264H M901821*3+R9254E S8500*2+R9264 M1821N*1</t>
        </is>
      </c>
      <c r="AD271" s="91">
        <f>_xlfn.XLOOKUP(AE271,[4]透视表!$G:$G,[4]透视表!$D:$D)</f>
        <v/>
      </c>
      <c r="AE271" s="91">
        <f>A271&amp;K271</f>
        <v/>
      </c>
      <c r="AL271" s="91" t="inlineStr">
        <is>
          <t>高优先级</t>
        </is>
      </c>
    </row>
    <row r="272" hidden="1" ht="15" customHeight="1" s="99">
      <c r="A272" t="inlineStr">
        <is>
          <t>GMGAM2</t>
        </is>
      </c>
      <c r="B272" t="inlineStr">
        <is>
          <t>GMGAM2_GUL00_GAMPAHA_Gm</t>
        </is>
      </c>
      <c r="C272" s="89" t="inlineStr">
        <is>
          <t>Huawei</t>
        </is>
      </c>
      <c r="F272" t="n">
        <v>7.08764</v>
      </c>
      <c r="G272" t="n">
        <v>80.0095</v>
      </c>
      <c r="H272" t="inlineStr">
        <is>
          <t>GMGAM2-M-L18-G1</t>
        </is>
      </c>
      <c r="J272" s="91">
        <f>LEFT(RIGHT(H272,2),1)</f>
        <v/>
      </c>
      <c r="K272" s="91">
        <f>_xlfn.XLOOKUP(J272,#REF!,#REF!)</f>
        <v/>
      </c>
      <c r="L272" s="91" t="inlineStr">
        <is>
          <t>4G</t>
        </is>
      </c>
      <c r="M272" s="91" t="n">
        <v>1800</v>
      </c>
      <c r="N272" s="91" t="inlineStr">
        <is>
          <t>AMB4519R6v06</t>
        </is>
      </c>
      <c r="O272" s="92" t="n">
        <v>50</v>
      </c>
      <c r="P272" t="n">
        <v>0</v>
      </c>
      <c r="R272" s="92" t="n">
        <v>0</v>
      </c>
      <c r="Y272" t="inlineStr">
        <is>
          <t>2T2R</t>
        </is>
      </c>
      <c r="AB272" s="91" t="inlineStr">
        <is>
          <t>R9264H M901821</t>
        </is>
      </c>
      <c r="AC272" s="91" t="inlineStr">
        <is>
          <t>A9652 S35*3+R9264H M901821*3+R9254E S8500*2+R9264 M1821N*1</t>
        </is>
      </c>
      <c r="AD272" s="91" t="inlineStr">
        <is>
          <t>AMB4519R6v06</t>
        </is>
      </c>
      <c r="AE272" s="91">
        <f>A272&amp;K272</f>
        <v/>
      </c>
      <c r="AL272" s="91" t="inlineStr">
        <is>
          <t>高优先级</t>
        </is>
      </c>
    </row>
    <row r="273" hidden="1" ht="15" customHeight="1" s="99">
      <c r="A273" t="inlineStr">
        <is>
          <t>GMGAM2</t>
        </is>
      </c>
      <c r="B273" t="inlineStr">
        <is>
          <t>GMGAM2_GUL00_GAMPAHA_Gm</t>
        </is>
      </c>
      <c r="C273" s="89" t="inlineStr">
        <is>
          <t>Huawei</t>
        </is>
      </c>
      <c r="F273" t="n">
        <v>7.08764</v>
      </c>
      <c r="G273" t="n">
        <v>80.0095</v>
      </c>
      <c r="H273" t="inlineStr">
        <is>
          <t>GMGAM2G</t>
        </is>
      </c>
      <c r="J273" s="91">
        <f>RIGHT(H273,1)</f>
        <v/>
      </c>
      <c r="K273" s="91">
        <f>_xlfn.XLOOKUP(J273,#REF!,#REF!)</f>
        <v/>
      </c>
      <c r="L273" s="91" t="inlineStr">
        <is>
          <t>4G</t>
        </is>
      </c>
      <c r="M273" s="91" t="n">
        <v>1800</v>
      </c>
      <c r="N273" s="91" t="inlineStr">
        <is>
          <t>AMB4519R6v06</t>
        </is>
      </c>
      <c r="O273" s="92" t="n">
        <v>50</v>
      </c>
      <c r="P273" t="n">
        <v>0</v>
      </c>
      <c r="R273" s="92" t="n">
        <v>0</v>
      </c>
      <c r="Y273" t="inlineStr">
        <is>
          <t>2T2R</t>
        </is>
      </c>
      <c r="AB273" s="91" t="inlineStr">
        <is>
          <t>R9264 M1821N</t>
        </is>
      </c>
      <c r="AC273" s="91" t="inlineStr">
        <is>
          <t>A9652 S35*3+R9264H M901821*3+R9254E S8500*2+R9264 M1821N*1</t>
        </is>
      </c>
      <c r="AD273" s="91" t="inlineStr">
        <is>
          <t>AMB4519R6v06</t>
        </is>
      </c>
      <c r="AE273" s="91">
        <f>A273&amp;K273</f>
        <v/>
      </c>
      <c r="AL273" s="91" t="inlineStr">
        <is>
          <t>高优先级</t>
        </is>
      </c>
    </row>
    <row r="274" hidden="1" ht="15" customHeight="1" s="99">
      <c r="A274" t="inlineStr">
        <is>
          <t>GMGAM2</t>
        </is>
      </c>
      <c r="B274" t="inlineStr">
        <is>
          <t>GMGAM2_GUL00_GAMPAHA_Gm</t>
        </is>
      </c>
      <c r="C274" s="89" t="inlineStr">
        <is>
          <t>Huawei</t>
        </is>
      </c>
      <c r="F274" t="n">
        <v>7.08764</v>
      </c>
      <c r="G274" t="n">
        <v>80.0095</v>
      </c>
      <c r="H274" t="inlineStr">
        <is>
          <t>GMGAM2-M-L21-A2</t>
        </is>
      </c>
      <c r="J274" s="91">
        <f>LEFT(RIGHT(H274,2),1)</f>
        <v/>
      </c>
      <c r="K274" s="91">
        <f>_xlfn.XLOOKUP(J274,#REF!,#REF!)</f>
        <v/>
      </c>
      <c r="L274" s="91" t="inlineStr">
        <is>
          <t>4G</t>
        </is>
      </c>
      <c r="M274" s="91" t="n">
        <v>2100</v>
      </c>
      <c r="N274" s="91" t="e">
        <v>#N/A</v>
      </c>
      <c r="O274" s="92" t="n">
        <v>50</v>
      </c>
      <c r="P274" t="n">
        <v>0</v>
      </c>
      <c r="R274" s="92" t="n">
        <v>0</v>
      </c>
      <c r="Y274" t="inlineStr">
        <is>
          <t>2T2R</t>
        </is>
      </c>
      <c r="AB274" s="91" t="inlineStr">
        <is>
          <t>R9264H M901821</t>
        </is>
      </c>
      <c r="AC274" s="91" t="inlineStr">
        <is>
          <t>A9652 S35*3+R9264H M901821*3+R9254E S8500*2+R9264 M1821N*1</t>
        </is>
      </c>
      <c r="AD274" s="91">
        <f>_xlfn.XLOOKUP(AE274,[4]透视表!$G:$G,[4]透视表!$F:$F)</f>
        <v/>
      </c>
      <c r="AE274" s="91">
        <f>A274&amp;K274</f>
        <v/>
      </c>
      <c r="AL274" s="91" t="inlineStr">
        <is>
          <t>高优先级</t>
        </is>
      </c>
    </row>
    <row r="275" hidden="1" ht="15" customHeight="1" s="99">
      <c r="A275" t="inlineStr">
        <is>
          <t>GMGAM2</t>
        </is>
      </c>
      <c r="B275" s="91" t="n"/>
      <c r="C275" s="89" t="n"/>
      <c r="H275" t="inlineStr">
        <is>
          <t>GMGAM2-M-L21-G2</t>
        </is>
      </c>
      <c r="J275" s="91">
        <f>LEFT(RIGHT(H275,2),1)</f>
        <v/>
      </c>
      <c r="K275" s="91">
        <f>_xlfn.XLOOKUP(J275,#REF!,#REF!)</f>
        <v/>
      </c>
      <c r="L275" s="91" t="inlineStr">
        <is>
          <t>4G</t>
        </is>
      </c>
      <c r="M275" s="91" t="n">
        <v>2100</v>
      </c>
      <c r="N275" s="91" t="n"/>
      <c r="P275" t="n">
        <v>0</v>
      </c>
      <c r="Y275" t="inlineStr">
        <is>
          <t>2T2R</t>
        </is>
      </c>
      <c r="AB275" s="91" t="inlineStr">
        <is>
          <t>R9264 M1821N</t>
        </is>
      </c>
      <c r="AC275" s="91" t="inlineStr">
        <is>
          <t>A9652 S35*3+R9264H M901821*3+R9254E S8500*2+R9264 M1821N*1</t>
        </is>
      </c>
    </row>
    <row r="276" hidden="1" ht="15" customHeight="1" s="99">
      <c r="A276" t="inlineStr">
        <is>
          <t>GMGAM2</t>
        </is>
      </c>
      <c r="C276" s="89" t="inlineStr">
        <is>
          <t>Huawei</t>
        </is>
      </c>
      <c r="F276" t="n">
        <v>7.08764</v>
      </c>
      <c r="G276" t="n">
        <v>80.0095</v>
      </c>
      <c r="H276" t="inlineStr">
        <is>
          <t>GMGAM2B</t>
        </is>
      </c>
      <c r="J276" s="91">
        <f>RIGHT(H276,1)</f>
        <v/>
      </c>
      <c r="K276" t="inlineStr">
        <is>
          <t>S2</t>
        </is>
      </c>
      <c r="L276" s="91" t="inlineStr">
        <is>
          <t>2G</t>
        </is>
      </c>
      <c r="M276" t="n">
        <v>900</v>
      </c>
      <c r="N276" s="91" t="inlineStr">
        <is>
          <t>AQU4518R9v06</t>
        </is>
      </c>
      <c r="P276" t="n">
        <v>120</v>
      </c>
      <c r="R276" s="92" t="n">
        <v>2</v>
      </c>
      <c r="AB276" s="91" t="inlineStr">
        <is>
          <t>R9264H M901821</t>
        </is>
      </c>
      <c r="AC276" s="91" t="inlineStr">
        <is>
          <t>A9652 S35*3+R9264H M901821*3+R9254E S8500*2+R9264 M1821N*1</t>
        </is>
      </c>
      <c r="AD276" s="91">
        <f>_xlfn.XLOOKUP(AE276,[4]透视表!$G:$G,[4]透视表!$D:$D)</f>
        <v/>
      </c>
      <c r="AE276" s="91">
        <f>A276&amp;K276</f>
        <v/>
      </c>
      <c r="AL276" s="91" t="inlineStr">
        <is>
          <t>高优先级</t>
        </is>
      </c>
    </row>
    <row r="277" hidden="1" ht="15" customHeight="1" s="99">
      <c r="A277" t="inlineStr">
        <is>
          <t>GMGAM2</t>
        </is>
      </c>
      <c r="C277" s="89" t="inlineStr">
        <is>
          <t>Huawei</t>
        </is>
      </c>
      <c r="F277" t="n">
        <v>7.08764</v>
      </c>
      <c r="G277" t="n">
        <v>80.0095</v>
      </c>
      <c r="H277" t="inlineStr">
        <is>
          <t>GMGAM2Q</t>
        </is>
      </c>
      <c r="J277" s="91">
        <f>RIGHT(H277,1)</f>
        <v/>
      </c>
      <c r="K277" t="inlineStr">
        <is>
          <t>S2</t>
        </is>
      </c>
      <c r="L277" s="91" t="inlineStr">
        <is>
          <t>2G</t>
        </is>
      </c>
      <c r="M277" t="n">
        <v>1800</v>
      </c>
      <c r="N277" s="91" t="inlineStr">
        <is>
          <t>AQU4518R9v06</t>
        </is>
      </c>
      <c r="P277" t="n">
        <v>120</v>
      </c>
      <c r="R277" s="92" t="n">
        <v>2</v>
      </c>
      <c r="AB277" s="91" t="inlineStr">
        <is>
          <t>R9264H M901821</t>
        </is>
      </c>
      <c r="AC277" s="91" t="inlineStr">
        <is>
          <t>A9652 S35*3+R9264H M901821*3+R9254E S8500*2+R9264 M1821N*1</t>
        </is>
      </c>
      <c r="AD277" s="91">
        <f>_xlfn.XLOOKUP(AE277,[4]透视表!$G:$G,[4]透视表!$E:$E)</f>
        <v/>
      </c>
      <c r="AE277" s="91">
        <f>A277&amp;K277</f>
        <v/>
      </c>
      <c r="AL277" s="91" t="inlineStr">
        <is>
          <t>高优先级</t>
        </is>
      </c>
    </row>
    <row r="278" hidden="1" ht="15" customHeight="1" s="99">
      <c r="A278" t="inlineStr">
        <is>
          <t>GMGAM2</t>
        </is>
      </c>
      <c r="B278" t="inlineStr">
        <is>
          <t>GMGAM2_GUL00_GAMPAHA_Gm</t>
        </is>
      </c>
      <c r="C278" s="89" t="inlineStr">
        <is>
          <t>Huawei</t>
        </is>
      </c>
      <c r="F278" t="n">
        <v>7.08764</v>
      </c>
      <c r="G278" t="n">
        <v>80.0095</v>
      </c>
      <c r="H278" t="inlineStr">
        <is>
          <t>GMGAM2-M-L85-B1</t>
        </is>
      </c>
      <c r="J278" s="91">
        <f>LEFT(RIGHT(H278,2),1)</f>
        <v/>
      </c>
      <c r="K278" s="91">
        <f>_xlfn.XLOOKUP(J278,#REF!,#REF!)</f>
        <v/>
      </c>
      <c r="L278" s="91" t="inlineStr">
        <is>
          <t>4G</t>
        </is>
      </c>
      <c r="M278" s="91" t="n">
        <v>850</v>
      </c>
      <c r="N278" s="91" t="inlineStr">
        <is>
          <t>AQU4518R9v06</t>
        </is>
      </c>
      <c r="O278" s="92" t="n">
        <v>50</v>
      </c>
      <c r="P278" t="n">
        <v>120</v>
      </c>
      <c r="R278" s="92" t="n">
        <v>0</v>
      </c>
      <c r="Y278" t="inlineStr">
        <is>
          <t>2T2R</t>
        </is>
      </c>
      <c r="AB278" s="91" t="inlineStr">
        <is>
          <t>R9254E S8500</t>
        </is>
      </c>
      <c r="AC278" s="91" t="inlineStr">
        <is>
          <t>A9652 S35*3+R9264H M901821*3+R9254E S8500*2+R9264 M1821N*1</t>
        </is>
      </c>
      <c r="AD278" s="91">
        <f>_xlfn.XLOOKUP(AE278,[4]透视表!$G:$G,[4]透视表!$D:$D)</f>
        <v/>
      </c>
      <c r="AE278" s="91">
        <f>A278&amp;K278</f>
        <v/>
      </c>
      <c r="AL278" s="91" t="inlineStr">
        <is>
          <t>高优先级</t>
        </is>
      </c>
    </row>
    <row r="279" hidden="1" ht="15" customHeight="1" s="99">
      <c r="A279" t="inlineStr">
        <is>
          <t>GMGAM2</t>
        </is>
      </c>
      <c r="B279" t="inlineStr">
        <is>
          <t>GMGAM2_GUL00_GAMPAHA_Gm</t>
        </is>
      </c>
      <c r="C279" s="89" t="inlineStr">
        <is>
          <t>Huawei</t>
        </is>
      </c>
      <c r="F279" t="n">
        <v>7.08764</v>
      </c>
      <c r="G279" t="n">
        <v>80.0095</v>
      </c>
      <c r="H279" t="inlineStr">
        <is>
          <t>GMGAM2H</t>
        </is>
      </c>
      <c r="J279" s="91">
        <f>RIGHT(H279,1)</f>
        <v/>
      </c>
      <c r="K279" s="91">
        <f>_xlfn.XLOOKUP(J279,#REF!,#REF!)</f>
        <v/>
      </c>
      <c r="L279" s="91" t="inlineStr">
        <is>
          <t>4G</t>
        </is>
      </c>
      <c r="M279" s="91" t="n">
        <v>1800</v>
      </c>
      <c r="N279" s="91" t="inlineStr">
        <is>
          <t>AQU4518R9v06</t>
        </is>
      </c>
      <c r="O279" s="92" t="n">
        <v>50</v>
      </c>
      <c r="P279" t="n">
        <v>120</v>
      </c>
      <c r="R279" s="92" t="n">
        <v>0</v>
      </c>
      <c r="Y279" t="inlineStr">
        <is>
          <t>2T2R</t>
        </is>
      </c>
      <c r="AB279" s="91" t="inlineStr">
        <is>
          <t>R9264H M901821</t>
        </is>
      </c>
      <c r="AC279" s="91" t="inlineStr">
        <is>
          <t>A9652 S35*3+R9264H M901821*3+R9254E S8500*2+R9264 M1821N*1</t>
        </is>
      </c>
      <c r="AD279" s="91">
        <f>_xlfn.XLOOKUP(AE279,[4]透视表!$G:$G,[4]透视表!$E:$E)</f>
        <v/>
      </c>
      <c r="AE279" s="91">
        <f>A279&amp;K279</f>
        <v/>
      </c>
      <c r="AL279" s="91" t="inlineStr">
        <is>
          <t>高优先级</t>
        </is>
      </c>
    </row>
    <row r="280" hidden="1" ht="15" customHeight="1" s="99">
      <c r="A280" t="inlineStr">
        <is>
          <t>GMGAM2</t>
        </is>
      </c>
      <c r="B280" t="inlineStr">
        <is>
          <t>GMGAM2_GUL00_GAMPAHA_Gm</t>
        </is>
      </c>
      <c r="C280" s="89" t="inlineStr">
        <is>
          <t>Huawei</t>
        </is>
      </c>
      <c r="F280" t="n">
        <v>7.08764</v>
      </c>
      <c r="G280" t="n">
        <v>80.0095</v>
      </c>
      <c r="H280" t="inlineStr">
        <is>
          <t>GMGAM2-M-L21-B2</t>
        </is>
      </c>
      <c r="J280" s="91">
        <f>LEFT(RIGHT(H280,2),1)</f>
        <v/>
      </c>
      <c r="K280" s="91">
        <f>_xlfn.XLOOKUP(J280,#REF!,#REF!)</f>
        <v/>
      </c>
      <c r="L280" s="91" t="inlineStr">
        <is>
          <t>4G</t>
        </is>
      </c>
      <c r="M280" s="91" t="n">
        <v>2100</v>
      </c>
      <c r="N280" s="91" t="inlineStr">
        <is>
          <t>AQU4518R9v06</t>
        </is>
      </c>
      <c r="O280" s="92" t="n">
        <v>50</v>
      </c>
      <c r="P280" t="n">
        <v>120</v>
      </c>
      <c r="R280" s="92" t="n">
        <v>0</v>
      </c>
      <c r="Y280" t="inlineStr">
        <is>
          <t>2T2R</t>
        </is>
      </c>
      <c r="AB280" s="91" t="inlineStr">
        <is>
          <t>R9264H M901821</t>
        </is>
      </c>
      <c r="AC280" s="91" t="inlineStr">
        <is>
          <t>A9652 S35*3+R9264H M901821*3+R9254E S8500*2+R9264 M1821N*1</t>
        </is>
      </c>
      <c r="AD280" s="91">
        <f>_xlfn.XLOOKUP(AE280,[4]透视表!$G:$G,[4]透视表!$F:$F)</f>
        <v/>
      </c>
      <c r="AE280" s="91">
        <f>A280&amp;K280</f>
        <v/>
      </c>
      <c r="AL280" s="91" t="inlineStr">
        <is>
          <t>高优先级</t>
        </is>
      </c>
    </row>
    <row r="281" hidden="1" ht="15" customHeight="1" s="99">
      <c r="A281" t="inlineStr">
        <is>
          <t>GMGAM2</t>
        </is>
      </c>
      <c r="C281" s="89" t="inlineStr">
        <is>
          <t>Huawei</t>
        </is>
      </c>
      <c r="F281" t="n">
        <v>7.08764</v>
      </c>
      <c r="G281" t="n">
        <v>80.0095</v>
      </c>
      <c r="H281" t="inlineStr">
        <is>
          <t>GMGAM2C</t>
        </is>
      </c>
      <c r="J281" s="91">
        <f>RIGHT(H281,1)</f>
        <v/>
      </c>
      <c r="K281" t="inlineStr">
        <is>
          <t>S3</t>
        </is>
      </c>
      <c r="L281" s="91" t="inlineStr">
        <is>
          <t>2G</t>
        </is>
      </c>
      <c r="M281" t="n">
        <v>900</v>
      </c>
      <c r="N281" s="91" t="inlineStr">
        <is>
          <t>AQU4518R9v06</t>
        </is>
      </c>
      <c r="P281" t="n">
        <v>240</v>
      </c>
      <c r="R281" s="92" t="n">
        <v>2</v>
      </c>
      <c r="AB281" s="91" t="inlineStr">
        <is>
          <t>R9264H M901821</t>
        </is>
      </c>
      <c r="AC281" s="91" t="inlineStr">
        <is>
          <t>A9652 S35*3+R9264H M901821*3+R9254E S8500*2+R9264 M1821N*1</t>
        </is>
      </c>
      <c r="AD281" s="91">
        <f>_xlfn.XLOOKUP(AE281,[4]透视表!$G:$G,[4]透视表!$D:$D)</f>
        <v/>
      </c>
      <c r="AE281" s="91">
        <f>A281&amp;K281</f>
        <v/>
      </c>
      <c r="AL281" s="91" t="inlineStr">
        <is>
          <t>高优先级</t>
        </is>
      </c>
    </row>
    <row r="282" hidden="1" ht="15" customHeight="1" s="99">
      <c r="A282" t="inlineStr">
        <is>
          <t>GMGAM2</t>
        </is>
      </c>
      <c r="C282" s="89" t="inlineStr">
        <is>
          <t>Huawei</t>
        </is>
      </c>
      <c r="F282" t="n">
        <v>7.08764</v>
      </c>
      <c r="G282" t="n">
        <v>80.0095</v>
      </c>
      <c r="H282" t="inlineStr">
        <is>
          <t>GMGAM2R</t>
        </is>
      </c>
      <c r="J282" s="91">
        <f>RIGHT(H282,1)</f>
        <v/>
      </c>
      <c r="K282" t="inlineStr">
        <is>
          <t>S3</t>
        </is>
      </c>
      <c r="L282" s="91" t="inlineStr">
        <is>
          <t>2G</t>
        </is>
      </c>
      <c r="M282" t="n">
        <v>1800</v>
      </c>
      <c r="N282" s="91" t="inlineStr">
        <is>
          <t>AQU4518R9v06</t>
        </is>
      </c>
      <c r="P282" t="n">
        <v>240</v>
      </c>
      <c r="R282" s="92" t="n">
        <v>2</v>
      </c>
      <c r="AB282" s="91" t="inlineStr">
        <is>
          <t>R9264H M901821</t>
        </is>
      </c>
      <c r="AC282" s="91" t="inlineStr">
        <is>
          <t>A9652 S35*3+R9264H M901821*3+R9254E S8500*2+R9264 M1821N*1</t>
        </is>
      </c>
      <c r="AD282" s="91">
        <f>_xlfn.XLOOKUP(AE282,[4]透视表!$G:$G,[4]透视表!$E:$E)</f>
        <v/>
      </c>
      <c r="AE282" s="91">
        <f>A282&amp;K282</f>
        <v/>
      </c>
      <c r="AL282" s="91" t="inlineStr">
        <is>
          <t>高优先级</t>
        </is>
      </c>
    </row>
    <row r="283" hidden="1" ht="15" customHeight="1" s="99">
      <c r="A283" t="inlineStr">
        <is>
          <t>GMGAM2</t>
        </is>
      </c>
      <c r="B283" t="inlineStr">
        <is>
          <t>GMGAM2_GUL00_GAMPAHA_Gm</t>
        </is>
      </c>
      <c r="C283" s="89" t="inlineStr">
        <is>
          <t>Huawei</t>
        </is>
      </c>
      <c r="F283" t="n">
        <v>7.08764</v>
      </c>
      <c r="G283" t="n">
        <v>80.0095</v>
      </c>
      <c r="H283" t="inlineStr">
        <is>
          <t>GMGAM2-M-L85-C1</t>
        </is>
      </c>
      <c r="J283" s="91">
        <f>LEFT(RIGHT(H283,2),1)</f>
        <v/>
      </c>
      <c r="K283" s="91">
        <f>_xlfn.XLOOKUP(J283,#REF!,#REF!)</f>
        <v/>
      </c>
      <c r="L283" s="91" t="inlineStr">
        <is>
          <t>4G</t>
        </is>
      </c>
      <c r="M283" s="91" t="n">
        <v>850</v>
      </c>
      <c r="N283" s="91" t="inlineStr">
        <is>
          <t>AQU4518R9v06</t>
        </is>
      </c>
      <c r="O283" s="92" t="n">
        <v>50</v>
      </c>
      <c r="P283" t="n">
        <v>240</v>
      </c>
      <c r="R283" s="92" t="n">
        <v>0</v>
      </c>
      <c r="Y283" t="inlineStr">
        <is>
          <t>2T2R</t>
        </is>
      </c>
      <c r="AB283" s="91" t="inlineStr">
        <is>
          <t>R9254E S8500</t>
        </is>
      </c>
      <c r="AC283" s="91" t="inlineStr">
        <is>
          <t>A9652 S35*3+R9264H M901821*3+R9254E S8500*2+R9264 M1821N*1</t>
        </is>
      </c>
      <c r="AD283" s="91">
        <f>_xlfn.XLOOKUP(AE283,[4]透视表!$G:$G,[4]透视表!$D:$D)</f>
        <v/>
      </c>
      <c r="AE283" s="91">
        <f>A283&amp;K283</f>
        <v/>
      </c>
      <c r="AL283" s="91" t="inlineStr">
        <is>
          <t>高优先级</t>
        </is>
      </c>
    </row>
    <row r="284" hidden="1" ht="15" customHeight="1" s="99">
      <c r="A284" t="inlineStr">
        <is>
          <t>GMGAM2</t>
        </is>
      </c>
      <c r="B284" t="inlineStr">
        <is>
          <t>GMGAM2_GUL00_GAMPAHA_Gm</t>
        </is>
      </c>
      <c r="C284" s="89" t="inlineStr">
        <is>
          <t>Huawei</t>
        </is>
      </c>
      <c r="F284" t="n">
        <v>7.08764</v>
      </c>
      <c r="G284" t="n">
        <v>80.0095</v>
      </c>
      <c r="H284" t="inlineStr">
        <is>
          <t>GMGAM2I</t>
        </is>
      </c>
      <c r="J284" s="91">
        <f>RIGHT(H284,1)</f>
        <v/>
      </c>
      <c r="K284" s="91">
        <f>_xlfn.XLOOKUP(J284,#REF!,#REF!)</f>
        <v/>
      </c>
      <c r="L284" s="91" t="inlineStr">
        <is>
          <t>4G</t>
        </is>
      </c>
      <c r="M284" s="91" t="n">
        <v>1800</v>
      </c>
      <c r="N284" s="91" t="inlineStr">
        <is>
          <t>AQU4518R9v06</t>
        </is>
      </c>
      <c r="O284" s="92" t="n">
        <v>50</v>
      </c>
      <c r="P284" t="n">
        <v>240</v>
      </c>
      <c r="R284" s="92" t="n">
        <v>0</v>
      </c>
      <c r="Y284" t="inlineStr">
        <is>
          <t>4T4R</t>
        </is>
      </c>
      <c r="AB284" s="91" t="inlineStr">
        <is>
          <t>R9264H M901821</t>
        </is>
      </c>
      <c r="AC284" s="91" t="inlineStr">
        <is>
          <t>A9652 S35*3+R9264H M901821*3+R9254E S8500*2+R9264 M1821N*1</t>
        </is>
      </c>
      <c r="AD284" s="91">
        <f>_xlfn.XLOOKUP(AE284,[4]透视表!$G:$G,[4]透视表!$E:$E)</f>
        <v/>
      </c>
      <c r="AE284" s="91">
        <f>A284&amp;K284</f>
        <v/>
      </c>
      <c r="AL284" s="91" t="inlineStr">
        <is>
          <t>高优先级</t>
        </is>
      </c>
    </row>
    <row r="285" hidden="1" ht="15" customHeight="1" s="99">
      <c r="A285" t="inlineStr">
        <is>
          <t>GMGAM2</t>
        </is>
      </c>
      <c r="B285" t="inlineStr">
        <is>
          <t>GMGAM2_GUL00_GAMPAHA_Gm</t>
        </is>
      </c>
      <c r="C285" s="89" t="inlineStr">
        <is>
          <t>Huawei</t>
        </is>
      </c>
      <c r="F285" t="n">
        <v>7.08764</v>
      </c>
      <c r="G285" t="n">
        <v>80.0095</v>
      </c>
      <c r="H285" t="inlineStr">
        <is>
          <t>GMGAM2-M-L21-C2</t>
        </is>
      </c>
      <c r="J285" s="91">
        <f>LEFT(RIGHT(H285,2),1)</f>
        <v/>
      </c>
      <c r="K285" s="91">
        <f>_xlfn.XLOOKUP(J285,#REF!,#REF!)</f>
        <v/>
      </c>
      <c r="L285" s="91" t="inlineStr">
        <is>
          <t>4G</t>
        </is>
      </c>
      <c r="M285" s="91" t="n">
        <v>2100</v>
      </c>
      <c r="N285" s="91" t="inlineStr">
        <is>
          <t>AQU4518R9v06</t>
        </is>
      </c>
      <c r="O285" s="92" t="n">
        <v>50</v>
      </c>
      <c r="P285" t="n">
        <v>240</v>
      </c>
      <c r="R285" s="92" t="n">
        <v>0</v>
      </c>
      <c r="Y285" t="inlineStr">
        <is>
          <t>2T2R</t>
        </is>
      </c>
      <c r="AB285" s="91" t="inlineStr">
        <is>
          <t>R9264H M901821</t>
        </is>
      </c>
      <c r="AC285" s="91" t="inlineStr">
        <is>
          <t>A9652 S35*3+R9264H M901821*3+R9254E S8500*2+R9264 M1821N*1</t>
        </is>
      </c>
      <c r="AD285" s="91">
        <f>_xlfn.XLOOKUP(AE285,[4]透视表!$G:$G,[4]透视表!$F:$F)</f>
        <v/>
      </c>
      <c r="AE285" s="91">
        <f>A285&amp;K285</f>
        <v/>
      </c>
      <c r="AL285" s="91" t="inlineStr">
        <is>
          <t>高优先级</t>
        </is>
      </c>
    </row>
    <row r="286" hidden="1" ht="15" customHeight="1" s="99">
      <c r="A286" t="inlineStr">
        <is>
          <t>GMGAM3</t>
        </is>
      </c>
      <c r="C286" s="89" t="inlineStr">
        <is>
          <t>Huawei</t>
        </is>
      </c>
      <c r="F286" t="n">
        <v>7.1095</v>
      </c>
      <c r="G286" t="n">
        <v>79.9898</v>
      </c>
      <c r="H286" t="inlineStr">
        <is>
          <t>GMGAM3A</t>
        </is>
      </c>
      <c r="J286" s="91">
        <f>RIGHT(H286,1)</f>
        <v/>
      </c>
      <c r="K286" t="inlineStr">
        <is>
          <t>S1</t>
        </is>
      </c>
      <c r="L286" s="91" t="inlineStr">
        <is>
          <t>2G</t>
        </is>
      </c>
      <c r="M286" t="n">
        <v>900</v>
      </c>
      <c r="N286" s="91" t="inlineStr"/>
      <c r="P286" t="n">
        <v>0</v>
      </c>
      <c r="R286" s="92" t="n">
        <v>2</v>
      </c>
      <c r="AB286" s="91" t="inlineStr">
        <is>
          <t>R9264H M901821</t>
        </is>
      </c>
      <c r="AC286" s="91" t="inlineStr">
        <is>
          <t>A9652 S35*3+R9264H M901821*3+R9254E S8500*2+R9264 M1821N*2</t>
        </is>
      </c>
      <c r="AD286" s="91">
        <f>_xlfn.XLOOKUP(AE286,[4]透视表!$G:$G,[4]透视表!$D:$D)</f>
        <v/>
      </c>
      <c r="AE286" s="91">
        <f>A286&amp;K286</f>
        <v/>
      </c>
      <c r="AL286" s="91" t="inlineStr">
        <is>
          <t>高优先级</t>
        </is>
      </c>
    </row>
    <row r="287" hidden="1" ht="15" customHeight="1" s="99">
      <c r="A287" t="inlineStr">
        <is>
          <t>GMGAM3</t>
        </is>
      </c>
      <c r="C287" s="89" t="inlineStr">
        <is>
          <t>Huawei</t>
        </is>
      </c>
      <c r="F287" t="n">
        <v>7.1095</v>
      </c>
      <c r="G287" t="n">
        <v>79.9898</v>
      </c>
      <c r="H287" t="inlineStr">
        <is>
          <t>GMGAM3P</t>
        </is>
      </c>
      <c r="J287" s="91">
        <f>RIGHT(H287,1)</f>
        <v/>
      </c>
      <c r="K287" t="inlineStr">
        <is>
          <t>S1</t>
        </is>
      </c>
      <c r="L287" s="91" t="inlineStr">
        <is>
          <t>2G</t>
        </is>
      </c>
      <c r="M287" t="n">
        <v>1800</v>
      </c>
      <c r="N287" s="91" t="inlineStr"/>
      <c r="P287" t="n">
        <v>0</v>
      </c>
      <c r="R287" s="92" t="n">
        <v>2</v>
      </c>
      <c r="AB287" s="91" t="inlineStr">
        <is>
          <t>R9264H M901821</t>
        </is>
      </c>
      <c r="AC287" s="91" t="inlineStr">
        <is>
          <t>A9652 S35*3+R9264H M901821*3+R9254E S8500*2+R9264 M1821N*2</t>
        </is>
      </c>
      <c r="AD287" s="91">
        <f>_xlfn.XLOOKUP(AE287,[4]透视表!$G:$G,[4]透视表!$E:$E)</f>
        <v/>
      </c>
      <c r="AE287" s="91">
        <f>A287&amp;K287</f>
        <v/>
      </c>
      <c r="AL287" s="91" t="inlineStr">
        <is>
          <t>高优先级</t>
        </is>
      </c>
    </row>
    <row r="288" hidden="1" ht="15" customHeight="1" s="99">
      <c r="A288" t="inlineStr">
        <is>
          <t>GMGAM3</t>
        </is>
      </c>
      <c r="B288" t="inlineStr">
        <is>
          <t>GMGAM3_GUL00_Asgiriya_Gm</t>
        </is>
      </c>
      <c r="C288" s="89" t="inlineStr">
        <is>
          <t>Huawei</t>
        </is>
      </c>
      <c r="F288" t="n">
        <v>7.1095</v>
      </c>
      <c r="G288" t="n">
        <v>79.9898</v>
      </c>
      <c r="H288" t="inlineStr">
        <is>
          <t>GMGAM3-M-L85-A1</t>
        </is>
      </c>
      <c r="J288" s="91">
        <f>LEFT(RIGHT(H288,2),1)</f>
        <v/>
      </c>
      <c r="K288" s="91">
        <f>_xlfn.XLOOKUP(J288,#REF!,#REF!)</f>
        <v/>
      </c>
      <c r="L288" s="91" t="inlineStr">
        <is>
          <t>4G</t>
        </is>
      </c>
      <c r="M288" s="91" t="n">
        <v>850</v>
      </c>
      <c r="N288" s="91" t="inlineStr"/>
      <c r="O288" s="92" t="n">
        <v>50</v>
      </c>
      <c r="P288" t="n">
        <v>0</v>
      </c>
      <c r="R288" s="92" t="n">
        <v>0</v>
      </c>
      <c r="Y288" t="inlineStr">
        <is>
          <t>2T2R</t>
        </is>
      </c>
      <c r="AB288" s="91" t="inlineStr">
        <is>
          <t>R9254E S8500</t>
        </is>
      </c>
      <c r="AC288" s="91" t="inlineStr">
        <is>
          <t>A9652 S35*3+R9264H M901821*3+R9254E S8500*2+R9264 M1821N*2</t>
        </is>
      </c>
      <c r="AD288" s="91">
        <f>_xlfn.XLOOKUP(AE288,[4]透视表!$G:$G,[4]透视表!$D:$D)</f>
        <v/>
      </c>
      <c r="AE288" s="91">
        <f>A288&amp;K288</f>
        <v/>
      </c>
      <c r="AL288" s="91" t="inlineStr">
        <is>
          <t>高优先级</t>
        </is>
      </c>
    </row>
    <row r="289" hidden="1" ht="15" customHeight="1" s="99">
      <c r="A289" t="inlineStr">
        <is>
          <t>GMGAM3</t>
        </is>
      </c>
      <c r="B289" t="inlineStr">
        <is>
          <t>GMGAM3_GUL00_Asgiriya_Gm</t>
        </is>
      </c>
      <c r="C289" s="89" t="inlineStr">
        <is>
          <t>Huawei</t>
        </is>
      </c>
      <c r="F289" t="n">
        <v>7.1095</v>
      </c>
      <c r="G289" t="n">
        <v>79.9898</v>
      </c>
      <c r="H289" t="inlineStr">
        <is>
          <t>GMGAM3G</t>
        </is>
      </c>
      <c r="J289" s="91">
        <f>RIGHT(H289,1)</f>
        <v/>
      </c>
      <c r="K289" s="91">
        <f>_xlfn.XLOOKUP(J289,#REF!,#REF!)</f>
        <v/>
      </c>
      <c r="L289" s="91" t="inlineStr">
        <is>
          <t>4G</t>
        </is>
      </c>
      <c r="M289" s="91" t="n">
        <v>1800</v>
      </c>
      <c r="N289" s="91" t="inlineStr"/>
      <c r="O289" s="92" t="n">
        <v>50</v>
      </c>
      <c r="P289" t="n">
        <v>0</v>
      </c>
      <c r="R289" s="92" t="n">
        <v>0</v>
      </c>
      <c r="Y289" t="inlineStr">
        <is>
          <t>4T4R</t>
        </is>
      </c>
      <c r="AB289" s="91" t="inlineStr">
        <is>
          <t>R9264H M901821</t>
        </is>
      </c>
      <c r="AC289" s="91" t="inlineStr">
        <is>
          <t>A9652 S35*3+R9264H M901821*3+R9254E S8500*2+R9264 M1821N*2</t>
        </is>
      </c>
      <c r="AD289" s="91">
        <f>_xlfn.XLOOKUP(AE289,[4]透视表!$G:$G,[4]透视表!$E:$E)</f>
        <v/>
      </c>
      <c r="AE289" s="91">
        <f>A289&amp;K289</f>
        <v/>
      </c>
      <c r="AL289" s="91" t="inlineStr">
        <is>
          <t>高优先级</t>
        </is>
      </c>
    </row>
    <row r="290" hidden="1" ht="15" customHeight="1" s="99">
      <c r="A290" t="inlineStr">
        <is>
          <t>GMGAM3</t>
        </is>
      </c>
      <c r="B290" t="inlineStr">
        <is>
          <t>GMGAM3_GUL00_Asgiriya_Gm</t>
        </is>
      </c>
      <c r="C290" s="89" t="inlineStr">
        <is>
          <t>Huawei</t>
        </is>
      </c>
      <c r="F290" t="n">
        <v>7.1095</v>
      </c>
      <c r="G290" t="n">
        <v>79.9898</v>
      </c>
      <c r="H290" t="inlineStr">
        <is>
          <t>GMGAM3-M-L21-A2</t>
        </is>
      </c>
      <c r="J290" s="91">
        <f>LEFT(RIGHT(H290,2),1)</f>
        <v/>
      </c>
      <c r="K290" s="91">
        <f>_xlfn.XLOOKUP(J290,#REF!,#REF!)</f>
        <v/>
      </c>
      <c r="L290" s="91" t="inlineStr">
        <is>
          <t>4G</t>
        </is>
      </c>
      <c r="M290" s="91" t="n">
        <v>2100</v>
      </c>
      <c r="N290" s="91" t="inlineStr">
        <is>
          <t>AQU4518R9v06</t>
        </is>
      </c>
      <c r="O290" s="92" t="n">
        <v>50</v>
      </c>
      <c r="P290" t="n">
        <v>0</v>
      </c>
      <c r="R290" s="92" t="n">
        <v>0</v>
      </c>
      <c r="Y290" t="inlineStr">
        <is>
          <t>2T2R</t>
        </is>
      </c>
      <c r="AB290" s="91" t="inlineStr">
        <is>
          <t>R9264H M901821</t>
        </is>
      </c>
      <c r="AC290" s="91" t="inlineStr">
        <is>
          <t>A9652 S35*3+R9264H M901821*3+R9254E S8500*2+R9264 M1821N*2</t>
        </is>
      </c>
      <c r="AD290" s="91">
        <f>_xlfn.XLOOKUP(AE290,[4]透视表!$G:$G,[4]透视表!$F:$F)</f>
        <v/>
      </c>
      <c r="AE290" s="91">
        <f>A290&amp;K290</f>
        <v/>
      </c>
      <c r="AL290" s="91" t="inlineStr">
        <is>
          <t>高优先级</t>
        </is>
      </c>
    </row>
    <row r="291" hidden="1" ht="15" customHeight="1" s="99">
      <c r="A291" t="inlineStr">
        <is>
          <t>GMGAM3</t>
        </is>
      </c>
      <c r="C291" s="89" t="inlineStr">
        <is>
          <t>Huawei</t>
        </is>
      </c>
      <c r="F291" t="n">
        <v>7.1095</v>
      </c>
      <c r="G291" t="n">
        <v>79.9898</v>
      </c>
      <c r="H291" t="inlineStr">
        <is>
          <t>GMGAM3B</t>
        </is>
      </c>
      <c r="J291" s="91">
        <f>RIGHT(H291,1)</f>
        <v/>
      </c>
      <c r="K291" t="inlineStr">
        <is>
          <t>S2</t>
        </is>
      </c>
      <c r="L291" s="91" t="inlineStr">
        <is>
          <t>2G</t>
        </is>
      </c>
      <c r="M291" t="n">
        <v>900</v>
      </c>
      <c r="N291" s="91" t="inlineStr">
        <is>
          <t>A10244PD00v06</t>
        </is>
      </c>
      <c r="P291" t="n">
        <v>120</v>
      </c>
      <c r="R291" s="92" t="n">
        <v>2</v>
      </c>
      <c r="AB291" s="91" t="inlineStr">
        <is>
          <t>R9264H M901821</t>
        </is>
      </c>
      <c r="AC291" s="91" t="inlineStr">
        <is>
          <t>A9652 S35*3+R9264H M901821*3+R9254E S8500*2+R9264 M1821N*2</t>
        </is>
      </c>
      <c r="AD291" s="91" t="inlineStr">
        <is>
          <t>2G2W4RBF-27CZ</t>
        </is>
      </c>
      <c r="AE291" s="91">
        <f>A291&amp;K291</f>
        <v/>
      </c>
      <c r="AL291" s="91" t="inlineStr">
        <is>
          <t>高优先级</t>
        </is>
      </c>
    </row>
    <row r="292" hidden="1" ht="15" customHeight="1" s="99">
      <c r="A292" t="inlineStr">
        <is>
          <t>GMGAM3</t>
        </is>
      </c>
      <c r="C292" s="89" t="inlineStr">
        <is>
          <t>Huawei</t>
        </is>
      </c>
      <c r="F292" t="n">
        <v>7.1095</v>
      </c>
      <c r="G292" t="n">
        <v>79.9898</v>
      </c>
      <c r="H292" t="inlineStr">
        <is>
          <t>GMGAM3Q</t>
        </is>
      </c>
      <c r="J292" s="91">
        <f>RIGHT(H292,1)</f>
        <v/>
      </c>
      <c r="K292" t="inlineStr">
        <is>
          <t>S2</t>
        </is>
      </c>
      <c r="L292" s="91" t="inlineStr">
        <is>
          <t>2G</t>
        </is>
      </c>
      <c r="M292" t="n">
        <v>1800</v>
      </c>
      <c r="N292" s="91" t="inlineStr">
        <is>
          <t>A10244PD00v06</t>
        </is>
      </c>
      <c r="P292" t="n">
        <v>120</v>
      </c>
      <c r="R292" s="92" t="n">
        <v>2</v>
      </c>
      <c r="AB292" s="91" t="inlineStr">
        <is>
          <t>R9264H M901821</t>
        </is>
      </c>
      <c r="AC292" s="91" t="inlineStr">
        <is>
          <t>A9652 S35*3+R9264H M901821*3+R9254E S8500*2+R9264 M1821N*2</t>
        </is>
      </c>
      <c r="AD292" s="91" t="inlineStr">
        <is>
          <t>AMB4519R6v06</t>
        </is>
      </c>
      <c r="AE292" s="91">
        <f>A292&amp;K292</f>
        <v/>
      </c>
      <c r="AL292" s="91" t="inlineStr">
        <is>
          <t>高优先级</t>
        </is>
      </c>
    </row>
    <row r="293" hidden="1" ht="15" customHeight="1" s="99">
      <c r="A293" t="inlineStr">
        <is>
          <t>GMGAM3</t>
        </is>
      </c>
      <c r="C293" s="89" t="inlineStr">
        <is>
          <t>Huawei</t>
        </is>
      </c>
      <c r="F293" t="n">
        <v>7.1095</v>
      </c>
      <c r="G293" t="n">
        <v>79.9898</v>
      </c>
      <c r="I293" t="inlineStr">
        <is>
          <t>GMGAM3S</t>
        </is>
      </c>
      <c r="J293" s="91" t="inlineStr">
        <is>
          <t>Q</t>
        </is>
      </c>
      <c r="K293" s="91" t="inlineStr">
        <is>
          <t>S2</t>
        </is>
      </c>
      <c r="L293" s="91" t="inlineStr">
        <is>
          <t>2G</t>
        </is>
      </c>
      <c r="M293" s="91" t="n">
        <v>1800</v>
      </c>
      <c r="N293" s="91" t="inlineStr">
        <is>
          <t>A10244PD00v06</t>
        </is>
      </c>
      <c r="P293" t="n">
        <v>120</v>
      </c>
      <c r="R293" s="92" t="n">
        <v>2</v>
      </c>
      <c r="AB293" s="91" t="inlineStr">
        <is>
          <t>R9264H M901821</t>
        </is>
      </c>
      <c r="AC293" s="91" t="inlineStr">
        <is>
          <t>A9652 S35*3+R9264H M901821*3+R9254E S8500*2+R9264 M1821N*2</t>
        </is>
      </c>
      <c r="AD293" s="91" t="inlineStr">
        <is>
          <t>AMB4519R6v06</t>
        </is>
      </c>
      <c r="AE293" s="91" t="inlineStr">
        <is>
          <t>GMGAM3S2</t>
        </is>
      </c>
      <c r="AL293" s="91" t="inlineStr">
        <is>
          <t>高优先级</t>
        </is>
      </c>
    </row>
    <row r="294" hidden="1" ht="15" customHeight="1" s="99">
      <c r="A294" t="inlineStr">
        <is>
          <t>GMGAM3</t>
        </is>
      </c>
      <c r="B294" t="inlineStr">
        <is>
          <t>GMGAM3_GUL00_Asgiriya_Gm</t>
        </is>
      </c>
      <c r="C294" s="89" t="inlineStr">
        <is>
          <t>Huawei</t>
        </is>
      </c>
      <c r="F294" t="n">
        <v>7.1095</v>
      </c>
      <c r="G294" t="n">
        <v>79.9898</v>
      </c>
      <c r="H294" t="inlineStr">
        <is>
          <t>GMGAM3-M-L85-B1</t>
        </is>
      </c>
      <c r="J294" s="91">
        <f>LEFT(RIGHT(H294,2),1)</f>
        <v/>
      </c>
      <c r="K294" s="91">
        <f>_xlfn.XLOOKUP(J294,#REF!,#REF!)</f>
        <v/>
      </c>
      <c r="L294" s="91" t="inlineStr">
        <is>
          <t>4G</t>
        </is>
      </c>
      <c r="M294" s="91" t="n">
        <v>850</v>
      </c>
      <c r="N294" s="91" t="inlineStr">
        <is>
          <t>A10244PD00v06</t>
        </is>
      </c>
      <c r="O294" s="92" t="n">
        <v>50</v>
      </c>
      <c r="P294" t="n">
        <v>120</v>
      </c>
      <c r="R294" s="92" t="n">
        <v>0</v>
      </c>
      <c r="Y294" t="inlineStr">
        <is>
          <t>2T2R</t>
        </is>
      </c>
      <c r="AB294" s="91" t="inlineStr">
        <is>
          <t>R9254E S8500</t>
        </is>
      </c>
      <c r="AC294" s="91" t="inlineStr">
        <is>
          <t>A9652 S35*3+R9264H M901821*3+R9254E S8500*2+R9264 M1821N*2</t>
        </is>
      </c>
      <c r="AD294" s="91" t="inlineStr">
        <is>
          <t>2G2W4RBF-27CZ</t>
        </is>
      </c>
      <c r="AE294" s="91">
        <f>A294&amp;K294</f>
        <v/>
      </c>
      <c r="AL294" s="91" t="inlineStr">
        <is>
          <t>高优先级</t>
        </is>
      </c>
    </row>
    <row r="295" hidden="1" ht="15" customHeight="1" s="99">
      <c r="A295" t="inlineStr">
        <is>
          <t>GMGAM3</t>
        </is>
      </c>
      <c r="B295" t="inlineStr">
        <is>
          <t>GMGAM3_GUL00_Asgiriya_Gm</t>
        </is>
      </c>
      <c r="C295" s="89" t="inlineStr">
        <is>
          <t>Huawei</t>
        </is>
      </c>
      <c r="F295" t="n">
        <v>7.1095</v>
      </c>
      <c r="G295" t="n">
        <v>79.9898</v>
      </c>
      <c r="H295" t="inlineStr">
        <is>
          <t>GMGAM3-M-L18-H1</t>
        </is>
      </c>
      <c r="J295" s="91">
        <f>LEFT(RIGHT(H295,2),1)</f>
        <v/>
      </c>
      <c r="K295" s="91">
        <f>_xlfn.XLOOKUP(J295,#REF!,#REF!)</f>
        <v/>
      </c>
      <c r="L295" s="91" t="inlineStr">
        <is>
          <t>4G</t>
        </is>
      </c>
      <c r="M295" s="91" t="n">
        <v>1800</v>
      </c>
      <c r="N295" s="91" t="inlineStr">
        <is>
          <t>A10244PD00v06</t>
        </is>
      </c>
      <c r="O295" s="92" t="n">
        <v>50</v>
      </c>
      <c r="P295" t="n">
        <v>120</v>
      </c>
      <c r="R295" s="92" t="n">
        <v>0</v>
      </c>
      <c r="Y295" t="inlineStr">
        <is>
          <t>8T8R</t>
        </is>
      </c>
      <c r="AB295" s="91" t="inlineStr">
        <is>
          <t>R9264H M901821</t>
        </is>
      </c>
      <c r="AC295" s="91" t="inlineStr">
        <is>
          <t>A9652 S35*3+R9264H M901821*3+R9254E S8500*2+R9264 M1821N*2</t>
        </is>
      </c>
      <c r="AD295" s="91" t="inlineStr">
        <is>
          <t>AMB4519R6v06</t>
        </is>
      </c>
      <c r="AE295" s="91">
        <f>A295&amp;K295</f>
        <v/>
      </c>
      <c r="AL295" s="91" t="inlineStr">
        <is>
          <t>高优先级</t>
        </is>
      </c>
    </row>
    <row r="296" hidden="1" ht="15" customHeight="1" s="99">
      <c r="A296" t="inlineStr">
        <is>
          <t>GMGAM3</t>
        </is>
      </c>
      <c r="B296" t="inlineStr">
        <is>
          <t>GMGAM3_GUL00_Asgiriya_Gm</t>
        </is>
      </c>
      <c r="C296" s="89" t="inlineStr">
        <is>
          <t>Huawei</t>
        </is>
      </c>
      <c r="F296" t="n">
        <v>7.1095</v>
      </c>
      <c r="G296" t="n">
        <v>79.9898</v>
      </c>
      <c r="H296" t="inlineStr">
        <is>
          <t>GMGAM3H</t>
        </is>
      </c>
      <c r="J296" s="91">
        <f>RIGHT(H296,1)</f>
        <v/>
      </c>
      <c r="K296" s="91">
        <f>_xlfn.XLOOKUP(J296,#REF!,#REF!)</f>
        <v/>
      </c>
      <c r="L296" s="91" t="inlineStr">
        <is>
          <t>4G</t>
        </is>
      </c>
      <c r="M296" s="91" t="n">
        <v>1800</v>
      </c>
      <c r="N296" s="91" t="inlineStr">
        <is>
          <t>A10244PD00v06</t>
        </is>
      </c>
      <c r="O296" s="92" t="n">
        <v>50</v>
      </c>
      <c r="P296" t="n">
        <v>120</v>
      </c>
      <c r="R296" s="92" t="n">
        <v>0</v>
      </c>
      <c r="Y296" t="inlineStr">
        <is>
          <t>8T8R</t>
        </is>
      </c>
      <c r="AB296" s="91" t="inlineStr">
        <is>
          <t>R9264 M1821N</t>
        </is>
      </c>
      <c r="AC296" s="91" t="inlineStr">
        <is>
          <t>A9652 S35*3+R9264H M901821*3+R9254E S8500*2+R9264 M1821N*2</t>
        </is>
      </c>
      <c r="AD296" s="91" t="inlineStr">
        <is>
          <t>AMB4519R6v06</t>
        </is>
      </c>
      <c r="AE296" s="91">
        <f>A296&amp;K296</f>
        <v/>
      </c>
      <c r="AL296" s="91" t="inlineStr">
        <is>
          <t>高优先级</t>
        </is>
      </c>
    </row>
    <row r="297" hidden="1" ht="15" customHeight="1" s="99">
      <c r="A297" t="inlineStr">
        <is>
          <t>GMGAM3</t>
        </is>
      </c>
      <c r="B297" t="inlineStr">
        <is>
          <t>GMGAM3_GUL00_Asgiriya_Gm</t>
        </is>
      </c>
      <c r="C297" s="89" t="inlineStr">
        <is>
          <t>Huawei</t>
        </is>
      </c>
      <c r="F297" t="n">
        <v>7.1095</v>
      </c>
      <c r="G297" t="n">
        <v>79.9898</v>
      </c>
      <c r="H297" t="inlineStr">
        <is>
          <t>GMGAM3-M-L21-B2</t>
        </is>
      </c>
      <c r="J297" s="91">
        <f>LEFT(RIGHT(H297,2),1)</f>
        <v/>
      </c>
      <c r="K297" s="91">
        <f>_xlfn.XLOOKUP(J297,#REF!,#REF!)</f>
        <v/>
      </c>
      <c r="L297" s="91" t="inlineStr">
        <is>
          <t>4G</t>
        </is>
      </c>
      <c r="M297" s="91" t="n">
        <v>2100</v>
      </c>
      <c r="N297" s="91" t="inlineStr">
        <is>
          <t>AQU4518R9v06</t>
        </is>
      </c>
      <c r="O297" s="92" t="n">
        <v>50</v>
      </c>
      <c r="P297" t="n">
        <v>120</v>
      </c>
      <c r="R297" s="92" t="n">
        <v>0</v>
      </c>
      <c r="Y297" t="inlineStr">
        <is>
          <t>8T8R</t>
        </is>
      </c>
      <c r="AB297" s="91" t="inlineStr">
        <is>
          <t>R9264H M901821</t>
        </is>
      </c>
      <c r="AC297" s="91" t="inlineStr">
        <is>
          <t>A9652 S35*3+R9264H M901821*3+R9254E S8500*2+R9264 M1821N*2</t>
        </is>
      </c>
      <c r="AD297" s="91" t="inlineStr">
        <is>
          <t>AMB4519R6v06</t>
        </is>
      </c>
      <c r="AE297" s="91">
        <f>A297&amp;K297</f>
        <v/>
      </c>
      <c r="AL297" s="91" t="inlineStr">
        <is>
          <t>高优先级</t>
        </is>
      </c>
    </row>
    <row r="298" hidden="1" ht="15" customHeight="1" s="99">
      <c r="A298" t="inlineStr">
        <is>
          <t>GMGAM3</t>
        </is>
      </c>
      <c r="B298" t="inlineStr">
        <is>
          <t>GMGAM3_GUL00_Asgiriya_Gm</t>
        </is>
      </c>
      <c r="C298" s="89" t="inlineStr">
        <is>
          <t>Huawei</t>
        </is>
      </c>
      <c r="F298" t="n">
        <v>7.1095</v>
      </c>
      <c r="G298" t="n">
        <v>79.9898</v>
      </c>
      <c r="H298" t="inlineStr">
        <is>
          <t>GMGAM3-M-L21-H1</t>
        </is>
      </c>
      <c r="J298" s="91">
        <f>LEFT(RIGHT(H298,2),1)</f>
        <v/>
      </c>
      <c r="K298" s="91">
        <f>_xlfn.XLOOKUP(J298,#REF!,#REF!)</f>
        <v/>
      </c>
      <c r="L298" s="91" t="inlineStr">
        <is>
          <t>4G</t>
        </is>
      </c>
      <c r="M298" s="91" t="n">
        <v>2100</v>
      </c>
      <c r="N298" s="91" t="inlineStr">
        <is>
          <t>AQU4518R9v06</t>
        </is>
      </c>
      <c r="O298" s="92" t="n">
        <v>50</v>
      </c>
      <c r="P298" t="n">
        <v>120</v>
      </c>
      <c r="R298" s="92" t="n">
        <v>0</v>
      </c>
      <c r="Y298" t="inlineStr">
        <is>
          <t>8T8R</t>
        </is>
      </c>
      <c r="AB298" s="91" t="inlineStr">
        <is>
          <t>R9264 M1821N</t>
        </is>
      </c>
      <c r="AC298" s="91" t="inlineStr">
        <is>
          <t>A9652 S35*3+R9264H M901821*3+R9254E S8500*2+R9264 M1821N*2</t>
        </is>
      </c>
      <c r="AD298" s="91" t="inlineStr">
        <is>
          <t>AMB4519R6v06</t>
        </is>
      </c>
      <c r="AE298" s="91">
        <f>A298&amp;K298</f>
        <v/>
      </c>
      <c r="AL298" s="91" t="inlineStr">
        <is>
          <t>高优先级</t>
        </is>
      </c>
    </row>
    <row r="299" hidden="1" ht="15" customHeight="1" s="99">
      <c r="A299" t="inlineStr">
        <is>
          <t>GMGAM3</t>
        </is>
      </c>
      <c r="C299" s="89" t="inlineStr">
        <is>
          <t>Huawei</t>
        </is>
      </c>
      <c r="F299" t="n">
        <v>7.1095</v>
      </c>
      <c r="G299" t="n">
        <v>79.9898</v>
      </c>
      <c r="H299" t="inlineStr">
        <is>
          <t>GMGAM3C</t>
        </is>
      </c>
      <c r="J299" s="91">
        <f>RIGHT(H299,1)</f>
        <v/>
      </c>
      <c r="K299" t="inlineStr">
        <is>
          <t>S3</t>
        </is>
      </c>
      <c r="L299" s="91" t="inlineStr">
        <is>
          <t>2G</t>
        </is>
      </c>
      <c r="M299" t="n">
        <v>900</v>
      </c>
      <c r="N299" s="91" t="inlineStr"/>
      <c r="P299" t="n">
        <v>240</v>
      </c>
      <c r="R299" s="92" t="n">
        <v>2</v>
      </c>
      <c r="AB299" s="91" t="inlineStr">
        <is>
          <t>R9264H M901821</t>
        </is>
      </c>
      <c r="AC299" s="91" t="inlineStr">
        <is>
          <t>A9652 S35*3+R9264H M901821*3+R9254E S8500*2+R9264 M1821N*2</t>
        </is>
      </c>
      <c r="AD299" s="91">
        <f>_xlfn.XLOOKUP(AE299,[4]透视表!$G:$G,[4]透视表!$D:$D)</f>
        <v/>
      </c>
      <c r="AE299" s="91">
        <f>A299&amp;K299</f>
        <v/>
      </c>
      <c r="AL299" s="91" t="inlineStr">
        <is>
          <t>高优先级</t>
        </is>
      </c>
    </row>
    <row r="300" hidden="1" ht="15" customHeight="1" s="99">
      <c r="A300" t="inlineStr">
        <is>
          <t>GMGAM3</t>
        </is>
      </c>
      <c r="C300" s="89" t="inlineStr">
        <is>
          <t>Huawei</t>
        </is>
      </c>
      <c r="F300" t="n">
        <v>7.1095</v>
      </c>
      <c r="G300" t="n">
        <v>79.9898</v>
      </c>
      <c r="H300" t="inlineStr">
        <is>
          <t>GMGAM3R</t>
        </is>
      </c>
      <c r="J300" s="91">
        <f>RIGHT(H300,1)</f>
        <v/>
      </c>
      <c r="K300" t="inlineStr">
        <is>
          <t>S3</t>
        </is>
      </c>
      <c r="L300" s="91" t="inlineStr">
        <is>
          <t>2G</t>
        </is>
      </c>
      <c r="M300" t="n">
        <v>1800</v>
      </c>
      <c r="N300" s="91" t="inlineStr"/>
      <c r="P300" t="n">
        <v>240</v>
      </c>
      <c r="R300" s="92" t="n">
        <v>2</v>
      </c>
      <c r="AB300" s="91" t="inlineStr">
        <is>
          <t>R9264H M901821</t>
        </is>
      </c>
      <c r="AC300" s="91" t="inlineStr">
        <is>
          <t>A9652 S35*3+R9264H M901821*3+R9254E S8500*2+R9264 M1821N*2</t>
        </is>
      </c>
      <c r="AD300" s="91">
        <f>_xlfn.XLOOKUP(AE300,[4]透视表!$G:$G,[4]透视表!$E:$E)</f>
        <v/>
      </c>
      <c r="AE300" s="91">
        <f>A300&amp;K300</f>
        <v/>
      </c>
      <c r="AL300" s="91" t="inlineStr">
        <is>
          <t>高优先级</t>
        </is>
      </c>
    </row>
    <row r="301" hidden="1" ht="15" customHeight="1" s="99">
      <c r="A301" t="inlineStr">
        <is>
          <t>GMGAM3</t>
        </is>
      </c>
      <c r="B301" t="inlineStr">
        <is>
          <t>GMGAM3_GUL00_Asgiriya_Gm</t>
        </is>
      </c>
      <c r="C301" s="89" t="inlineStr">
        <is>
          <t>Huawei</t>
        </is>
      </c>
      <c r="F301" t="n">
        <v>7.1095</v>
      </c>
      <c r="G301" t="n">
        <v>79.9898</v>
      </c>
      <c r="H301" t="inlineStr">
        <is>
          <t>GMGAM3-M-L85-C1</t>
        </is>
      </c>
      <c r="J301" s="91">
        <f>LEFT(RIGHT(H301,2),1)</f>
        <v/>
      </c>
      <c r="K301" s="91">
        <f>_xlfn.XLOOKUP(J301,#REF!,#REF!)</f>
        <v/>
      </c>
      <c r="L301" s="91" t="inlineStr">
        <is>
          <t>4G</t>
        </is>
      </c>
      <c r="M301" s="91" t="n">
        <v>850</v>
      </c>
      <c r="N301" s="91" t="inlineStr"/>
      <c r="O301" s="92" t="n">
        <v>50</v>
      </c>
      <c r="P301" t="n">
        <v>240</v>
      </c>
      <c r="R301" s="92" t="n">
        <v>0</v>
      </c>
      <c r="Y301" t="inlineStr">
        <is>
          <t>2T2R</t>
        </is>
      </c>
      <c r="AB301" s="91" t="inlineStr">
        <is>
          <t>R9254E S8500</t>
        </is>
      </c>
      <c r="AC301" s="91" t="inlineStr">
        <is>
          <t>A9652 S35*3+R9264H M901821*3+R9254E S8500*2+R9264 M1821N*2</t>
        </is>
      </c>
      <c r="AD301" s="91">
        <f>_xlfn.XLOOKUP(AE301,[4]透视表!$G:$G,[4]透视表!$D:$D)</f>
        <v/>
      </c>
      <c r="AE301" s="91">
        <f>A301&amp;K301</f>
        <v/>
      </c>
      <c r="AL301" s="91" t="inlineStr">
        <is>
          <t>高优先级</t>
        </is>
      </c>
    </row>
    <row r="302" hidden="1" ht="15" customHeight="1" s="99">
      <c r="A302" t="inlineStr">
        <is>
          <t>GMGAM3</t>
        </is>
      </c>
      <c r="B302" t="inlineStr">
        <is>
          <t>GMGAM3_GUL00_Asgiriya_Gm</t>
        </is>
      </c>
      <c r="C302" s="89" t="inlineStr">
        <is>
          <t>Huawei</t>
        </is>
      </c>
      <c r="F302" t="n">
        <v>7.1095</v>
      </c>
      <c r="G302" t="n">
        <v>79.9898</v>
      </c>
      <c r="H302" t="inlineStr">
        <is>
          <t>GMGAM3I</t>
        </is>
      </c>
      <c r="J302" s="91">
        <f>RIGHT(H302,1)</f>
        <v/>
      </c>
      <c r="K302" s="91">
        <f>_xlfn.XLOOKUP(J302,#REF!,#REF!)</f>
        <v/>
      </c>
      <c r="L302" s="91" t="inlineStr">
        <is>
          <t>4G</t>
        </is>
      </c>
      <c r="M302" s="91" t="n">
        <v>1800</v>
      </c>
      <c r="N302" s="91" t="inlineStr"/>
      <c r="O302" s="92" t="n">
        <v>50</v>
      </c>
      <c r="P302" t="n">
        <v>240</v>
      </c>
      <c r="R302" s="92" t="n">
        <v>0</v>
      </c>
      <c r="Y302" t="inlineStr">
        <is>
          <t>4T4R</t>
        </is>
      </c>
      <c r="AB302" s="91" t="inlineStr">
        <is>
          <t>R9264H M901821</t>
        </is>
      </c>
      <c r="AC302" s="91" t="inlineStr">
        <is>
          <t>A9652 S35*3+R9264H M901821*3+R9254E S8500*2+R9264 M1821N*2</t>
        </is>
      </c>
      <c r="AD302" s="91">
        <f>_xlfn.XLOOKUP(AE302,[4]透视表!$G:$G,[4]透视表!$E:$E)</f>
        <v/>
      </c>
      <c r="AE302" s="91">
        <f>A302&amp;K302</f>
        <v/>
      </c>
      <c r="AL302" s="91" t="inlineStr">
        <is>
          <t>高优先级</t>
        </is>
      </c>
    </row>
    <row r="303" hidden="1" ht="15" customHeight="1" s="99">
      <c r="A303" t="inlineStr">
        <is>
          <t>GMGAM3</t>
        </is>
      </c>
      <c r="B303" t="inlineStr">
        <is>
          <t>GMGAM3_GUL00_Asgiriya_Gm</t>
        </is>
      </c>
      <c r="C303" s="89" t="inlineStr">
        <is>
          <t>Huawei</t>
        </is>
      </c>
      <c r="F303" t="n">
        <v>7.1095</v>
      </c>
      <c r="G303" t="n">
        <v>79.9898</v>
      </c>
      <c r="H303" t="inlineStr">
        <is>
          <t>GMGAM3-M-L21-C2</t>
        </is>
      </c>
      <c r="J303" s="91">
        <f>LEFT(RIGHT(H303,2),1)</f>
        <v/>
      </c>
      <c r="K303" s="91">
        <f>_xlfn.XLOOKUP(J303,#REF!,#REF!)</f>
        <v/>
      </c>
      <c r="L303" s="91" t="inlineStr">
        <is>
          <t>4G</t>
        </is>
      </c>
      <c r="M303" s="91" t="n">
        <v>2100</v>
      </c>
      <c r="N303" s="91" t="inlineStr">
        <is>
          <t>AQU4518R9v06</t>
        </is>
      </c>
      <c r="O303" s="92" t="n">
        <v>50</v>
      </c>
      <c r="P303" t="n">
        <v>240</v>
      </c>
      <c r="R303" s="92" t="n">
        <v>0</v>
      </c>
      <c r="Y303" t="inlineStr">
        <is>
          <t>2T2R</t>
        </is>
      </c>
      <c r="AB303" s="91" t="inlineStr">
        <is>
          <t>R9264H M901821</t>
        </is>
      </c>
      <c r="AC303" s="91" t="inlineStr">
        <is>
          <t>A9652 S35*3+R9264H M901821*3+R9254E S8500*2+R9264 M1821N*2</t>
        </is>
      </c>
      <c r="AD303" s="91">
        <f>_xlfn.XLOOKUP(AE303,[4]透视表!$G:$G,[4]透视表!$F:$F)</f>
        <v/>
      </c>
      <c r="AE303" s="91">
        <f>A303&amp;K303</f>
        <v/>
      </c>
      <c r="AL303" s="91" t="inlineStr">
        <is>
          <t>高优先级</t>
        </is>
      </c>
    </row>
    <row r="304" hidden="1" ht="15" customHeight="1" s="99">
      <c r="A304" t="inlineStr">
        <is>
          <t>GMGAM3</t>
        </is>
      </c>
      <c r="C304" s="89" t="inlineStr">
        <is>
          <t>Huawei</t>
        </is>
      </c>
      <c r="F304" t="n">
        <v>7.1095</v>
      </c>
      <c r="G304" t="n">
        <v>79.9898</v>
      </c>
      <c r="H304" t="inlineStr">
        <is>
          <t>GMGAM3S</t>
        </is>
      </c>
      <c r="J304" s="91">
        <f>RIGHT(H304,1)</f>
        <v/>
      </c>
      <c r="K304" t="inlineStr">
        <is>
          <t>S4</t>
        </is>
      </c>
      <c r="L304" s="91" t="inlineStr">
        <is>
          <t>2G</t>
        </is>
      </c>
      <c r="M304" t="n">
        <v>1800</v>
      </c>
      <c r="N304" s="91" t="e">
        <v>#N/A</v>
      </c>
      <c r="P304" t="n">
        <v>180</v>
      </c>
      <c r="R304" s="92" t="n">
        <v>2</v>
      </c>
      <c r="AB304" s="91" t="inlineStr">
        <is>
          <t>R9264H M901821</t>
        </is>
      </c>
      <c r="AC304" s="91" t="inlineStr">
        <is>
          <t>A9652 S35*3+R9264H M901821*3+R9254E S8500*2+R9264 M1821N*2</t>
        </is>
      </c>
      <c r="AD304" s="91">
        <f>_xlfn.XLOOKUP(AE304,[4]透视表!$G:$G,[4]透视表!$E:$E)</f>
        <v/>
      </c>
      <c r="AE304" s="91">
        <f>A304&amp;K304</f>
        <v/>
      </c>
      <c r="AL304" s="91" t="inlineStr">
        <is>
          <t>高优先级</t>
        </is>
      </c>
    </row>
    <row r="305" hidden="1" ht="15" customHeight="1" s="99">
      <c r="A305" t="inlineStr">
        <is>
          <t>GMGAM3</t>
        </is>
      </c>
      <c r="B305" t="inlineStr">
        <is>
          <t>GMGAM3_GUL00_Asgiriya_Gm</t>
        </is>
      </c>
      <c r="C305" s="89" t="inlineStr">
        <is>
          <t>Huawei</t>
        </is>
      </c>
      <c r="F305" t="n">
        <v>7.1095</v>
      </c>
      <c r="G305" t="n">
        <v>79.9898</v>
      </c>
      <c r="H305" t="inlineStr">
        <is>
          <t>GMGAM3F</t>
        </is>
      </c>
      <c r="J305" s="91">
        <f>RIGHT(H305,1)</f>
        <v/>
      </c>
      <c r="K305" s="91">
        <f>_xlfn.XLOOKUP(J305,#REF!,#REF!)</f>
        <v/>
      </c>
      <c r="L305" s="91" t="inlineStr">
        <is>
          <t>4G</t>
        </is>
      </c>
      <c r="M305" s="91" t="n">
        <v>1800</v>
      </c>
      <c r="N305" s="91" t="e">
        <v>#N/A</v>
      </c>
      <c r="O305" s="92" t="n">
        <v>50</v>
      </c>
      <c r="P305" t="n">
        <v>180</v>
      </c>
      <c r="R305" s="92" t="n">
        <v>0</v>
      </c>
      <c r="Y305" t="inlineStr">
        <is>
          <t>2T2R</t>
        </is>
      </c>
      <c r="AB305" s="91" t="inlineStr">
        <is>
          <t>R9264 M1821N</t>
        </is>
      </c>
      <c r="AC305" s="91" t="inlineStr">
        <is>
          <t>A9652 S35*3+R9264H M901821*3+R9254E S8500*2+R9264 M1821N*2</t>
        </is>
      </c>
      <c r="AD305" s="91">
        <f>_xlfn.XLOOKUP(AE305,[4]透视表!$G:$G,[4]透视表!$E:$E)</f>
        <v/>
      </c>
      <c r="AE305" s="91">
        <f>A305&amp;K305</f>
        <v/>
      </c>
      <c r="AL305" s="91" t="inlineStr">
        <is>
          <t>高优先级</t>
        </is>
      </c>
    </row>
    <row r="306" hidden="1" ht="15" customHeight="1" s="99">
      <c r="A306" t="inlineStr">
        <is>
          <t>GMGAM3</t>
        </is>
      </c>
      <c r="B306" t="inlineStr">
        <is>
          <t>GMGAM3_GUL00_Asgiriya_Gm</t>
        </is>
      </c>
      <c r="C306" s="89" t="inlineStr">
        <is>
          <t>Huawei</t>
        </is>
      </c>
      <c r="F306" t="n">
        <v>7.1095</v>
      </c>
      <c r="G306" t="n">
        <v>79.9898</v>
      </c>
      <c r="H306" t="inlineStr">
        <is>
          <t>GMGAM3-M-L21-D2</t>
        </is>
      </c>
      <c r="J306" s="91">
        <f>LEFT(RIGHT(H306,2),1)</f>
        <v/>
      </c>
      <c r="K306" s="91">
        <f>_xlfn.XLOOKUP(J306,#REF!,#REF!)</f>
        <v/>
      </c>
      <c r="L306" s="91" t="inlineStr">
        <is>
          <t>4G</t>
        </is>
      </c>
      <c r="M306" s="91" t="n">
        <v>2100</v>
      </c>
      <c r="N306" s="91" t="e">
        <v>#N/A</v>
      </c>
      <c r="O306" s="92" t="n">
        <v>50</v>
      </c>
      <c r="P306" t="n">
        <v>180</v>
      </c>
      <c r="R306" s="92" t="n">
        <v>0</v>
      </c>
      <c r="Y306" t="inlineStr">
        <is>
          <t>2T2R</t>
        </is>
      </c>
      <c r="AB306" s="91" t="inlineStr">
        <is>
          <t>R9264H M901821</t>
        </is>
      </c>
      <c r="AC306" s="91" t="inlineStr">
        <is>
          <t>A9652 S35*3+R9264H M901821*3+R9254E S8500*2+R9264 M1821N*2</t>
        </is>
      </c>
      <c r="AD306" s="91">
        <f>_xlfn.XLOOKUP(AE306,[4]透视表!$G:$G,[4]透视表!$F:$F)</f>
        <v/>
      </c>
      <c r="AE306" s="91">
        <f>A306&amp;K306</f>
        <v/>
      </c>
      <c r="AL306" s="91" t="inlineStr">
        <is>
          <t>高优先级</t>
        </is>
      </c>
    </row>
    <row r="307" hidden="1" ht="15" customHeight="1" s="99">
      <c r="A307" t="inlineStr">
        <is>
          <t>GMGAM3</t>
        </is>
      </c>
      <c r="B307" s="91" t="n"/>
      <c r="C307" s="89" t="n"/>
      <c r="I307" t="inlineStr">
        <is>
          <t>GMGAM3-M-L21-F2</t>
        </is>
      </c>
      <c r="J307" s="91">
        <f>LEFT(RIGHT(I307,2),1)</f>
        <v/>
      </c>
      <c r="K307" s="91">
        <f>_xlfn.XLOOKUP(J307,#REF!,#REF!)</f>
        <v/>
      </c>
      <c r="L307" s="91" t="inlineStr">
        <is>
          <t>4G</t>
        </is>
      </c>
      <c r="M307" s="91" t="n">
        <v>2100</v>
      </c>
      <c r="N307" s="91" t="n"/>
      <c r="P307" t="n">
        <v>180</v>
      </c>
      <c r="Y307" t="inlineStr">
        <is>
          <t>2T2R</t>
        </is>
      </c>
      <c r="AB307" s="91" t="inlineStr">
        <is>
          <t>R9264 M1821N</t>
        </is>
      </c>
      <c r="AC307" s="91" t="inlineStr">
        <is>
          <t>A9652 S35*3+R9264H M901821*3+R9254E S8500*2+R9264 M1821N*2</t>
        </is>
      </c>
    </row>
    <row r="308" hidden="1" ht="15" customHeight="1" s="99">
      <c r="A308" t="inlineStr">
        <is>
          <t>GMGAM5</t>
        </is>
      </c>
      <c r="C308" s="89" t="inlineStr">
        <is>
          <t>Huawei</t>
        </is>
      </c>
      <c r="F308" t="n">
        <v>7.09311</v>
      </c>
      <c r="G308" t="n">
        <v>79.995</v>
      </c>
      <c r="H308" t="inlineStr">
        <is>
          <t>GMGAM5A</t>
        </is>
      </c>
      <c r="J308" s="91">
        <f>RIGHT(H308,1)</f>
        <v/>
      </c>
      <c r="K308" t="inlineStr">
        <is>
          <t>S1</t>
        </is>
      </c>
      <c r="L308" s="91" t="inlineStr">
        <is>
          <t>2G</t>
        </is>
      </c>
      <c r="M308" t="n">
        <v>900</v>
      </c>
      <c r="N308" s="91" t="inlineStr">
        <is>
          <t>AQU4518R9v06</t>
        </is>
      </c>
      <c r="P308" t="n">
        <v>90</v>
      </c>
      <c r="R308" s="92" t="n">
        <v>2</v>
      </c>
      <c r="AB308" s="91" t="inlineStr">
        <is>
          <t>R9264H M901821</t>
        </is>
      </c>
      <c r="AC308" s="91" t="inlineStr">
        <is>
          <t>R9264H M901821*3</t>
        </is>
      </c>
      <c r="AD308" s="91">
        <f>_xlfn.XLOOKUP(AE308,[4]透视表!$G:$G,[4]透视表!$D:$D)</f>
        <v/>
      </c>
      <c r="AE308" s="91">
        <f>A308&amp;K308</f>
        <v/>
      </c>
      <c r="AL308" s="91" t="inlineStr">
        <is>
          <t>高优先级</t>
        </is>
      </c>
    </row>
    <row r="309" hidden="1" ht="15" customHeight="1" s="99">
      <c r="A309" t="inlineStr">
        <is>
          <t>GMGAM5</t>
        </is>
      </c>
      <c r="C309" s="89" t="inlineStr">
        <is>
          <t>Huawei</t>
        </is>
      </c>
      <c r="F309" t="n">
        <v>7.09311</v>
      </c>
      <c r="G309" t="n">
        <v>79.995</v>
      </c>
      <c r="H309" t="inlineStr">
        <is>
          <t>GMGAM5P</t>
        </is>
      </c>
      <c r="J309" s="91">
        <f>RIGHT(H309,1)</f>
        <v/>
      </c>
      <c r="K309" t="inlineStr">
        <is>
          <t>S1</t>
        </is>
      </c>
      <c r="L309" s="91" t="inlineStr">
        <is>
          <t>2G</t>
        </is>
      </c>
      <c r="M309" t="n">
        <v>1800</v>
      </c>
      <c r="N309" s="91" t="inlineStr">
        <is>
          <t>AQU4518R9v06</t>
        </is>
      </c>
      <c r="P309" t="n">
        <v>90</v>
      </c>
      <c r="R309" s="92" t="n">
        <v>2</v>
      </c>
      <c r="AB309" s="91" t="inlineStr">
        <is>
          <t>R9264H M901821</t>
        </is>
      </c>
      <c r="AC309" s="91" t="inlineStr">
        <is>
          <t>R9264H M901821*3</t>
        </is>
      </c>
      <c r="AD309" s="91">
        <f>_xlfn.XLOOKUP(AE309,[4]透视表!$G:$G,[4]透视表!$E:$E)</f>
        <v/>
      </c>
      <c r="AE309" s="91">
        <f>A309&amp;K309</f>
        <v/>
      </c>
      <c r="AL309" s="91" t="inlineStr">
        <is>
          <t>高优先级</t>
        </is>
      </c>
    </row>
    <row r="310" hidden="1" ht="15" customHeight="1" s="99">
      <c r="A310" t="inlineStr">
        <is>
          <t>GMGAM5</t>
        </is>
      </c>
      <c r="B310" t="inlineStr">
        <is>
          <t>GMGAM5_GUL00_Gampaha_Town_Gm</t>
        </is>
      </c>
      <c r="C310" s="89" t="inlineStr">
        <is>
          <t>Huawei</t>
        </is>
      </c>
      <c r="F310" t="n">
        <v>7.09311</v>
      </c>
      <c r="G310" t="n">
        <v>79.995</v>
      </c>
      <c r="H310" t="inlineStr">
        <is>
          <t>GMGAM5G</t>
        </is>
      </c>
      <c r="J310" s="91">
        <f>RIGHT(H310,1)</f>
        <v/>
      </c>
      <c r="K310" s="91">
        <f>_xlfn.XLOOKUP(J310,#REF!,#REF!)</f>
        <v/>
      </c>
      <c r="L310" s="91" t="inlineStr">
        <is>
          <t>4G</t>
        </is>
      </c>
      <c r="M310" s="91" t="n">
        <v>1800</v>
      </c>
      <c r="N310" s="91" t="inlineStr">
        <is>
          <t>AQU4518R9v06</t>
        </is>
      </c>
      <c r="O310" s="92" t="n">
        <v>6</v>
      </c>
      <c r="P310" t="n">
        <v>90</v>
      </c>
      <c r="R310" s="92" t="n">
        <v>0</v>
      </c>
      <c r="Y310" t="inlineStr">
        <is>
          <t>2T2R</t>
        </is>
      </c>
      <c r="AB310" s="91" t="inlineStr">
        <is>
          <t>R9264H M901821</t>
        </is>
      </c>
      <c r="AC310" s="91" t="inlineStr">
        <is>
          <t>R9264H M901821*3</t>
        </is>
      </c>
      <c r="AD310" s="91">
        <f>_xlfn.XLOOKUP(AE310,[4]透视表!$G:$G,[4]透视表!$E:$E)</f>
        <v/>
      </c>
      <c r="AE310" s="91">
        <f>A310&amp;K310</f>
        <v/>
      </c>
      <c r="AL310" s="91" t="inlineStr">
        <is>
          <t>高优先级</t>
        </is>
      </c>
    </row>
    <row r="311" hidden="1" ht="15" customHeight="1" s="99">
      <c r="A311" t="inlineStr">
        <is>
          <t>GMGAM5</t>
        </is>
      </c>
      <c r="B311" t="inlineStr">
        <is>
          <t>GMGAM5_GUL00_Gampaha_Town_Gm</t>
        </is>
      </c>
      <c r="C311" s="89" t="inlineStr">
        <is>
          <t>Huawei</t>
        </is>
      </c>
      <c r="F311" t="n">
        <v>7.09311</v>
      </c>
      <c r="G311" t="n">
        <v>79.995</v>
      </c>
      <c r="H311" t="inlineStr">
        <is>
          <t>GMGAM5-M-L21-A2</t>
        </is>
      </c>
      <c r="J311" s="91">
        <f>LEFT(RIGHT(H311,2),1)</f>
        <v/>
      </c>
      <c r="K311" s="91">
        <f>_xlfn.XLOOKUP(J311,#REF!,#REF!)</f>
        <v/>
      </c>
      <c r="L311" s="91" t="inlineStr">
        <is>
          <t>4G</t>
        </is>
      </c>
      <c r="M311" s="91" t="n">
        <v>2100</v>
      </c>
      <c r="N311" s="91" t="inlineStr">
        <is>
          <t>AQU4518R9v06</t>
        </is>
      </c>
      <c r="O311" s="92" t="n">
        <v>6</v>
      </c>
      <c r="P311" t="n">
        <v>90</v>
      </c>
      <c r="R311" s="92" t="n">
        <v>0</v>
      </c>
      <c r="Y311" t="inlineStr">
        <is>
          <t>2T2R</t>
        </is>
      </c>
      <c r="AB311" s="91" t="inlineStr">
        <is>
          <t>R9264H M901821</t>
        </is>
      </c>
      <c r="AC311" s="91" t="inlineStr">
        <is>
          <t>R9264H M901821*3</t>
        </is>
      </c>
      <c r="AD311" s="91">
        <f>_xlfn.XLOOKUP(AE311,[4]透视表!$G:$G,[4]透视表!$F:$F)</f>
        <v/>
      </c>
      <c r="AE311" s="91">
        <f>A311&amp;K311</f>
        <v/>
      </c>
      <c r="AL311" s="91" t="inlineStr">
        <is>
          <t>高优先级</t>
        </is>
      </c>
    </row>
    <row r="312" hidden="1" ht="15" customHeight="1" s="99">
      <c r="A312" t="inlineStr">
        <is>
          <t>GMGAM5</t>
        </is>
      </c>
      <c r="B312" t="inlineStr">
        <is>
          <t>GMGAM5_GUL00_Gampaha_Town_Gm</t>
        </is>
      </c>
      <c r="C312" s="89" t="inlineStr">
        <is>
          <t>Huawei</t>
        </is>
      </c>
      <c r="F312" t="n">
        <v>7.09311</v>
      </c>
      <c r="G312" t="n">
        <v>79.995</v>
      </c>
      <c r="H312" t="inlineStr">
        <is>
          <t>GMGAM5-M-L23-A1</t>
        </is>
      </c>
      <c r="J312" s="91">
        <f>LEFT(RIGHT(H312,2),1)</f>
        <v/>
      </c>
      <c r="K312" s="91">
        <f>_xlfn.XLOOKUP(J312,#REF!,#REF!)</f>
        <v/>
      </c>
      <c r="L312" s="91" t="inlineStr">
        <is>
          <t>4G</t>
        </is>
      </c>
      <c r="M312" s="91" t="n">
        <v>2300</v>
      </c>
      <c r="N312" s="91" t="n"/>
      <c r="O312" s="92" t="n">
        <v>6</v>
      </c>
      <c r="P312" t="n">
        <v>90</v>
      </c>
      <c r="R312" s="92" t="n">
        <v>0</v>
      </c>
      <c r="Y312" t="inlineStr">
        <is>
          <t>2T2R</t>
        </is>
      </c>
      <c r="AC312" s="91" t="inlineStr">
        <is>
          <t>R9264H M901821*3</t>
        </is>
      </c>
      <c r="AE312" s="91">
        <f>A312&amp;K312</f>
        <v/>
      </c>
      <c r="AL312" s="91" t="inlineStr">
        <is>
          <t>高优先级</t>
        </is>
      </c>
    </row>
    <row r="313" hidden="1" ht="15" customHeight="1" s="99">
      <c r="A313" t="inlineStr">
        <is>
          <t>GMGAM5</t>
        </is>
      </c>
      <c r="C313" s="89" t="inlineStr">
        <is>
          <t>Huawei</t>
        </is>
      </c>
      <c r="F313" t="n">
        <v>7.09311</v>
      </c>
      <c r="G313" t="n">
        <v>79.995</v>
      </c>
      <c r="H313" t="inlineStr">
        <is>
          <t>GMGAM5B</t>
        </is>
      </c>
      <c r="J313" s="91">
        <f>RIGHT(H313,1)</f>
        <v/>
      </c>
      <c r="K313" t="inlineStr">
        <is>
          <t>S2</t>
        </is>
      </c>
      <c r="L313" s="91" t="inlineStr">
        <is>
          <t>2G</t>
        </is>
      </c>
      <c r="M313" t="n">
        <v>900</v>
      </c>
      <c r="N313" s="91" t="inlineStr">
        <is>
          <t>AQU4518R9v06</t>
        </is>
      </c>
      <c r="P313" t="n">
        <v>210</v>
      </c>
      <c r="R313" s="92" t="n">
        <v>2</v>
      </c>
      <c r="AB313" s="91" t="inlineStr">
        <is>
          <t>R9264H M901821</t>
        </is>
      </c>
      <c r="AC313" s="91" t="inlineStr">
        <is>
          <t>R9264H M901821*3</t>
        </is>
      </c>
      <c r="AD313" s="91">
        <f>_xlfn.XLOOKUP(AE313,[4]透视表!$G:$G,[4]透视表!$D:$D)</f>
        <v/>
      </c>
      <c r="AE313" s="91">
        <f>A313&amp;K313</f>
        <v/>
      </c>
      <c r="AL313" s="91" t="inlineStr">
        <is>
          <t>高优先级</t>
        </is>
      </c>
    </row>
    <row r="314" hidden="1" ht="15" customHeight="1" s="99">
      <c r="A314" t="inlineStr">
        <is>
          <t>GMGAM5</t>
        </is>
      </c>
      <c r="C314" s="89" t="inlineStr">
        <is>
          <t>Huawei</t>
        </is>
      </c>
      <c r="F314" t="n">
        <v>7.09311</v>
      </c>
      <c r="G314" t="n">
        <v>79.995</v>
      </c>
      <c r="H314" t="inlineStr">
        <is>
          <t>GMGAM5Q</t>
        </is>
      </c>
      <c r="J314" s="91">
        <f>RIGHT(H314,1)</f>
        <v/>
      </c>
      <c r="K314" t="inlineStr">
        <is>
          <t>S2</t>
        </is>
      </c>
      <c r="L314" s="91" t="inlineStr">
        <is>
          <t>2G</t>
        </is>
      </c>
      <c r="M314" t="n">
        <v>1800</v>
      </c>
      <c r="N314" s="91" t="inlineStr">
        <is>
          <t>AQU4518R9v06</t>
        </is>
      </c>
      <c r="P314" t="n">
        <v>210</v>
      </c>
      <c r="R314" s="92" t="n">
        <v>2</v>
      </c>
      <c r="AB314" s="91" t="inlineStr">
        <is>
          <t>R9264H M901821</t>
        </is>
      </c>
      <c r="AC314" s="91" t="inlineStr">
        <is>
          <t>R9264H M901821*3</t>
        </is>
      </c>
      <c r="AD314" s="91">
        <f>_xlfn.XLOOKUP(AE314,[4]透视表!$G:$G,[4]透视表!$E:$E)</f>
        <v/>
      </c>
      <c r="AE314" s="91">
        <f>A314&amp;K314</f>
        <v/>
      </c>
      <c r="AL314" s="91" t="inlineStr">
        <is>
          <t>高优先级</t>
        </is>
      </c>
    </row>
    <row r="315" hidden="1" ht="15" customHeight="1" s="99">
      <c r="A315" t="inlineStr">
        <is>
          <t>GMGAM5</t>
        </is>
      </c>
      <c r="B315" t="inlineStr">
        <is>
          <t>GMGAM5_GUL00_Gampaha_Town_Gm</t>
        </is>
      </c>
      <c r="C315" s="89" t="inlineStr">
        <is>
          <t>Huawei</t>
        </is>
      </c>
      <c r="F315" t="n">
        <v>7.09311</v>
      </c>
      <c r="G315" t="n">
        <v>79.995</v>
      </c>
      <c r="H315" t="inlineStr">
        <is>
          <t>GMGAM5H</t>
        </is>
      </c>
      <c r="J315" s="91">
        <f>RIGHT(H315,1)</f>
        <v/>
      </c>
      <c r="K315" s="91">
        <f>_xlfn.XLOOKUP(J315,#REF!,#REF!)</f>
        <v/>
      </c>
      <c r="L315" s="91" t="inlineStr">
        <is>
          <t>4G</t>
        </is>
      </c>
      <c r="M315" s="91" t="n">
        <v>1800</v>
      </c>
      <c r="N315" s="91" t="inlineStr">
        <is>
          <t>AQU4518R9v06</t>
        </is>
      </c>
      <c r="O315" s="92" t="n">
        <v>6</v>
      </c>
      <c r="P315" t="n">
        <v>210</v>
      </c>
      <c r="R315" s="92" t="n">
        <v>0</v>
      </c>
      <c r="Y315" t="inlineStr">
        <is>
          <t>2T2R</t>
        </is>
      </c>
      <c r="AB315" s="91" t="inlineStr">
        <is>
          <t>R9264H M901821</t>
        </is>
      </c>
      <c r="AC315" s="91" t="inlineStr">
        <is>
          <t>R9264H M901821*3</t>
        </is>
      </c>
      <c r="AD315" s="91">
        <f>_xlfn.XLOOKUP(AE315,[4]透视表!$G:$G,[4]透视表!$E:$E)</f>
        <v/>
      </c>
      <c r="AE315" s="91">
        <f>A315&amp;K315</f>
        <v/>
      </c>
      <c r="AL315" s="91" t="inlineStr">
        <is>
          <t>高优先级</t>
        </is>
      </c>
    </row>
    <row r="316" hidden="1" ht="15" customHeight="1" s="99">
      <c r="A316" t="inlineStr">
        <is>
          <t>GMGAM5</t>
        </is>
      </c>
      <c r="B316" t="inlineStr">
        <is>
          <t>GMGAM5_GUL00_Gampaha_Town_Gm</t>
        </is>
      </c>
      <c r="C316" s="89" t="inlineStr">
        <is>
          <t>Huawei</t>
        </is>
      </c>
      <c r="F316" t="n">
        <v>7.09311</v>
      </c>
      <c r="G316" t="n">
        <v>79.995</v>
      </c>
      <c r="H316" t="inlineStr">
        <is>
          <t>GMGAM5-M-L23-B1</t>
        </is>
      </c>
      <c r="J316" s="91">
        <f>LEFT(RIGHT(H316,2),1)</f>
        <v/>
      </c>
      <c r="K316" s="91">
        <f>_xlfn.XLOOKUP(J316,#REF!,#REF!)</f>
        <v/>
      </c>
      <c r="L316" s="91" t="inlineStr">
        <is>
          <t>4G</t>
        </is>
      </c>
      <c r="M316" s="91" t="n">
        <v>2300</v>
      </c>
      <c r="N316" s="91" t="n"/>
      <c r="O316" s="92" t="n">
        <v>6</v>
      </c>
      <c r="P316" t="n">
        <v>210</v>
      </c>
      <c r="R316" s="92" t="n">
        <v>0</v>
      </c>
      <c r="Y316" t="inlineStr">
        <is>
          <t>2T2R</t>
        </is>
      </c>
      <c r="AC316" s="91" t="inlineStr">
        <is>
          <t>R9264H M901821*3</t>
        </is>
      </c>
      <c r="AE316" s="91">
        <f>A316&amp;K316</f>
        <v/>
      </c>
      <c r="AL316" s="91" t="inlineStr">
        <is>
          <t>高优先级</t>
        </is>
      </c>
    </row>
    <row r="317" hidden="1" ht="15" customHeight="1" s="99">
      <c r="A317" t="inlineStr">
        <is>
          <t>GMGAM5</t>
        </is>
      </c>
      <c r="C317" s="89" t="inlineStr">
        <is>
          <t>Huawei</t>
        </is>
      </c>
      <c r="F317" t="n">
        <v>7.09311</v>
      </c>
      <c r="G317" t="n">
        <v>79.995</v>
      </c>
      <c r="H317" t="inlineStr">
        <is>
          <t>GMGAM5C</t>
        </is>
      </c>
      <c r="J317" s="91">
        <f>RIGHT(H317,1)</f>
        <v/>
      </c>
      <c r="K317" t="inlineStr">
        <is>
          <t>S3</t>
        </is>
      </c>
      <c r="L317" s="91" t="inlineStr">
        <is>
          <t>2G</t>
        </is>
      </c>
      <c r="M317" t="n">
        <v>900</v>
      </c>
      <c r="N317" s="91" t="inlineStr">
        <is>
          <t>AQU4518R9v06</t>
        </is>
      </c>
      <c r="P317" t="n">
        <v>330</v>
      </c>
      <c r="R317" s="92" t="n">
        <v>2</v>
      </c>
      <c r="AB317" s="91" t="inlineStr">
        <is>
          <t>R9264H M901821</t>
        </is>
      </c>
      <c r="AC317" s="91" t="inlineStr">
        <is>
          <t>R9264H M901821*3</t>
        </is>
      </c>
      <c r="AD317" s="91">
        <f>_xlfn.XLOOKUP(AE317,[4]透视表!$G:$G,[4]透视表!$D:$D)</f>
        <v/>
      </c>
      <c r="AE317" s="91">
        <f>A317&amp;K317</f>
        <v/>
      </c>
      <c r="AL317" s="91" t="inlineStr">
        <is>
          <t>高优先级</t>
        </is>
      </c>
    </row>
    <row r="318" hidden="1" ht="15" customHeight="1" s="99">
      <c r="A318" t="inlineStr">
        <is>
          <t>GMGAM5</t>
        </is>
      </c>
      <c r="C318" s="89" t="inlineStr">
        <is>
          <t>Huawei</t>
        </is>
      </c>
      <c r="F318" t="n">
        <v>7.09311</v>
      </c>
      <c r="G318" t="n">
        <v>79.995</v>
      </c>
      <c r="H318" t="inlineStr">
        <is>
          <t>GMGAM5R</t>
        </is>
      </c>
      <c r="J318" s="91">
        <f>RIGHT(H318,1)</f>
        <v/>
      </c>
      <c r="K318" t="inlineStr">
        <is>
          <t>S3</t>
        </is>
      </c>
      <c r="L318" s="91" t="inlineStr">
        <is>
          <t>2G</t>
        </is>
      </c>
      <c r="M318" t="n">
        <v>1800</v>
      </c>
      <c r="N318" s="91" t="inlineStr">
        <is>
          <t>AQU4518R9v06</t>
        </is>
      </c>
      <c r="P318" t="n">
        <v>330</v>
      </c>
      <c r="R318" s="92" t="n">
        <v>2</v>
      </c>
      <c r="AB318" s="91" t="inlineStr">
        <is>
          <t>R9264H M901821</t>
        </is>
      </c>
      <c r="AC318" s="91" t="inlineStr">
        <is>
          <t>R9264H M901821*3</t>
        </is>
      </c>
      <c r="AD318" s="91">
        <f>_xlfn.XLOOKUP(AE318,[4]透视表!$G:$G,[4]透视表!$E:$E)</f>
        <v/>
      </c>
      <c r="AE318" s="91">
        <f>A318&amp;K318</f>
        <v/>
      </c>
      <c r="AL318" s="91" t="inlineStr">
        <is>
          <t>高优先级</t>
        </is>
      </c>
    </row>
    <row r="319" hidden="1" ht="15" customHeight="1" s="99">
      <c r="A319" t="inlineStr">
        <is>
          <t>GMGAM5</t>
        </is>
      </c>
      <c r="B319" t="inlineStr">
        <is>
          <t>GMGAM5_GUL00_Gampaha_Town_Gm</t>
        </is>
      </c>
      <c r="C319" s="89" t="inlineStr">
        <is>
          <t>Huawei</t>
        </is>
      </c>
      <c r="F319" t="n">
        <v>7.09311</v>
      </c>
      <c r="G319" t="n">
        <v>79.995</v>
      </c>
      <c r="H319" t="inlineStr">
        <is>
          <t>GMGAM5I</t>
        </is>
      </c>
      <c r="J319" s="91">
        <f>RIGHT(H319,1)</f>
        <v/>
      </c>
      <c r="K319" s="91">
        <f>_xlfn.XLOOKUP(J319,#REF!,#REF!)</f>
        <v/>
      </c>
      <c r="L319" s="91" t="inlineStr">
        <is>
          <t>4G</t>
        </is>
      </c>
      <c r="M319" s="91" t="n">
        <v>1800</v>
      </c>
      <c r="N319" s="91" t="inlineStr">
        <is>
          <t>AQU4518R9v06</t>
        </is>
      </c>
      <c r="O319" s="92" t="n">
        <v>6</v>
      </c>
      <c r="P319" t="n">
        <v>330</v>
      </c>
      <c r="R319" s="92" t="n">
        <v>0</v>
      </c>
      <c r="Y319" t="inlineStr">
        <is>
          <t>2T2R</t>
        </is>
      </c>
      <c r="AB319" s="91" t="inlineStr">
        <is>
          <t>R9264H M901821</t>
        </is>
      </c>
      <c r="AC319" s="91" t="inlineStr">
        <is>
          <t>R9264H M901821*3</t>
        </is>
      </c>
      <c r="AD319" s="91">
        <f>_xlfn.XLOOKUP(AE319,[4]透视表!$G:$G,[4]透视表!$E:$E)</f>
        <v/>
      </c>
      <c r="AE319" s="91">
        <f>A319&amp;K319</f>
        <v/>
      </c>
      <c r="AL319" s="91" t="inlineStr">
        <is>
          <t>高优先级</t>
        </is>
      </c>
    </row>
    <row r="320" hidden="1" ht="15" customHeight="1" s="99">
      <c r="A320" t="inlineStr">
        <is>
          <t>GMGAM5</t>
        </is>
      </c>
      <c r="B320" t="inlineStr">
        <is>
          <t>GMGAM5_GUL00_Gampaha_Town_Gm</t>
        </is>
      </c>
      <c r="C320" s="89" t="inlineStr">
        <is>
          <t>Huawei</t>
        </is>
      </c>
      <c r="F320" t="n">
        <v>7.09311</v>
      </c>
      <c r="G320" t="n">
        <v>79.995</v>
      </c>
      <c r="H320" t="inlineStr">
        <is>
          <t>GMGAM5-M-L21-C2</t>
        </is>
      </c>
      <c r="J320" s="91">
        <f>LEFT(RIGHT(H320,2),1)</f>
        <v/>
      </c>
      <c r="K320" s="91">
        <f>_xlfn.XLOOKUP(J320,#REF!,#REF!)</f>
        <v/>
      </c>
      <c r="L320" s="91" t="inlineStr">
        <is>
          <t>4G</t>
        </is>
      </c>
      <c r="M320" s="91" t="n">
        <v>2100</v>
      </c>
      <c r="N320" s="91" t="inlineStr">
        <is>
          <t>AQU4518R9v06</t>
        </is>
      </c>
      <c r="O320" s="92" t="n">
        <v>6</v>
      </c>
      <c r="P320" t="n">
        <v>330</v>
      </c>
      <c r="R320" s="92" t="n">
        <v>0</v>
      </c>
      <c r="Y320" t="inlineStr">
        <is>
          <t>2T2R</t>
        </is>
      </c>
      <c r="AB320" s="91" t="inlineStr">
        <is>
          <t>R9264H M901821</t>
        </is>
      </c>
      <c r="AC320" s="91" t="inlineStr">
        <is>
          <t>R9264H M901821*3</t>
        </is>
      </c>
      <c r="AD320" s="91">
        <f>_xlfn.XLOOKUP(AE320,[4]透视表!$G:$G,[4]透视表!$F:$F)</f>
        <v/>
      </c>
      <c r="AE320" s="91">
        <f>A320&amp;K320</f>
        <v/>
      </c>
      <c r="AL320" s="91" t="inlineStr">
        <is>
          <t>高优先级</t>
        </is>
      </c>
    </row>
    <row r="321" hidden="1" ht="15" customHeight="1" s="99">
      <c r="A321" t="inlineStr">
        <is>
          <t>GMGAM5</t>
        </is>
      </c>
      <c r="B321" t="inlineStr">
        <is>
          <t>GMGAM5_GUL00_Gampaha_Town_Gm</t>
        </is>
      </c>
      <c r="C321" s="89" t="inlineStr">
        <is>
          <t>Huawei</t>
        </is>
      </c>
      <c r="F321" t="n">
        <v>7.09311</v>
      </c>
      <c r="G321" t="n">
        <v>79.995</v>
      </c>
      <c r="H321" t="inlineStr">
        <is>
          <t>GMGAM5-M-L23-C1</t>
        </is>
      </c>
      <c r="J321" s="91">
        <f>LEFT(RIGHT(H321,2),1)</f>
        <v/>
      </c>
      <c r="K321" s="91">
        <f>_xlfn.XLOOKUP(J321,#REF!,#REF!)</f>
        <v/>
      </c>
      <c r="L321" s="91" t="inlineStr">
        <is>
          <t>4G</t>
        </is>
      </c>
      <c r="M321" s="91" t="n">
        <v>2300</v>
      </c>
      <c r="N321" s="91" t="n"/>
      <c r="O321" s="92" t="n">
        <v>6</v>
      </c>
      <c r="P321" t="n">
        <v>330</v>
      </c>
      <c r="R321" s="92" t="n">
        <v>0</v>
      </c>
      <c r="Y321" t="inlineStr">
        <is>
          <t>2T2R</t>
        </is>
      </c>
      <c r="AC321" s="91" t="inlineStr">
        <is>
          <t>R9264H M901821*3</t>
        </is>
      </c>
      <c r="AE321" s="91">
        <f>A321&amp;K321</f>
        <v/>
      </c>
      <c r="AL321" s="91" t="inlineStr">
        <is>
          <t>高优先级</t>
        </is>
      </c>
    </row>
    <row r="322" hidden="1" ht="15" customHeight="1" s="99">
      <c r="A322" t="inlineStr">
        <is>
          <t>GMGAM6</t>
        </is>
      </c>
      <c r="C322" s="89" t="inlineStr">
        <is>
          <t>Huawei</t>
        </is>
      </c>
      <c r="F322" t="n">
        <v>7.09004</v>
      </c>
      <c r="G322" t="n">
        <v>80.00360000000001</v>
      </c>
      <c r="H322" t="inlineStr">
        <is>
          <t>GMGAM6P</t>
        </is>
      </c>
      <c r="J322" s="91">
        <f>RIGHT(H322,1)</f>
        <v/>
      </c>
      <c r="K322" t="inlineStr">
        <is>
          <t>S1</t>
        </is>
      </c>
      <c r="L322" s="91" t="inlineStr">
        <is>
          <t>2G</t>
        </is>
      </c>
      <c r="M322" t="n">
        <v>1800</v>
      </c>
      <c r="N322" s="91" t="inlineStr"/>
      <c r="P322" t="n">
        <v>0</v>
      </c>
      <c r="R322" s="92" t="n">
        <v>2</v>
      </c>
      <c r="AB322" s="91" t="inlineStr">
        <is>
          <t>R9254E S1800</t>
        </is>
      </c>
      <c r="AC322" s="91" t="inlineStr">
        <is>
          <t>A9652 S35*3+R9254E S1800*3+R9254E S8500*2</t>
        </is>
      </c>
      <c r="AD322" s="91">
        <f>_xlfn.XLOOKUP(AE322,[4]透视表!$G:$G,[4]透视表!$E:$E)</f>
        <v/>
      </c>
      <c r="AE322" s="91">
        <f>A322&amp;K322</f>
        <v/>
      </c>
      <c r="AL322" s="91" t="inlineStr">
        <is>
          <t>高优先级</t>
        </is>
      </c>
    </row>
    <row r="323" hidden="1" ht="15" customHeight="1" s="99">
      <c r="A323" t="inlineStr">
        <is>
          <t>GMGAM6</t>
        </is>
      </c>
      <c r="B323" t="inlineStr">
        <is>
          <t>GMGAM6_GUL00_Gampaha6_Gm</t>
        </is>
      </c>
      <c r="C323" s="89" t="inlineStr">
        <is>
          <t>Huawei</t>
        </is>
      </c>
      <c r="F323" t="n">
        <v>7.09004</v>
      </c>
      <c r="G323" t="n">
        <v>80.00360000000001</v>
      </c>
      <c r="H323" t="inlineStr">
        <is>
          <t>GMGAM6G</t>
        </is>
      </c>
      <c r="J323" s="91">
        <f>RIGHT(H323,1)</f>
        <v/>
      </c>
      <c r="K323" s="91">
        <f>_xlfn.XLOOKUP(J323,#REF!,#REF!)</f>
        <v/>
      </c>
      <c r="L323" s="91" t="inlineStr">
        <is>
          <t>4G</t>
        </is>
      </c>
      <c r="M323" s="91" t="n">
        <v>1800</v>
      </c>
      <c r="N323" s="91" t="inlineStr"/>
      <c r="O323" s="92" t="n">
        <v>6</v>
      </c>
      <c r="P323" t="n">
        <v>0</v>
      </c>
      <c r="R323" s="92" t="n">
        <v>0</v>
      </c>
      <c r="Y323" t="inlineStr">
        <is>
          <t>4T4R</t>
        </is>
      </c>
      <c r="AB323" s="91" t="inlineStr">
        <is>
          <t>R9254E S1800</t>
        </is>
      </c>
      <c r="AC323" s="91" t="inlineStr">
        <is>
          <t>A9652 S35*3+R9254E S1800*3+R9254E S8500*2</t>
        </is>
      </c>
      <c r="AD323" s="91">
        <f>_xlfn.XLOOKUP(AE323,[4]透视表!$G:$G,[4]透视表!$E:$E)</f>
        <v/>
      </c>
      <c r="AE323" s="91">
        <f>A323&amp;K323</f>
        <v/>
      </c>
      <c r="AL323" s="91" t="inlineStr">
        <is>
          <t>高优先级</t>
        </is>
      </c>
    </row>
    <row r="324" hidden="1" ht="15" customHeight="1" s="99">
      <c r="A324" t="inlineStr">
        <is>
          <t>GMGAM6</t>
        </is>
      </c>
      <c r="C324" s="89" t="inlineStr">
        <is>
          <t>Huawei</t>
        </is>
      </c>
      <c r="F324" t="n">
        <v>7.09004</v>
      </c>
      <c r="G324" t="n">
        <v>80.00360000000001</v>
      </c>
      <c r="H324" t="inlineStr">
        <is>
          <t>GMGAM6Q</t>
        </is>
      </c>
      <c r="J324" s="91">
        <f>RIGHT(H324,1)</f>
        <v/>
      </c>
      <c r="K324" t="inlineStr">
        <is>
          <t>S2</t>
        </is>
      </c>
      <c r="L324" s="91" t="inlineStr">
        <is>
          <t>2G</t>
        </is>
      </c>
      <c r="M324" t="n">
        <v>1800</v>
      </c>
      <c r="N324" s="91" t="inlineStr"/>
      <c r="P324" t="n">
        <v>120</v>
      </c>
      <c r="R324" s="92" t="n">
        <v>2</v>
      </c>
      <c r="AB324" s="91" t="inlineStr">
        <is>
          <t>R9254E S1800</t>
        </is>
      </c>
      <c r="AC324" s="91" t="inlineStr">
        <is>
          <t>A9652 S35*3+R9254E S1800*3+R9254E S8500*2</t>
        </is>
      </c>
      <c r="AD324" s="91">
        <f>_xlfn.XLOOKUP(AE324,[4]透视表!$G:$G,[4]透视表!$E:$E)</f>
        <v/>
      </c>
      <c r="AE324" s="91">
        <f>A324&amp;K324</f>
        <v/>
      </c>
      <c r="AL324" s="91" t="inlineStr">
        <is>
          <t>高优先级</t>
        </is>
      </c>
    </row>
    <row r="325" hidden="1" ht="15" customHeight="1" s="99">
      <c r="A325" t="inlineStr">
        <is>
          <t>GMGAM6</t>
        </is>
      </c>
      <c r="B325" t="inlineStr">
        <is>
          <t>GMGAM6_GUL00_Gampaha6_Gm</t>
        </is>
      </c>
      <c r="C325" s="89" t="inlineStr">
        <is>
          <t>Huawei</t>
        </is>
      </c>
      <c r="F325" t="n">
        <v>7.09004</v>
      </c>
      <c r="G325" t="n">
        <v>80.00360000000001</v>
      </c>
      <c r="H325" t="inlineStr">
        <is>
          <t>GMGAM6H</t>
        </is>
      </c>
      <c r="J325" s="91">
        <f>RIGHT(H325,1)</f>
        <v/>
      </c>
      <c r="K325" s="91">
        <f>_xlfn.XLOOKUP(J325,#REF!,#REF!)</f>
        <v/>
      </c>
      <c r="L325" s="91" t="inlineStr">
        <is>
          <t>4G</t>
        </is>
      </c>
      <c r="M325" s="91" t="n">
        <v>1800</v>
      </c>
      <c r="N325" s="91" t="inlineStr"/>
      <c r="O325" s="92" t="n">
        <v>6</v>
      </c>
      <c r="P325" t="n">
        <v>120</v>
      </c>
      <c r="R325" s="92" t="n">
        <v>0</v>
      </c>
      <c r="Y325" t="inlineStr">
        <is>
          <t>4T4R</t>
        </is>
      </c>
      <c r="AB325" s="91" t="inlineStr">
        <is>
          <t>R9254E S1800</t>
        </is>
      </c>
      <c r="AC325" s="91" t="inlineStr">
        <is>
          <t>A9652 S35*3+R9254E S1800*3+R9254E S8500*2</t>
        </is>
      </c>
      <c r="AD325" s="91">
        <f>_xlfn.XLOOKUP(AE325,[4]透视表!$G:$G,[4]透视表!$E:$E)</f>
        <v/>
      </c>
      <c r="AE325" s="91">
        <f>A325&amp;K325</f>
        <v/>
      </c>
      <c r="AL325" s="91" t="inlineStr">
        <is>
          <t>高优先级</t>
        </is>
      </c>
    </row>
    <row r="326" hidden="1" ht="15" customHeight="1" s="99">
      <c r="A326" t="inlineStr">
        <is>
          <t>GMGAM6</t>
        </is>
      </c>
      <c r="C326" s="89" t="inlineStr">
        <is>
          <t>Huawei</t>
        </is>
      </c>
      <c r="F326" t="n">
        <v>7.09004</v>
      </c>
      <c r="G326" t="n">
        <v>80.00360000000001</v>
      </c>
      <c r="H326" t="inlineStr">
        <is>
          <t>GMGAM6R</t>
        </is>
      </c>
      <c r="J326" s="91">
        <f>RIGHT(H326,1)</f>
        <v/>
      </c>
      <c r="K326" t="inlineStr">
        <is>
          <t>S3</t>
        </is>
      </c>
      <c r="L326" s="91" t="inlineStr">
        <is>
          <t>2G</t>
        </is>
      </c>
      <c r="M326" t="n">
        <v>1800</v>
      </c>
      <c r="N326" s="91" t="inlineStr"/>
      <c r="P326" t="n">
        <v>240</v>
      </c>
      <c r="R326" s="92" t="n">
        <v>2</v>
      </c>
      <c r="AB326" s="91" t="inlineStr">
        <is>
          <t>R9254E S1800</t>
        </is>
      </c>
      <c r="AC326" s="91" t="inlineStr">
        <is>
          <t>A9652 S35*3+R9254E S1800*3+R9254E S8500*2</t>
        </is>
      </c>
      <c r="AD326" s="91">
        <f>_xlfn.XLOOKUP(AE326,[4]透视表!$G:$G,[4]透视表!$E:$E)</f>
        <v/>
      </c>
      <c r="AE326" s="91">
        <f>A326&amp;K326</f>
        <v/>
      </c>
      <c r="AL326" s="91" t="inlineStr">
        <is>
          <t>高优先级</t>
        </is>
      </c>
    </row>
    <row r="327" hidden="1" ht="15" customHeight="1" s="99">
      <c r="A327" t="inlineStr">
        <is>
          <t>GMGAM6</t>
        </is>
      </c>
      <c r="B327" t="inlineStr">
        <is>
          <t>GMGAM6_GUL00_Gampaha6_Gm</t>
        </is>
      </c>
      <c r="C327" s="89" t="inlineStr">
        <is>
          <t>Huawei</t>
        </is>
      </c>
      <c r="F327" t="n">
        <v>7.09004</v>
      </c>
      <c r="G327" t="n">
        <v>80.00360000000001</v>
      </c>
      <c r="H327" t="inlineStr">
        <is>
          <t>GMGAM6I</t>
        </is>
      </c>
      <c r="J327" s="91">
        <f>RIGHT(H327,1)</f>
        <v/>
      </c>
      <c r="K327" s="91">
        <f>_xlfn.XLOOKUP(J327,#REF!,#REF!)</f>
        <v/>
      </c>
      <c r="L327" s="91" t="inlineStr">
        <is>
          <t>4G</t>
        </is>
      </c>
      <c r="M327" s="91" t="n">
        <v>1800</v>
      </c>
      <c r="N327" s="91" t="inlineStr"/>
      <c r="O327" s="92" t="n">
        <v>6</v>
      </c>
      <c r="P327" t="n">
        <v>240</v>
      </c>
      <c r="R327" s="92" t="n">
        <v>0</v>
      </c>
      <c r="Y327" t="inlineStr">
        <is>
          <t>4T4R</t>
        </is>
      </c>
      <c r="AB327" s="91" t="inlineStr">
        <is>
          <t>R9254E S1800</t>
        </is>
      </c>
      <c r="AC327" s="91" t="inlineStr">
        <is>
          <t>A9652 S35*3+R9254E S1800*3+R9254E S8500*2</t>
        </is>
      </c>
      <c r="AD327" s="91">
        <f>_xlfn.XLOOKUP(AE327,[4]透视表!$G:$G,[4]透视表!$E:$E)</f>
        <v/>
      </c>
      <c r="AE327" s="91">
        <f>A327&amp;K327</f>
        <v/>
      </c>
      <c r="AL327" s="91" t="inlineStr">
        <is>
          <t>高优先级</t>
        </is>
      </c>
    </row>
    <row r="328" hidden="1" ht="15" customHeight="1" s="99">
      <c r="A328" t="inlineStr">
        <is>
          <t>GMGAM7</t>
        </is>
      </c>
      <c r="C328" s="89" t="inlineStr">
        <is>
          <t>Huawei</t>
        </is>
      </c>
      <c r="F328" t="n">
        <v>7.09244</v>
      </c>
      <c r="G328" t="n">
        <v>79.994</v>
      </c>
      <c r="H328" t="inlineStr">
        <is>
          <t>GMGAM7P</t>
        </is>
      </c>
      <c r="J328" s="91">
        <f>RIGHT(H328,1)</f>
        <v/>
      </c>
      <c r="K328" t="inlineStr">
        <is>
          <t>S1</t>
        </is>
      </c>
      <c r="L328" s="91" t="inlineStr">
        <is>
          <t>2G</t>
        </is>
      </c>
      <c r="M328" t="n">
        <v>1800</v>
      </c>
      <c r="N328" s="91" t="e">
        <v>#N/A</v>
      </c>
      <c r="P328" t="n">
        <v>90</v>
      </c>
      <c r="R328" s="92" t="n">
        <v>2</v>
      </c>
      <c r="AB328" s="91" t="inlineStr">
        <is>
          <t>R9254E S1800</t>
        </is>
      </c>
      <c r="AC328" s="91" t="inlineStr">
        <is>
          <t>A9652 S35*3+R9254E S1800*3</t>
        </is>
      </c>
      <c r="AD328" s="91">
        <f>_xlfn.XLOOKUP(AE328,[4]透视表!$G:$G,[4]透视表!$E:$E)</f>
        <v/>
      </c>
      <c r="AE328" s="91">
        <f>A328&amp;K328</f>
        <v/>
      </c>
      <c r="AL328" s="91" t="inlineStr">
        <is>
          <t>高优先级</t>
        </is>
      </c>
    </row>
    <row r="329" hidden="1" ht="15" customHeight="1" s="99">
      <c r="A329" t="inlineStr">
        <is>
          <t>GMGAM7</t>
        </is>
      </c>
      <c r="B329" t="inlineStr">
        <is>
          <t>GMGAM7_GUL00_Gampaha_7_IP_Gm</t>
        </is>
      </c>
      <c r="C329" s="89" t="inlineStr">
        <is>
          <t>Huawei</t>
        </is>
      </c>
      <c r="F329" t="n">
        <v>7.09244</v>
      </c>
      <c r="G329" t="n">
        <v>79.994</v>
      </c>
      <c r="H329" t="inlineStr">
        <is>
          <t>GMGAM7-M-L23-A1</t>
        </is>
      </c>
      <c r="J329" s="91">
        <f>LEFT(RIGHT(H329,2),1)</f>
        <v/>
      </c>
      <c r="K329" s="91">
        <f>_xlfn.XLOOKUP(J329,#REF!,#REF!)</f>
        <v/>
      </c>
      <c r="L329" s="91" t="inlineStr">
        <is>
          <t>4G</t>
        </is>
      </c>
      <c r="M329" s="91" t="n">
        <v>2300</v>
      </c>
      <c r="N329" s="91" t="n"/>
      <c r="O329" s="92" t="n">
        <v>5.8</v>
      </c>
      <c r="P329" t="n">
        <v>90</v>
      </c>
      <c r="R329" s="92" t="n">
        <v>0</v>
      </c>
      <c r="Y329" t="inlineStr">
        <is>
          <t>2T2R</t>
        </is>
      </c>
      <c r="AC329" s="91" t="inlineStr">
        <is>
          <t>A9652 S35*3+R9254E S1800*3</t>
        </is>
      </c>
      <c r="AE329" s="91">
        <f>A329&amp;K329</f>
        <v/>
      </c>
      <c r="AL329" s="91" t="inlineStr">
        <is>
          <t>高优先级</t>
        </is>
      </c>
    </row>
    <row r="330" hidden="1" ht="15" customHeight="1" s="99">
      <c r="A330" t="inlineStr">
        <is>
          <t>GMGAM7</t>
        </is>
      </c>
      <c r="C330" s="89" t="inlineStr">
        <is>
          <t>Huawei</t>
        </is>
      </c>
      <c r="F330" t="n">
        <v>7.09244</v>
      </c>
      <c r="G330" t="n">
        <v>79.994</v>
      </c>
      <c r="H330" t="inlineStr">
        <is>
          <t>GMGAM7Q</t>
        </is>
      </c>
      <c r="J330" s="91">
        <f>RIGHT(H330,1)</f>
        <v/>
      </c>
      <c r="K330" t="inlineStr">
        <is>
          <t>S2</t>
        </is>
      </c>
      <c r="L330" s="91" t="inlineStr">
        <is>
          <t>2G</t>
        </is>
      </c>
      <c r="M330" t="n">
        <v>1800</v>
      </c>
      <c r="N330" s="91" t="e">
        <v>#N/A</v>
      </c>
      <c r="P330" t="n">
        <v>210</v>
      </c>
      <c r="R330" s="92" t="n">
        <v>2</v>
      </c>
      <c r="AB330" s="91" t="inlineStr">
        <is>
          <t>R9254E S1800</t>
        </is>
      </c>
      <c r="AC330" s="91" t="inlineStr">
        <is>
          <t>A9652 S35*3+R9254E S1800*3</t>
        </is>
      </c>
      <c r="AD330" s="91">
        <f>_xlfn.XLOOKUP(AE330,[4]透视表!$G:$G,[4]透视表!$E:$E)</f>
        <v/>
      </c>
      <c r="AE330" s="91">
        <f>A330&amp;K330</f>
        <v/>
      </c>
      <c r="AL330" s="91" t="inlineStr">
        <is>
          <t>高优先级</t>
        </is>
      </c>
    </row>
    <row r="331" hidden="1" ht="15" customHeight="1" s="99">
      <c r="A331" t="inlineStr">
        <is>
          <t>GMGAM7</t>
        </is>
      </c>
      <c r="B331" t="inlineStr">
        <is>
          <t>GMGAM7_GUL00_Gampaha_7_IP_Gm</t>
        </is>
      </c>
      <c r="C331" s="89" t="inlineStr">
        <is>
          <t>Huawei</t>
        </is>
      </c>
      <c r="F331" t="n">
        <v>7.09244</v>
      </c>
      <c r="G331" t="n">
        <v>79.994</v>
      </c>
      <c r="H331" t="inlineStr">
        <is>
          <t>GMGAM7H</t>
        </is>
      </c>
      <c r="J331" s="91">
        <f>RIGHT(H331,1)</f>
        <v/>
      </c>
      <c r="K331" s="91">
        <f>_xlfn.XLOOKUP(J331,#REF!,#REF!)</f>
        <v/>
      </c>
      <c r="L331" s="91" t="inlineStr">
        <is>
          <t>4G</t>
        </is>
      </c>
      <c r="M331" s="91" t="n">
        <v>1800</v>
      </c>
      <c r="N331" s="91" t="e">
        <v>#N/A</v>
      </c>
      <c r="O331" s="92" t="n">
        <v>5.8</v>
      </c>
      <c r="P331" t="n">
        <v>210</v>
      </c>
      <c r="R331" s="92" t="n">
        <v>0</v>
      </c>
      <c r="Y331" t="inlineStr">
        <is>
          <t>2T2R</t>
        </is>
      </c>
      <c r="AB331" s="91" t="inlineStr">
        <is>
          <t>R9254E S1800</t>
        </is>
      </c>
      <c r="AC331" s="91" t="inlineStr">
        <is>
          <t>A9652 S35*3+R9254E S1800*3</t>
        </is>
      </c>
      <c r="AD331" s="91">
        <f>_xlfn.XLOOKUP(AE331,[4]透视表!$G:$G,[4]透视表!$E:$E)</f>
        <v/>
      </c>
      <c r="AE331" s="91">
        <f>A331&amp;K331</f>
        <v/>
      </c>
      <c r="AL331" s="91" t="inlineStr">
        <is>
          <t>高优先级</t>
        </is>
      </c>
    </row>
    <row r="332" hidden="1" ht="15" customHeight="1" s="99">
      <c r="A332" t="inlineStr">
        <is>
          <t>GMGAM7</t>
        </is>
      </c>
      <c r="B332" t="inlineStr">
        <is>
          <t>GMGAM7_GUL00_Gampaha_7_IP_Gm</t>
        </is>
      </c>
      <c r="C332" s="89" t="inlineStr">
        <is>
          <t>Huawei</t>
        </is>
      </c>
      <c r="F332" t="n">
        <v>7.09244</v>
      </c>
      <c r="G332" t="n">
        <v>79.994</v>
      </c>
      <c r="H332" t="inlineStr">
        <is>
          <t>GMGAM7-M-L23-B1</t>
        </is>
      </c>
      <c r="J332" s="91">
        <f>LEFT(RIGHT(H332,2),1)</f>
        <v/>
      </c>
      <c r="K332" s="91">
        <f>_xlfn.XLOOKUP(J332,#REF!,#REF!)</f>
        <v/>
      </c>
      <c r="L332" s="91" t="inlineStr">
        <is>
          <t>4G</t>
        </is>
      </c>
      <c r="M332" s="91" t="n">
        <v>2300</v>
      </c>
      <c r="N332" s="91" t="n"/>
      <c r="O332" s="92" t="n">
        <v>5.8</v>
      </c>
      <c r="P332" t="n">
        <v>210</v>
      </c>
      <c r="R332" s="92" t="n">
        <v>0</v>
      </c>
      <c r="Y332" t="inlineStr">
        <is>
          <t>2T2R</t>
        </is>
      </c>
      <c r="AC332" s="91" t="inlineStr">
        <is>
          <t>A9652 S35*3+R9254E S1800*3</t>
        </is>
      </c>
      <c r="AE332" s="91">
        <f>A332&amp;K332</f>
        <v/>
      </c>
      <c r="AL332" s="91" t="inlineStr">
        <is>
          <t>高优先级</t>
        </is>
      </c>
    </row>
    <row r="333" hidden="1" ht="15" customHeight="1" s="99">
      <c r="A333" t="inlineStr">
        <is>
          <t>GMGAM7</t>
        </is>
      </c>
      <c r="C333" s="89" t="inlineStr">
        <is>
          <t>Huawei</t>
        </is>
      </c>
      <c r="F333" t="n">
        <v>7.09244</v>
      </c>
      <c r="G333" t="n">
        <v>79.994</v>
      </c>
      <c r="H333" t="inlineStr">
        <is>
          <t>GMGAM7R</t>
        </is>
      </c>
      <c r="J333" s="91">
        <f>RIGHT(H333,1)</f>
        <v/>
      </c>
      <c r="K333" t="inlineStr">
        <is>
          <t>S3</t>
        </is>
      </c>
      <c r="L333" s="91" t="inlineStr">
        <is>
          <t>2G</t>
        </is>
      </c>
      <c r="M333" t="n">
        <v>1800</v>
      </c>
      <c r="N333" s="91" t="e">
        <v>#N/A</v>
      </c>
      <c r="P333" t="n">
        <v>330</v>
      </c>
      <c r="R333" s="92" t="n">
        <v>2</v>
      </c>
      <c r="AB333" s="91" t="inlineStr">
        <is>
          <t>R9254E S1800</t>
        </is>
      </c>
      <c r="AC333" s="91" t="inlineStr">
        <is>
          <t>A9652 S35*3+R9254E S1800*3</t>
        </is>
      </c>
      <c r="AD333" s="91">
        <f>_xlfn.XLOOKUP(AE333,[4]透视表!$G:$G,[4]透视表!$E:$E)</f>
        <v/>
      </c>
      <c r="AE333" s="91">
        <f>A333&amp;K333</f>
        <v/>
      </c>
      <c r="AL333" s="91" t="inlineStr">
        <is>
          <t>高优先级</t>
        </is>
      </c>
    </row>
    <row r="334" hidden="1" ht="15" customHeight="1" s="99">
      <c r="A334" t="inlineStr">
        <is>
          <t>GMGAM7</t>
        </is>
      </c>
      <c r="B334" t="inlineStr">
        <is>
          <t>GMGAM7_GUL00_Gampaha_7_IP_Gm</t>
        </is>
      </c>
      <c r="C334" s="89" t="inlineStr">
        <is>
          <t>Huawei</t>
        </is>
      </c>
      <c r="F334" t="n">
        <v>7.09244</v>
      </c>
      <c r="G334" t="n">
        <v>79.994</v>
      </c>
      <c r="H334" t="inlineStr">
        <is>
          <t>GMGAM7I</t>
        </is>
      </c>
      <c r="J334" s="91">
        <f>RIGHT(H334,1)</f>
        <v/>
      </c>
      <c r="K334" s="91">
        <f>_xlfn.XLOOKUP(J334,#REF!,#REF!)</f>
        <v/>
      </c>
      <c r="L334" s="91" t="inlineStr">
        <is>
          <t>4G</t>
        </is>
      </c>
      <c r="M334" s="91" t="n">
        <v>1800</v>
      </c>
      <c r="N334" s="91" t="e">
        <v>#N/A</v>
      </c>
      <c r="O334" s="92" t="n">
        <v>5.8</v>
      </c>
      <c r="P334" t="n">
        <v>330</v>
      </c>
      <c r="R334" s="92" t="n">
        <v>0</v>
      </c>
      <c r="Y334" t="inlineStr">
        <is>
          <t>2T2R</t>
        </is>
      </c>
      <c r="AB334" s="91" t="inlineStr">
        <is>
          <t>R9254E S1800</t>
        </is>
      </c>
      <c r="AC334" s="91" t="inlineStr">
        <is>
          <t>A9652 S35*3+R9254E S1800*3</t>
        </is>
      </c>
      <c r="AD334" s="91">
        <f>_xlfn.XLOOKUP(AE334,[4]透视表!$G:$G,[4]透视表!$E:$E)</f>
        <v/>
      </c>
      <c r="AE334" s="91">
        <f>A334&amp;K334</f>
        <v/>
      </c>
      <c r="AL334" s="91" t="inlineStr">
        <is>
          <t>高优先级</t>
        </is>
      </c>
    </row>
    <row r="335" hidden="1" ht="15" customHeight="1" s="99">
      <c r="A335" t="inlineStr">
        <is>
          <t>GMGAM7</t>
        </is>
      </c>
      <c r="B335" t="inlineStr">
        <is>
          <t>GMGAM7_GUL00_Gampaha_7_IP_Gm</t>
        </is>
      </c>
      <c r="C335" s="89" t="inlineStr">
        <is>
          <t>Huawei</t>
        </is>
      </c>
      <c r="F335" t="n">
        <v>7.09244</v>
      </c>
      <c r="G335" t="n">
        <v>79.994</v>
      </c>
      <c r="H335" t="inlineStr">
        <is>
          <t>GMGAM7-M-L23-C1</t>
        </is>
      </c>
      <c r="J335" s="91">
        <f>LEFT(RIGHT(H335,2),1)</f>
        <v/>
      </c>
      <c r="K335" s="91">
        <f>_xlfn.XLOOKUP(J335,#REF!,#REF!)</f>
        <v/>
      </c>
      <c r="L335" s="91" t="inlineStr">
        <is>
          <t>4G</t>
        </is>
      </c>
      <c r="M335" s="91" t="n">
        <v>2300</v>
      </c>
      <c r="N335" s="91" t="n"/>
      <c r="O335" s="92" t="n">
        <v>5.8</v>
      </c>
      <c r="P335" t="n">
        <v>330</v>
      </c>
      <c r="R335" s="92" t="n">
        <v>0</v>
      </c>
      <c r="Y335" t="inlineStr">
        <is>
          <t>2T2R</t>
        </is>
      </c>
      <c r="AC335" s="91" t="inlineStr">
        <is>
          <t>A9652 S35*3+R9254E S1800*3</t>
        </is>
      </c>
      <c r="AE335" s="91">
        <f>A335&amp;K335</f>
        <v/>
      </c>
      <c r="AL335" s="91" t="inlineStr">
        <is>
          <t>高优先级</t>
        </is>
      </c>
    </row>
    <row r="336" hidden="1" ht="15" customHeight="1" s="99">
      <c r="A336" t="inlineStr">
        <is>
          <t>GMGAN1</t>
        </is>
      </c>
      <c r="C336" s="89" t="inlineStr">
        <is>
          <t>Huawei</t>
        </is>
      </c>
      <c r="F336" t="n">
        <v>7.07161</v>
      </c>
      <c r="G336" t="n">
        <v>79.96259999999999</v>
      </c>
      <c r="H336" t="inlineStr">
        <is>
          <t>GMGAN1A</t>
        </is>
      </c>
      <c r="J336" s="91">
        <f>RIGHT(H336,1)</f>
        <v/>
      </c>
      <c r="K336" t="inlineStr">
        <is>
          <t>S1</t>
        </is>
      </c>
      <c r="L336" s="91" t="inlineStr">
        <is>
          <t>2G</t>
        </is>
      </c>
      <c r="M336" t="n">
        <v>900</v>
      </c>
      <c r="N336" s="91" t="inlineStr">
        <is>
          <t>AQU4518R9v06</t>
        </is>
      </c>
      <c r="P336" t="n">
        <v>0</v>
      </c>
      <c r="R336" s="92" t="n">
        <v>2</v>
      </c>
      <c r="AB336" s="91" t="inlineStr">
        <is>
          <t>R9264H M901821</t>
        </is>
      </c>
      <c r="AC336" s="91" t="inlineStr">
        <is>
          <t>A9652 S35*3+R9264H M901821*3+R9254E S8500*2+R9264 M1821N*1</t>
        </is>
      </c>
      <c r="AD336" s="91">
        <f>_xlfn.XLOOKUP(AE336,[4]透视表!$G:$G,[4]透视表!$D:$D)</f>
        <v/>
      </c>
      <c r="AE336" s="91">
        <f>A336&amp;K336</f>
        <v/>
      </c>
      <c r="AL336" s="91" t="inlineStr">
        <is>
          <t>高优先级</t>
        </is>
      </c>
    </row>
    <row r="337" hidden="1" ht="15" customHeight="1" s="99">
      <c r="A337" t="inlineStr">
        <is>
          <t>GMGAN1</t>
        </is>
      </c>
      <c r="C337" s="89" t="inlineStr">
        <is>
          <t>Huawei</t>
        </is>
      </c>
      <c r="F337" t="n">
        <v>7.07161</v>
      </c>
      <c r="G337" t="n">
        <v>79.96259999999999</v>
      </c>
      <c r="H337" t="inlineStr">
        <is>
          <t>GMGAN1P</t>
        </is>
      </c>
      <c r="J337" s="91">
        <f>RIGHT(H337,1)</f>
        <v/>
      </c>
      <c r="K337" t="inlineStr">
        <is>
          <t>S1</t>
        </is>
      </c>
      <c r="L337" s="91" t="inlineStr">
        <is>
          <t>2G</t>
        </is>
      </c>
      <c r="M337" t="n">
        <v>1800</v>
      </c>
      <c r="N337" s="91" t="inlineStr">
        <is>
          <t>AQU4518R9v06</t>
        </is>
      </c>
      <c r="P337" t="n">
        <v>0</v>
      </c>
      <c r="R337" s="92" t="n">
        <v>2</v>
      </c>
      <c r="AB337" s="91" t="inlineStr">
        <is>
          <t>R9264H M901821</t>
        </is>
      </c>
      <c r="AC337" s="91" t="inlineStr">
        <is>
          <t>A9652 S35*3+R9264H M901821*3+R9254E S8500*2+R9264 M1821N*1</t>
        </is>
      </c>
      <c r="AD337" s="91">
        <f>_xlfn.XLOOKUP(AE337,[4]透视表!$G:$G,[4]透视表!$E:$E)</f>
        <v/>
      </c>
      <c r="AE337" s="91">
        <f>A337&amp;K337</f>
        <v/>
      </c>
      <c r="AL337" s="91" t="inlineStr">
        <is>
          <t>高优先级</t>
        </is>
      </c>
    </row>
    <row r="338" hidden="1" ht="15" customHeight="1" s="99">
      <c r="A338" t="inlineStr">
        <is>
          <t>GMGAN1</t>
        </is>
      </c>
      <c r="B338" t="inlineStr">
        <is>
          <t>GMGAN1_GUL00_Ganemulla_Kd</t>
        </is>
      </c>
      <c r="C338" s="89" t="inlineStr">
        <is>
          <t>Huawei</t>
        </is>
      </c>
      <c r="F338" t="n">
        <v>7.07161</v>
      </c>
      <c r="G338" t="n">
        <v>79.96259999999999</v>
      </c>
      <c r="H338" t="inlineStr">
        <is>
          <t>GMGAN1-M-L85-A1</t>
        </is>
      </c>
      <c r="J338" s="91">
        <f>LEFT(RIGHT(H338,2),1)</f>
        <v/>
      </c>
      <c r="K338" s="91">
        <f>_xlfn.XLOOKUP(J338,#REF!,#REF!)</f>
        <v/>
      </c>
      <c r="L338" s="91" t="inlineStr">
        <is>
          <t>4G</t>
        </is>
      </c>
      <c r="M338" s="91" t="n">
        <v>850</v>
      </c>
      <c r="N338" s="91" t="inlineStr">
        <is>
          <t>AQU4518R9v06</t>
        </is>
      </c>
      <c r="O338" s="92" t="n">
        <v>60</v>
      </c>
      <c r="P338" t="n">
        <v>0</v>
      </c>
      <c r="R338" s="92" t="n">
        <v>0</v>
      </c>
      <c r="Y338" t="inlineStr">
        <is>
          <t>2T2R</t>
        </is>
      </c>
      <c r="AB338" s="91" t="inlineStr">
        <is>
          <t>R9254E S8500</t>
        </is>
      </c>
      <c r="AC338" s="91" t="inlineStr">
        <is>
          <t>A9652 S35*3+R9264H M901821*3+R9254E S8500*2+R9264 M1821N*1</t>
        </is>
      </c>
      <c r="AD338" s="91">
        <f>_xlfn.XLOOKUP(AE338,[4]透视表!$G:$G,[4]透视表!$D:$D)</f>
        <v/>
      </c>
      <c r="AE338" s="91">
        <f>A338&amp;K338</f>
        <v/>
      </c>
      <c r="AL338" s="91" t="inlineStr">
        <is>
          <t>高优先级</t>
        </is>
      </c>
    </row>
    <row r="339" hidden="1" ht="15" customHeight="1" s="99">
      <c r="A339" t="inlineStr">
        <is>
          <t>GMGAN1</t>
        </is>
      </c>
      <c r="B339" t="inlineStr">
        <is>
          <t>GMGAN1_GUL00_Ganemulla_Kd</t>
        </is>
      </c>
      <c r="C339" s="89" t="inlineStr">
        <is>
          <t>Huawei</t>
        </is>
      </c>
      <c r="F339" t="n">
        <v>7.07161</v>
      </c>
      <c r="G339" t="n">
        <v>79.96259999999999</v>
      </c>
      <c r="H339" t="inlineStr">
        <is>
          <t>GMGAN1G</t>
        </is>
      </c>
      <c r="J339" s="91">
        <f>RIGHT(H339,1)</f>
        <v/>
      </c>
      <c r="K339" s="91">
        <f>_xlfn.XLOOKUP(J339,#REF!,#REF!)</f>
        <v/>
      </c>
      <c r="L339" s="91" t="inlineStr">
        <is>
          <t>4G</t>
        </is>
      </c>
      <c r="M339" s="91" t="n">
        <v>1800</v>
      </c>
      <c r="N339" s="91" t="inlineStr">
        <is>
          <t>AQU4518R9v06</t>
        </is>
      </c>
      <c r="O339" s="92" t="n">
        <v>60</v>
      </c>
      <c r="P339" t="n">
        <v>0</v>
      </c>
      <c r="R339" s="92" t="n">
        <v>0</v>
      </c>
      <c r="Y339" t="inlineStr">
        <is>
          <t>2T2R</t>
        </is>
      </c>
      <c r="AB339" s="91" t="inlineStr">
        <is>
          <t>R9264H M901821</t>
        </is>
      </c>
      <c r="AC339" s="91" t="inlineStr">
        <is>
          <t>A9652 S35*3+R9264H M901821*3+R9254E S8500*2+R9264 M1821N*1</t>
        </is>
      </c>
      <c r="AD339" s="91">
        <f>_xlfn.XLOOKUP(AE339,[4]透视表!$G:$G,[4]透视表!$E:$E)</f>
        <v/>
      </c>
      <c r="AE339" s="91">
        <f>A339&amp;K339</f>
        <v/>
      </c>
      <c r="AL339" s="91" t="inlineStr">
        <is>
          <t>高优先级</t>
        </is>
      </c>
    </row>
    <row r="340" hidden="1" ht="15" customHeight="1" s="99">
      <c r="A340" t="inlineStr">
        <is>
          <t>GMGAN1</t>
        </is>
      </c>
      <c r="B340" t="inlineStr">
        <is>
          <t>GMGAN1_GUL00_Ganemulla_Kd</t>
        </is>
      </c>
      <c r="C340" s="89" t="inlineStr">
        <is>
          <t>Huawei</t>
        </is>
      </c>
      <c r="F340" t="n">
        <v>7.07161</v>
      </c>
      <c r="G340" t="n">
        <v>79.96259999999999</v>
      </c>
      <c r="H340" t="inlineStr">
        <is>
          <t>GMGAN1-M-L21-A2</t>
        </is>
      </c>
      <c r="J340" s="91">
        <f>LEFT(RIGHT(H340,2),1)</f>
        <v/>
      </c>
      <c r="K340" s="91">
        <f>_xlfn.XLOOKUP(J340,#REF!,#REF!)</f>
        <v/>
      </c>
      <c r="L340" s="91" t="inlineStr">
        <is>
          <t>4G</t>
        </is>
      </c>
      <c r="M340" s="91" t="n">
        <v>2100</v>
      </c>
      <c r="N340" s="91" t="inlineStr">
        <is>
          <t>AQU4518R9v06</t>
        </is>
      </c>
      <c r="O340" s="92" t="n">
        <v>60</v>
      </c>
      <c r="P340" t="n">
        <v>0</v>
      </c>
      <c r="R340" s="92" t="n">
        <v>0</v>
      </c>
      <c r="Y340" t="inlineStr">
        <is>
          <t>2T2R</t>
        </is>
      </c>
      <c r="AB340" s="91" t="inlineStr">
        <is>
          <t>R9264H M901821</t>
        </is>
      </c>
      <c r="AC340" s="91" t="inlineStr">
        <is>
          <t>A9652 S35*3+R9264H M901821*3+R9254E S8500*2+R9264 M1821N*1</t>
        </is>
      </c>
      <c r="AD340" s="91">
        <f>_xlfn.XLOOKUP(AE340,[4]透视表!$G:$G,[4]透视表!$F:$F)</f>
        <v/>
      </c>
      <c r="AE340" s="91">
        <f>A340&amp;K340</f>
        <v/>
      </c>
      <c r="AL340" s="91" t="inlineStr">
        <is>
          <t>高优先级</t>
        </is>
      </c>
    </row>
    <row r="341" hidden="1" ht="15" customHeight="1" s="99">
      <c r="A341" t="inlineStr">
        <is>
          <t>GMGAN1</t>
        </is>
      </c>
      <c r="C341" s="89" t="inlineStr">
        <is>
          <t>Huawei</t>
        </is>
      </c>
      <c r="F341" t="n">
        <v>7.07161</v>
      </c>
      <c r="G341" t="n">
        <v>79.96259999999999</v>
      </c>
      <c r="H341" t="inlineStr">
        <is>
          <t>GMGAN1B</t>
        </is>
      </c>
      <c r="J341" s="91">
        <f>RIGHT(H341,1)</f>
        <v/>
      </c>
      <c r="K341" t="inlineStr">
        <is>
          <t>S2</t>
        </is>
      </c>
      <c r="L341" s="91" t="inlineStr">
        <is>
          <t>2G</t>
        </is>
      </c>
      <c r="M341" t="n">
        <v>900</v>
      </c>
      <c r="N341" s="91" t="inlineStr">
        <is>
          <t>AQU4518R9v06</t>
        </is>
      </c>
      <c r="P341" t="n">
        <v>150</v>
      </c>
      <c r="R341" s="92" t="n">
        <v>2</v>
      </c>
      <c r="AB341" s="91" t="inlineStr">
        <is>
          <t>R9264H M901821</t>
        </is>
      </c>
      <c r="AC341" s="91" t="inlineStr">
        <is>
          <t>A9652 S35*3+R9264H M901821*3+R9254E S8500*2+R9264 M1821N*1</t>
        </is>
      </c>
      <c r="AD341" s="91">
        <f>_xlfn.XLOOKUP(AE341,[4]透视表!$G:$G,[4]透视表!$D:$D)</f>
        <v/>
      </c>
      <c r="AE341" s="91">
        <f>A341&amp;K341</f>
        <v/>
      </c>
      <c r="AL341" s="91" t="inlineStr">
        <is>
          <t>高优先级</t>
        </is>
      </c>
    </row>
    <row r="342" hidden="1" ht="15" customHeight="1" s="99">
      <c r="A342" t="inlineStr">
        <is>
          <t>GMGAN1</t>
        </is>
      </c>
      <c r="C342" s="89" t="inlineStr">
        <is>
          <t>Huawei</t>
        </is>
      </c>
      <c r="F342" t="n">
        <v>7.07161</v>
      </c>
      <c r="G342" t="n">
        <v>79.96259999999999</v>
      </c>
      <c r="H342" t="inlineStr">
        <is>
          <t>GMGAN1Q</t>
        </is>
      </c>
      <c r="J342" s="91">
        <f>RIGHT(H342,1)</f>
        <v/>
      </c>
      <c r="K342" t="inlineStr">
        <is>
          <t>S2</t>
        </is>
      </c>
      <c r="L342" s="91" t="inlineStr">
        <is>
          <t>2G</t>
        </is>
      </c>
      <c r="M342" t="n">
        <v>1800</v>
      </c>
      <c r="N342" s="91" t="inlineStr">
        <is>
          <t>AQU4518R9v06</t>
        </is>
      </c>
      <c r="P342" t="n">
        <v>150</v>
      </c>
      <c r="R342" s="92" t="n">
        <v>2</v>
      </c>
      <c r="AB342" s="91" t="inlineStr">
        <is>
          <t>R9264H M901821</t>
        </is>
      </c>
      <c r="AC342" s="91" t="inlineStr">
        <is>
          <t>A9652 S35*3+R9264H M901821*3+R9254E S8500*2+R9264 M1821N*1</t>
        </is>
      </c>
      <c r="AD342" s="91">
        <f>_xlfn.XLOOKUP(AE342,[4]透视表!$G:$G,[4]透视表!$E:$E)</f>
        <v/>
      </c>
      <c r="AE342" s="91">
        <f>A342&amp;K342</f>
        <v/>
      </c>
      <c r="AL342" s="91" t="inlineStr">
        <is>
          <t>高优先级</t>
        </is>
      </c>
    </row>
    <row r="343" hidden="1" ht="15" customHeight="1" s="99">
      <c r="A343" t="inlineStr">
        <is>
          <t>GMGAN1</t>
        </is>
      </c>
      <c r="B343" t="inlineStr">
        <is>
          <t>GMGAN1_GUL00_Ganemulla_Kd</t>
        </is>
      </c>
      <c r="C343" s="89" t="inlineStr">
        <is>
          <t>Huawei</t>
        </is>
      </c>
      <c r="F343" t="n">
        <v>7.07161</v>
      </c>
      <c r="G343" t="n">
        <v>79.96259999999999</v>
      </c>
      <c r="H343" t="inlineStr">
        <is>
          <t>GMGAN1-M-L85-B1</t>
        </is>
      </c>
      <c r="J343" s="91">
        <f>LEFT(RIGHT(H343,2),1)</f>
        <v/>
      </c>
      <c r="K343" s="91">
        <f>_xlfn.XLOOKUP(J343,#REF!,#REF!)</f>
        <v/>
      </c>
      <c r="L343" s="91" t="inlineStr">
        <is>
          <t>4G</t>
        </is>
      </c>
      <c r="M343" s="91" t="n">
        <v>850</v>
      </c>
      <c r="N343" s="91" t="inlineStr">
        <is>
          <t>AQU4518R9v06</t>
        </is>
      </c>
      <c r="O343" s="92" t="n">
        <v>60</v>
      </c>
      <c r="P343" t="n">
        <v>150</v>
      </c>
      <c r="R343" s="92" t="n">
        <v>0</v>
      </c>
      <c r="Y343" t="inlineStr">
        <is>
          <t>2T2R</t>
        </is>
      </c>
      <c r="AB343" s="91" t="inlineStr">
        <is>
          <t>R9254E S8500</t>
        </is>
      </c>
      <c r="AC343" s="91" t="inlineStr">
        <is>
          <t>A9652 S35*3+R9264H M901821*3+R9254E S8500*2+R9264 M1821N*1</t>
        </is>
      </c>
      <c r="AD343" s="91">
        <f>_xlfn.XLOOKUP(AE343,[4]透视表!$G:$G,[4]透视表!$D:$D)</f>
        <v/>
      </c>
      <c r="AE343" s="91">
        <f>A343&amp;K343</f>
        <v/>
      </c>
      <c r="AL343" s="91" t="inlineStr">
        <is>
          <t>高优先级</t>
        </is>
      </c>
    </row>
    <row r="344" hidden="1" ht="15" customHeight="1" s="99">
      <c r="A344" t="inlineStr">
        <is>
          <t>GMGAN1</t>
        </is>
      </c>
      <c r="B344" t="inlineStr">
        <is>
          <t>GMGAN1_GUL00_Ganemulla_Kd</t>
        </is>
      </c>
      <c r="C344" s="89" t="inlineStr">
        <is>
          <t>Huawei</t>
        </is>
      </c>
      <c r="F344" t="n">
        <v>7.07161</v>
      </c>
      <c r="G344" t="n">
        <v>79.96259999999999</v>
      </c>
      <c r="H344" t="inlineStr">
        <is>
          <t>GMGAN1H</t>
        </is>
      </c>
      <c r="J344" s="91">
        <f>RIGHT(H344,1)</f>
        <v/>
      </c>
      <c r="K344" s="91">
        <f>_xlfn.XLOOKUP(J344,#REF!,#REF!)</f>
        <v/>
      </c>
      <c r="L344" s="91" t="inlineStr">
        <is>
          <t>4G</t>
        </is>
      </c>
      <c r="M344" s="91" t="n">
        <v>1800</v>
      </c>
      <c r="N344" s="91" t="inlineStr">
        <is>
          <t>AQU4518R9v06</t>
        </is>
      </c>
      <c r="O344" s="92" t="n">
        <v>60</v>
      </c>
      <c r="P344" t="n">
        <v>150</v>
      </c>
      <c r="R344" s="92" t="n">
        <v>0</v>
      </c>
      <c r="Y344" t="inlineStr">
        <is>
          <t>4T4R</t>
        </is>
      </c>
      <c r="AB344" s="91" t="inlineStr">
        <is>
          <t>R9264H M901821</t>
        </is>
      </c>
      <c r="AC344" s="91" t="inlineStr">
        <is>
          <t>A9652 S35*3+R9264H M901821*3+R9254E S8500*2+R9264 M1821N*1</t>
        </is>
      </c>
      <c r="AD344" s="91">
        <f>_xlfn.XLOOKUP(AE344,[4]透视表!$G:$G,[4]透视表!$E:$E)</f>
        <v/>
      </c>
      <c r="AE344" s="91">
        <f>A344&amp;K344</f>
        <v/>
      </c>
      <c r="AL344" s="91" t="inlineStr">
        <is>
          <t>高优先级</t>
        </is>
      </c>
    </row>
    <row r="345" hidden="1" ht="15" customHeight="1" s="99">
      <c r="A345" t="inlineStr">
        <is>
          <t>GMGAN1</t>
        </is>
      </c>
      <c r="B345" t="inlineStr">
        <is>
          <t>GMGAN1_GUL00_Ganemulla_Kd</t>
        </is>
      </c>
      <c r="C345" s="89" t="inlineStr">
        <is>
          <t>Huawei</t>
        </is>
      </c>
      <c r="F345" t="n">
        <v>7.07161</v>
      </c>
      <c r="G345" t="n">
        <v>79.96259999999999</v>
      </c>
      <c r="H345" t="inlineStr">
        <is>
          <t>GMGAN1-M-L21-B2</t>
        </is>
      </c>
      <c r="J345" s="91">
        <f>LEFT(RIGHT(H345,2),1)</f>
        <v/>
      </c>
      <c r="K345" s="91">
        <f>_xlfn.XLOOKUP(J345,#REF!,#REF!)</f>
        <v/>
      </c>
      <c r="L345" s="91" t="inlineStr">
        <is>
          <t>4G</t>
        </is>
      </c>
      <c r="M345" s="91" t="n">
        <v>2100</v>
      </c>
      <c r="N345" s="91" t="inlineStr">
        <is>
          <t>AQU4518R9v06</t>
        </is>
      </c>
      <c r="O345" s="92" t="n">
        <v>60</v>
      </c>
      <c r="P345" t="n">
        <v>150</v>
      </c>
      <c r="R345" s="92" t="n">
        <v>0</v>
      </c>
      <c r="Y345" t="inlineStr">
        <is>
          <t>2T2R</t>
        </is>
      </c>
      <c r="AB345" s="91" t="inlineStr">
        <is>
          <t>R9264H M901821</t>
        </is>
      </c>
      <c r="AC345" s="91" t="inlineStr">
        <is>
          <t>A9652 S35*3+R9264H M901821*3+R9254E S8500*2+R9264 M1821N*1</t>
        </is>
      </c>
      <c r="AD345" s="91">
        <f>_xlfn.XLOOKUP(AE345,[4]透视表!$G:$G,[4]透视表!$F:$F)</f>
        <v/>
      </c>
      <c r="AE345" s="91">
        <f>A345&amp;K345</f>
        <v/>
      </c>
      <c r="AL345" s="91" t="inlineStr">
        <is>
          <t>高优先级</t>
        </is>
      </c>
    </row>
    <row r="346" hidden="1" ht="15" customHeight="1" s="99">
      <c r="A346" t="inlineStr">
        <is>
          <t>GMGAN1</t>
        </is>
      </c>
      <c r="C346" s="89" t="inlineStr">
        <is>
          <t>Huawei</t>
        </is>
      </c>
      <c r="F346" t="n">
        <v>7.07161</v>
      </c>
      <c r="G346" t="n">
        <v>79.96259999999999</v>
      </c>
      <c r="H346" t="inlineStr">
        <is>
          <t>GMGAN1C</t>
        </is>
      </c>
      <c r="J346" s="91">
        <f>RIGHT(H346,1)</f>
        <v/>
      </c>
      <c r="K346" t="inlineStr">
        <is>
          <t>S3</t>
        </is>
      </c>
      <c r="L346" s="91" t="inlineStr">
        <is>
          <t>2G</t>
        </is>
      </c>
      <c r="M346" t="n">
        <v>900</v>
      </c>
      <c r="N346" s="91" t="inlineStr">
        <is>
          <t>AQU4518R9v06</t>
        </is>
      </c>
      <c r="P346" t="n">
        <v>240</v>
      </c>
      <c r="R346" s="92" t="n">
        <v>2</v>
      </c>
      <c r="AB346" s="91" t="inlineStr">
        <is>
          <t>R9264H M901821</t>
        </is>
      </c>
      <c r="AC346" s="91" t="inlineStr">
        <is>
          <t>A9652 S35*3+R9264H M901821*3+R9254E S8500*2+R9264 M1821N*1</t>
        </is>
      </c>
      <c r="AD346" s="91">
        <f>_xlfn.XLOOKUP(AE346,[4]透视表!$G:$G,[4]透视表!$D:$D)</f>
        <v/>
      </c>
      <c r="AE346" s="91">
        <f>A346&amp;K346</f>
        <v/>
      </c>
      <c r="AL346" s="91" t="inlineStr">
        <is>
          <t>高优先级</t>
        </is>
      </c>
    </row>
    <row r="347" hidden="1" ht="15" customHeight="1" s="99">
      <c r="A347" t="inlineStr">
        <is>
          <t>GMGAN1</t>
        </is>
      </c>
      <c r="C347" s="89" t="inlineStr">
        <is>
          <t>Huawei</t>
        </is>
      </c>
      <c r="F347" t="n">
        <v>7.07161</v>
      </c>
      <c r="G347" t="n">
        <v>79.96259999999999</v>
      </c>
      <c r="H347" t="inlineStr">
        <is>
          <t>GMGAN1R</t>
        </is>
      </c>
      <c r="J347" s="91">
        <f>RIGHT(H347,1)</f>
        <v/>
      </c>
      <c r="K347" t="inlineStr">
        <is>
          <t>S3</t>
        </is>
      </c>
      <c r="L347" s="91" t="inlineStr">
        <is>
          <t>2G</t>
        </is>
      </c>
      <c r="M347" t="n">
        <v>1800</v>
      </c>
      <c r="N347" s="91" t="inlineStr">
        <is>
          <t>AQU4518R9v06</t>
        </is>
      </c>
      <c r="P347" t="n">
        <v>240</v>
      </c>
      <c r="R347" s="92" t="n">
        <v>2</v>
      </c>
      <c r="AB347" s="91" t="inlineStr">
        <is>
          <t>R9264H M901821</t>
        </is>
      </c>
      <c r="AC347" s="91" t="inlineStr">
        <is>
          <t>A9652 S35*3+R9264H M901821*3+R9254E S8500*2+R9264 M1821N*1</t>
        </is>
      </c>
      <c r="AD347" s="91">
        <f>_xlfn.XLOOKUP(AE347,[4]透视表!$G:$G,[4]透视表!$E:$E)</f>
        <v/>
      </c>
      <c r="AE347" s="91">
        <f>A347&amp;K347</f>
        <v/>
      </c>
      <c r="AL347" s="91" t="inlineStr">
        <is>
          <t>高优先级</t>
        </is>
      </c>
    </row>
    <row r="348" hidden="1" ht="15" customHeight="1" s="99">
      <c r="A348" t="inlineStr">
        <is>
          <t>GMGAN1</t>
        </is>
      </c>
      <c r="B348" t="inlineStr">
        <is>
          <t>GMGAN1_GUL00_Ganemulla_Kd</t>
        </is>
      </c>
      <c r="C348" s="89" t="inlineStr">
        <is>
          <t>Huawei</t>
        </is>
      </c>
      <c r="F348" t="n">
        <v>7.07161</v>
      </c>
      <c r="G348" t="n">
        <v>79.96259999999999</v>
      </c>
      <c r="H348" t="inlineStr">
        <is>
          <t>GMGAN1-M-L85-C1</t>
        </is>
      </c>
      <c r="J348" s="91">
        <f>LEFT(RIGHT(H348,2),1)</f>
        <v/>
      </c>
      <c r="K348" s="91">
        <f>_xlfn.XLOOKUP(J348,#REF!,#REF!)</f>
        <v/>
      </c>
      <c r="L348" s="91" t="inlineStr">
        <is>
          <t>4G</t>
        </is>
      </c>
      <c r="M348" s="91" t="n">
        <v>850</v>
      </c>
      <c r="N348" s="91" t="inlineStr">
        <is>
          <t>AQU4518R9v06</t>
        </is>
      </c>
      <c r="O348" s="92" t="n">
        <v>60</v>
      </c>
      <c r="P348" t="n">
        <v>240</v>
      </c>
      <c r="R348" s="92" t="n">
        <v>0</v>
      </c>
      <c r="Y348" t="inlineStr">
        <is>
          <t>2T2R</t>
        </is>
      </c>
      <c r="AB348" s="91" t="inlineStr">
        <is>
          <t>R9254E S8500</t>
        </is>
      </c>
      <c r="AC348" s="91" t="inlineStr">
        <is>
          <t>A9652 S35*3+R9264H M901821*3+R9254E S8500*2+R9264 M1821N*1</t>
        </is>
      </c>
      <c r="AD348" s="91">
        <f>_xlfn.XLOOKUP(AE348,[4]透视表!$G:$G,[4]透视表!$D:$D)</f>
        <v/>
      </c>
      <c r="AE348" s="91">
        <f>A348&amp;K348</f>
        <v/>
      </c>
      <c r="AL348" s="91" t="inlineStr">
        <is>
          <t>高优先级</t>
        </is>
      </c>
    </row>
    <row r="349" hidden="1" ht="15" customHeight="1" s="99">
      <c r="A349" t="inlineStr">
        <is>
          <t>GMGAN1</t>
        </is>
      </c>
      <c r="B349" t="inlineStr">
        <is>
          <t>GMGAN1_GUL00_Ganemulla_Kd</t>
        </is>
      </c>
      <c r="C349" s="89" t="inlineStr">
        <is>
          <t>Huawei</t>
        </is>
      </c>
      <c r="F349" t="n">
        <v>7.07161</v>
      </c>
      <c r="G349" t="n">
        <v>79.96259999999999</v>
      </c>
      <c r="H349" t="inlineStr">
        <is>
          <t>GMGAN1I</t>
        </is>
      </c>
      <c r="J349" s="91">
        <f>RIGHT(H349,1)</f>
        <v/>
      </c>
      <c r="K349" s="91">
        <f>_xlfn.XLOOKUP(J349,#REF!,#REF!)</f>
        <v/>
      </c>
      <c r="L349" s="91" t="inlineStr">
        <is>
          <t>4G</t>
        </is>
      </c>
      <c r="M349" s="91" t="n">
        <v>1800</v>
      </c>
      <c r="N349" s="91" t="inlineStr">
        <is>
          <t>AQU4518R9v06</t>
        </is>
      </c>
      <c r="O349" s="92" t="n">
        <v>60</v>
      </c>
      <c r="P349" t="n">
        <v>240</v>
      </c>
      <c r="R349" s="92" t="n">
        <v>0</v>
      </c>
      <c r="Y349" t="inlineStr">
        <is>
          <t>4T4R</t>
        </is>
      </c>
      <c r="AB349" s="91" t="inlineStr">
        <is>
          <t>R9264H M901821</t>
        </is>
      </c>
      <c r="AC349" s="91" t="inlineStr">
        <is>
          <t>A9652 S35*3+R9264H M901821*3+R9254E S8500*2+R9264 M1821N*1</t>
        </is>
      </c>
      <c r="AD349" s="91">
        <f>_xlfn.XLOOKUP(AE349,[4]透视表!$G:$G,[4]透视表!$E:$E)</f>
        <v/>
      </c>
      <c r="AE349" s="91">
        <f>A349&amp;K349</f>
        <v/>
      </c>
      <c r="AL349" s="91" t="inlineStr">
        <is>
          <t>高优先级</t>
        </is>
      </c>
    </row>
    <row r="350" hidden="1" ht="15" customHeight="1" s="99">
      <c r="A350" t="inlineStr">
        <is>
          <t>GMGAN1</t>
        </is>
      </c>
      <c r="B350" t="inlineStr">
        <is>
          <t>GMGAN1_GUL00_Ganemulla_Kd</t>
        </is>
      </c>
      <c r="C350" s="89" t="inlineStr">
        <is>
          <t>Huawei</t>
        </is>
      </c>
      <c r="F350" t="n">
        <v>7.07161</v>
      </c>
      <c r="G350" t="n">
        <v>79.96259999999999</v>
      </c>
      <c r="H350" t="inlineStr">
        <is>
          <t>GMGAN1-M-L21-C2</t>
        </is>
      </c>
      <c r="J350" s="91">
        <f>LEFT(RIGHT(H350,2),1)</f>
        <v/>
      </c>
      <c r="K350" s="91">
        <f>_xlfn.XLOOKUP(J350,#REF!,#REF!)</f>
        <v/>
      </c>
      <c r="L350" s="91" t="inlineStr">
        <is>
          <t>4G</t>
        </is>
      </c>
      <c r="M350" s="91" t="n">
        <v>2100</v>
      </c>
      <c r="N350" s="91" t="inlineStr">
        <is>
          <t>AQU4518R9v06</t>
        </is>
      </c>
      <c r="O350" s="92" t="n">
        <v>60</v>
      </c>
      <c r="P350" t="n">
        <v>240</v>
      </c>
      <c r="R350" s="92" t="n">
        <v>0</v>
      </c>
      <c r="Y350" t="inlineStr">
        <is>
          <t>2T2R</t>
        </is>
      </c>
      <c r="AB350" s="91" t="inlineStr">
        <is>
          <t>R9264H M901821</t>
        </is>
      </c>
      <c r="AC350" s="91" t="inlineStr">
        <is>
          <t>A9652 S35*3+R9264H M901821*3+R9254E S8500*2+R9264 M1821N*1</t>
        </is>
      </c>
      <c r="AD350" s="91">
        <f>_xlfn.XLOOKUP(AE350,[4]透视表!$G:$G,[4]透视表!$F:$F)</f>
        <v/>
      </c>
      <c r="AE350" s="91">
        <f>A350&amp;K350</f>
        <v/>
      </c>
      <c r="AL350" s="91" t="inlineStr">
        <is>
          <t>高优先级</t>
        </is>
      </c>
    </row>
    <row r="351" hidden="1" ht="15" customHeight="1" s="99">
      <c r="A351" t="inlineStr">
        <is>
          <t>GMGAN1</t>
        </is>
      </c>
      <c r="C351" s="89" t="inlineStr">
        <is>
          <t>Huawei</t>
        </is>
      </c>
      <c r="F351" t="n">
        <v>7.07161</v>
      </c>
      <c r="G351" t="n">
        <v>79.96259999999999</v>
      </c>
      <c r="H351" t="inlineStr">
        <is>
          <t>GMGAN1S</t>
        </is>
      </c>
      <c r="J351" s="91">
        <f>RIGHT(H351,1)</f>
        <v/>
      </c>
      <c r="K351" t="inlineStr">
        <is>
          <t>S4</t>
        </is>
      </c>
      <c r="L351" s="91" t="inlineStr">
        <is>
          <t>2G</t>
        </is>
      </c>
      <c r="M351" t="n">
        <v>1800</v>
      </c>
      <c r="N351" s="91" t="e">
        <v>#N/A</v>
      </c>
      <c r="P351" t="n">
        <v>50</v>
      </c>
      <c r="R351" s="92" t="n">
        <v>2</v>
      </c>
      <c r="AB351" s="91" t="inlineStr">
        <is>
          <t>R9264 M1821N</t>
        </is>
      </c>
      <c r="AC351" s="91" t="inlineStr">
        <is>
          <t>A9652 S35*3+R9264H M901821*3+R9254E S8500*2+R9264 M1821N*1</t>
        </is>
      </c>
      <c r="AD351" s="91">
        <f>_xlfn.XLOOKUP(AE351,[4]透视表!$G:$G,[4]透视表!$E:$E)</f>
        <v/>
      </c>
      <c r="AE351" s="91">
        <f>A351&amp;K351</f>
        <v/>
      </c>
      <c r="AL351" s="91" t="inlineStr">
        <is>
          <t>高优先级</t>
        </is>
      </c>
    </row>
    <row r="352" hidden="1" ht="15" customHeight="1" s="99">
      <c r="A352" t="inlineStr">
        <is>
          <t>GMGAN1</t>
        </is>
      </c>
      <c r="B352" t="inlineStr">
        <is>
          <t>GMGAN1_GUL00_Ganemulla_Kd</t>
        </is>
      </c>
      <c r="C352" s="89" t="inlineStr">
        <is>
          <t>Huawei</t>
        </is>
      </c>
      <c r="F352" t="n">
        <v>7.07161</v>
      </c>
      <c r="G352" t="n">
        <v>79.96259999999999</v>
      </c>
      <c r="H352" t="inlineStr">
        <is>
          <t>GMGAN1F</t>
        </is>
      </c>
      <c r="J352" s="91">
        <f>RIGHT(H352,1)</f>
        <v/>
      </c>
      <c r="K352" s="91">
        <f>_xlfn.XLOOKUP(J352,#REF!,#REF!)</f>
        <v/>
      </c>
      <c r="L352" s="91" t="inlineStr">
        <is>
          <t>4G</t>
        </is>
      </c>
      <c r="M352" s="91" t="n">
        <v>1800</v>
      </c>
      <c r="N352" s="91" t="e">
        <v>#N/A</v>
      </c>
      <c r="O352" s="92" t="n">
        <v>60</v>
      </c>
      <c r="P352" t="n">
        <v>50</v>
      </c>
      <c r="R352" s="92" t="n">
        <v>0</v>
      </c>
      <c r="Y352" t="inlineStr">
        <is>
          <t>2T2R</t>
        </is>
      </c>
      <c r="AB352" s="91" t="inlineStr">
        <is>
          <t>R9264 M1821N</t>
        </is>
      </c>
      <c r="AC352" s="91" t="inlineStr">
        <is>
          <t>A9652 S35*3+R9264H M901821*3+R9254E S8500*2+R9264 M1821N*1</t>
        </is>
      </c>
      <c r="AD352" s="91">
        <f>_xlfn.XLOOKUP(AE352,[4]透视表!$G:$G,[4]透视表!$E:$E)</f>
        <v/>
      </c>
      <c r="AE352" s="91">
        <f>A352&amp;K352</f>
        <v/>
      </c>
      <c r="AL352" s="91" t="inlineStr">
        <is>
          <t>高优先级</t>
        </is>
      </c>
    </row>
    <row r="353" hidden="1" ht="15" customHeight="1" s="99">
      <c r="A353" t="inlineStr">
        <is>
          <t>GMGAN2</t>
        </is>
      </c>
      <c r="C353" s="89" t="inlineStr">
        <is>
          <t>Huawei</t>
        </is>
      </c>
      <c r="F353" t="n">
        <v>7.06558</v>
      </c>
      <c r="G353" t="n">
        <v>79.9603</v>
      </c>
      <c r="H353" t="inlineStr">
        <is>
          <t>GMGAN2A</t>
        </is>
      </c>
      <c r="J353" s="91">
        <f>RIGHT(H353,1)</f>
        <v/>
      </c>
      <c r="K353" t="inlineStr">
        <is>
          <t>S1</t>
        </is>
      </c>
      <c r="L353" s="91" t="inlineStr">
        <is>
          <t>2G</t>
        </is>
      </c>
      <c r="M353" t="n">
        <v>900</v>
      </c>
      <c r="N353" s="91" t="inlineStr">
        <is>
          <t>AQU4518R9v06</t>
        </is>
      </c>
      <c r="P353" t="n">
        <v>80</v>
      </c>
      <c r="R353" s="92" t="n">
        <v>2</v>
      </c>
      <c r="AB353" s="91" t="inlineStr">
        <is>
          <t>R9264H M901821</t>
        </is>
      </c>
      <c r="AC353" s="91" t="inlineStr">
        <is>
          <t>A9652 S35*3+R9264H M901821*3+R9254E S8500*2+R9264 M1821N*1</t>
        </is>
      </c>
      <c r="AD353" s="91">
        <f>_xlfn.XLOOKUP(AE353,[4]透视表!$G:$G,[4]透视表!$D:$D)</f>
        <v/>
      </c>
      <c r="AE353" s="91">
        <f>A353&amp;K353</f>
        <v/>
      </c>
      <c r="AL353" s="91" t="inlineStr">
        <is>
          <t>高优先级</t>
        </is>
      </c>
    </row>
    <row r="354" hidden="1" ht="15" customHeight="1" s="99">
      <c r="A354" t="inlineStr">
        <is>
          <t>GMGAN2</t>
        </is>
      </c>
      <c r="B354" t="inlineStr">
        <is>
          <t>GMGAN2_GUL00_Ganemulla_SLT_Kd</t>
        </is>
      </c>
      <c r="C354" s="89" t="inlineStr">
        <is>
          <t>Huawei</t>
        </is>
      </c>
      <c r="F354" t="n">
        <v>7.06558</v>
      </c>
      <c r="G354" t="n">
        <v>79.9603</v>
      </c>
      <c r="H354" t="inlineStr">
        <is>
          <t>GMGAN2-M-L85-A1</t>
        </is>
      </c>
      <c r="J354" s="91">
        <f>LEFT(RIGHT(H354,2),1)</f>
        <v/>
      </c>
      <c r="K354" s="91">
        <f>_xlfn.XLOOKUP(J354,#REF!,#REF!)</f>
        <v/>
      </c>
      <c r="L354" s="91" t="inlineStr">
        <is>
          <t>4G</t>
        </is>
      </c>
      <c r="M354" s="91" t="n">
        <v>850</v>
      </c>
      <c r="N354" s="91" t="inlineStr">
        <is>
          <t>AQU4518R9v06</t>
        </is>
      </c>
      <c r="O354" s="92" t="n">
        <v>50</v>
      </c>
      <c r="P354" t="n">
        <v>80</v>
      </c>
      <c r="R354" s="92" t="n">
        <v>0</v>
      </c>
      <c r="Y354" t="inlineStr">
        <is>
          <t>2T2R</t>
        </is>
      </c>
      <c r="AB354" s="91" t="inlineStr">
        <is>
          <t>R9254E S8500</t>
        </is>
      </c>
      <c r="AC354" s="91" t="inlineStr">
        <is>
          <t>A9652 S35*3+R9264H M901821*3+R9254E S8500*2+R9264 M1821N*1</t>
        </is>
      </c>
      <c r="AD354" s="91">
        <f>_xlfn.XLOOKUP(AE354,[4]透视表!$G:$G,[4]透视表!$D:$D)</f>
        <v/>
      </c>
      <c r="AE354" s="91">
        <f>A354&amp;K354</f>
        <v/>
      </c>
      <c r="AL354" s="91" t="inlineStr">
        <is>
          <t>高优先级</t>
        </is>
      </c>
    </row>
    <row r="355" hidden="1" ht="15" customHeight="1" s="99">
      <c r="A355" t="inlineStr">
        <is>
          <t>GMGAN2</t>
        </is>
      </c>
      <c r="B355" t="inlineStr">
        <is>
          <t>GMGAN2_GUL00_Ganemulla_SLT_Kd</t>
        </is>
      </c>
      <c r="C355" s="89" t="inlineStr">
        <is>
          <t>Huawei</t>
        </is>
      </c>
      <c r="F355" t="n">
        <v>7.06558</v>
      </c>
      <c r="G355" t="n">
        <v>79.9603</v>
      </c>
      <c r="H355" t="inlineStr">
        <is>
          <t>GMGAN2G</t>
        </is>
      </c>
      <c r="J355" s="91">
        <f>RIGHT(H355,1)</f>
        <v/>
      </c>
      <c r="K355" s="91">
        <f>_xlfn.XLOOKUP(J355,#REF!,#REF!)</f>
        <v/>
      </c>
      <c r="L355" s="91" t="inlineStr">
        <is>
          <t>4G</t>
        </is>
      </c>
      <c r="M355" s="91" t="n">
        <v>1800</v>
      </c>
      <c r="N355" s="91" t="inlineStr">
        <is>
          <t>AQU4518R9v06</t>
        </is>
      </c>
      <c r="O355" s="92" t="n">
        <v>50</v>
      </c>
      <c r="P355" t="n">
        <v>80</v>
      </c>
      <c r="R355" s="92" t="n">
        <v>0</v>
      </c>
      <c r="Y355" t="inlineStr">
        <is>
          <t>4T4R</t>
        </is>
      </c>
      <c r="AB355" s="91" t="inlineStr">
        <is>
          <t>R9264H M901821</t>
        </is>
      </c>
      <c r="AC355" s="91" t="inlineStr">
        <is>
          <t>A9652 S35*3+R9264H M901821*3+R9254E S8500*2+R9264 M1821N*1</t>
        </is>
      </c>
      <c r="AD355" s="91">
        <f>_xlfn.XLOOKUP(AE355,[4]透视表!$G:$G,[4]透视表!$E:$E)</f>
        <v/>
      </c>
      <c r="AE355" s="91">
        <f>A355&amp;K355</f>
        <v/>
      </c>
      <c r="AL355" s="91" t="inlineStr">
        <is>
          <t>高优先级</t>
        </is>
      </c>
    </row>
    <row r="356" hidden="1" ht="15" customHeight="1" s="99">
      <c r="A356" t="inlineStr">
        <is>
          <t>GMGAN2</t>
        </is>
      </c>
      <c r="B356" t="inlineStr">
        <is>
          <t>GMGAN2_GUL00_Ganemulla_SLT_Kd</t>
        </is>
      </c>
      <c r="C356" s="89" t="inlineStr">
        <is>
          <t>Huawei</t>
        </is>
      </c>
      <c r="F356" t="n">
        <v>7.06558</v>
      </c>
      <c r="G356" t="n">
        <v>79.9603</v>
      </c>
      <c r="H356" t="inlineStr">
        <is>
          <t>GMGAN2-M-L21-A2</t>
        </is>
      </c>
      <c r="J356" s="91">
        <f>LEFT(RIGHT(H356,2),1)</f>
        <v/>
      </c>
      <c r="K356" s="91">
        <f>_xlfn.XLOOKUP(J356,#REF!,#REF!)</f>
        <v/>
      </c>
      <c r="L356" s="91" t="inlineStr">
        <is>
          <t>4G</t>
        </is>
      </c>
      <c r="M356" s="91" t="n">
        <v>2100</v>
      </c>
      <c r="N356" s="91" t="inlineStr">
        <is>
          <t>AQU4518R9v06</t>
        </is>
      </c>
      <c r="O356" s="92" t="n">
        <v>50</v>
      </c>
      <c r="P356" t="n">
        <v>80</v>
      </c>
      <c r="R356" s="92" t="n">
        <v>0</v>
      </c>
      <c r="Y356" t="inlineStr">
        <is>
          <t>2T2R</t>
        </is>
      </c>
      <c r="AB356" s="91" t="inlineStr">
        <is>
          <t>R9264H M901821</t>
        </is>
      </c>
      <c r="AC356" s="91" t="inlineStr">
        <is>
          <t>A9652 S35*3+R9264H M901821*3+R9254E S8500*2+R9264 M1821N*1</t>
        </is>
      </c>
      <c r="AD356" s="91">
        <f>_xlfn.XLOOKUP(AE356,[4]透视表!$G:$G,[4]透视表!$F:$F)</f>
        <v/>
      </c>
      <c r="AE356" s="91">
        <f>A356&amp;K356</f>
        <v/>
      </c>
      <c r="AL356" s="91" t="inlineStr">
        <is>
          <t>高优先级</t>
        </is>
      </c>
    </row>
    <row r="357" hidden="1" ht="15" customHeight="1" s="99">
      <c r="A357" t="inlineStr">
        <is>
          <t>GMGAN2</t>
        </is>
      </c>
      <c r="C357" s="89" t="inlineStr">
        <is>
          <t>Huawei</t>
        </is>
      </c>
      <c r="F357" t="n">
        <v>7.06558</v>
      </c>
      <c r="G357" t="n">
        <v>79.9603</v>
      </c>
      <c r="H357" t="inlineStr">
        <is>
          <t>GMGAN2B</t>
        </is>
      </c>
      <c r="J357" s="91">
        <f>RIGHT(H357,1)</f>
        <v/>
      </c>
      <c r="K357" t="inlineStr">
        <is>
          <t>S2</t>
        </is>
      </c>
      <c r="L357" s="91" t="inlineStr">
        <is>
          <t>2G</t>
        </is>
      </c>
      <c r="M357" t="n">
        <v>900</v>
      </c>
      <c r="N357" s="91" t="inlineStr">
        <is>
          <t>AQU4518R9v06</t>
        </is>
      </c>
      <c r="P357" t="n">
        <v>165</v>
      </c>
      <c r="R357" s="92" t="n">
        <v>2</v>
      </c>
      <c r="AB357" s="91" t="inlineStr">
        <is>
          <t>R9264H M901821</t>
        </is>
      </c>
      <c r="AC357" s="91" t="inlineStr">
        <is>
          <t>A9652 S35*3+R9264H M901821*3+R9254E S8500*2+R9264 M1821N*1</t>
        </is>
      </c>
      <c r="AD357" s="91">
        <f>_xlfn.XLOOKUP(AE357,[4]透视表!$G:$G,[4]透视表!$D:$D)</f>
        <v/>
      </c>
      <c r="AE357" s="91">
        <f>A357&amp;K357</f>
        <v/>
      </c>
      <c r="AL357" s="91" t="inlineStr">
        <is>
          <t>高优先级</t>
        </is>
      </c>
    </row>
    <row r="358" hidden="1" ht="15" customHeight="1" s="99">
      <c r="A358" t="inlineStr">
        <is>
          <t>GMGAN2</t>
        </is>
      </c>
      <c r="C358" s="89" t="inlineStr">
        <is>
          <t>Huawei</t>
        </is>
      </c>
      <c r="F358" t="n">
        <v>7.06558</v>
      </c>
      <c r="G358" t="n">
        <v>79.9603</v>
      </c>
      <c r="H358" t="inlineStr">
        <is>
          <t>GMGAN22</t>
        </is>
      </c>
      <c r="J358" s="91">
        <f>RIGHT(H358,1)</f>
        <v/>
      </c>
      <c r="K358" t="inlineStr">
        <is>
          <t>S2</t>
        </is>
      </c>
      <c r="L358" s="91" t="inlineStr">
        <is>
          <t>2G</t>
        </is>
      </c>
      <c r="M358" t="n">
        <v>1800</v>
      </c>
      <c r="N358" s="91" t="inlineStr">
        <is>
          <t>AQU4518R9v06</t>
        </is>
      </c>
      <c r="P358" t="n">
        <v>165</v>
      </c>
      <c r="R358" s="92" t="n">
        <v>2</v>
      </c>
      <c r="AB358" s="91" t="inlineStr">
        <is>
          <t>R9264H M901821</t>
        </is>
      </c>
      <c r="AC358" s="91" t="inlineStr">
        <is>
          <t>A9652 S35*3+R9264H M901821*3+R9254E S8500*2+R9264 M1821N*1</t>
        </is>
      </c>
      <c r="AD358" s="91">
        <f>_xlfn.XLOOKUP(AE358,[4]透视表!$G:$G,[4]透视表!$E:$E)</f>
        <v/>
      </c>
      <c r="AE358" s="91">
        <f>A358&amp;K358</f>
        <v/>
      </c>
      <c r="AL358" s="91" t="inlineStr">
        <is>
          <t>高优先级</t>
        </is>
      </c>
    </row>
    <row r="359" hidden="1" ht="15" customHeight="1" s="99">
      <c r="A359" t="inlineStr">
        <is>
          <t>GMGAN2</t>
        </is>
      </c>
      <c r="B359" t="inlineStr">
        <is>
          <t>GMGAN2_GUL00_Ganemulla_SLT_Kd</t>
        </is>
      </c>
      <c r="C359" s="89" t="inlineStr">
        <is>
          <t>Huawei</t>
        </is>
      </c>
      <c r="F359" t="n">
        <v>7.06558</v>
      </c>
      <c r="G359" t="n">
        <v>79.9603</v>
      </c>
      <c r="H359" t="inlineStr">
        <is>
          <t>GMGAN2-M-L85-B1</t>
        </is>
      </c>
      <c r="J359" s="91">
        <f>LEFT(RIGHT(H359,2),1)</f>
        <v/>
      </c>
      <c r="K359" s="91">
        <f>_xlfn.XLOOKUP(J359,#REF!,#REF!)</f>
        <v/>
      </c>
      <c r="L359" s="91" t="inlineStr">
        <is>
          <t>4G</t>
        </is>
      </c>
      <c r="M359" s="91" t="n">
        <v>850</v>
      </c>
      <c r="N359" s="91" t="inlineStr">
        <is>
          <t>AQU4518R9v06</t>
        </is>
      </c>
      <c r="O359" s="92" t="n">
        <v>50</v>
      </c>
      <c r="P359" t="n">
        <v>165</v>
      </c>
      <c r="R359" s="92" t="n">
        <v>0</v>
      </c>
      <c r="Y359" t="inlineStr">
        <is>
          <t>2T2R</t>
        </is>
      </c>
      <c r="AB359" s="91" t="inlineStr">
        <is>
          <t>R9254E S8500</t>
        </is>
      </c>
      <c r="AC359" s="91" t="inlineStr">
        <is>
          <t>A9652 S35*3+R9264H M901821*3+R9254E S8500*2+R9264 M1821N*1</t>
        </is>
      </c>
      <c r="AD359" s="91">
        <f>_xlfn.XLOOKUP(AE359,[4]透视表!$G:$G,[4]透视表!$D:$D)</f>
        <v/>
      </c>
      <c r="AE359" s="91">
        <f>A359&amp;K359</f>
        <v/>
      </c>
      <c r="AL359" s="91" t="inlineStr">
        <is>
          <t>高优先级</t>
        </is>
      </c>
    </row>
    <row r="360" hidden="1" ht="15" customHeight="1" s="99">
      <c r="A360" t="inlineStr">
        <is>
          <t>GMGAN2</t>
        </is>
      </c>
      <c r="B360" t="inlineStr">
        <is>
          <t>GMGAN2_GUL00_Ganemulla_SLT_Kd</t>
        </is>
      </c>
      <c r="C360" s="89" t="inlineStr">
        <is>
          <t>Huawei</t>
        </is>
      </c>
      <c r="F360" t="n">
        <v>7.06558</v>
      </c>
      <c r="G360" t="n">
        <v>79.9603</v>
      </c>
      <c r="H360" t="inlineStr">
        <is>
          <t>GMGAN2H</t>
        </is>
      </c>
      <c r="J360" s="91">
        <f>RIGHT(H360,1)</f>
        <v/>
      </c>
      <c r="K360" s="91">
        <f>_xlfn.XLOOKUP(J360,#REF!,#REF!)</f>
        <v/>
      </c>
      <c r="L360" s="91" t="inlineStr">
        <is>
          <t>4G</t>
        </is>
      </c>
      <c r="M360" s="91" t="n">
        <v>1800</v>
      </c>
      <c r="N360" s="91" t="inlineStr">
        <is>
          <t>AQU4518R9v06</t>
        </is>
      </c>
      <c r="O360" s="92" t="n">
        <v>50</v>
      </c>
      <c r="P360" t="n">
        <v>165</v>
      </c>
      <c r="R360" s="92" t="n">
        <v>0</v>
      </c>
      <c r="Y360" t="inlineStr">
        <is>
          <t>4T4R</t>
        </is>
      </c>
      <c r="AB360" s="91" t="inlineStr">
        <is>
          <t>R9264H M901821</t>
        </is>
      </c>
      <c r="AC360" s="91" t="inlineStr">
        <is>
          <t>A9652 S35*3+R9264H M901821*3+R9254E S8500*2+R9264 M1821N*1</t>
        </is>
      </c>
      <c r="AD360" s="91">
        <f>_xlfn.XLOOKUP(AE360,[4]透视表!$G:$G,[4]透视表!$E:$E)</f>
        <v/>
      </c>
      <c r="AE360" s="91">
        <f>A360&amp;K360</f>
        <v/>
      </c>
      <c r="AL360" s="91" t="inlineStr">
        <is>
          <t>高优先级</t>
        </is>
      </c>
    </row>
    <row r="361" hidden="1" ht="15" customHeight="1" s="99">
      <c r="A361" t="inlineStr">
        <is>
          <t>GMGAN2</t>
        </is>
      </c>
      <c r="B361" t="inlineStr">
        <is>
          <t>GMGAN2_GUL00_Ganemulla_SLT_Kd</t>
        </is>
      </c>
      <c r="C361" s="89" t="inlineStr">
        <is>
          <t>Huawei</t>
        </is>
      </c>
      <c r="F361" t="n">
        <v>7.06558</v>
      </c>
      <c r="G361" t="n">
        <v>79.9603</v>
      </c>
      <c r="H361" t="inlineStr">
        <is>
          <t>GMGAN2-M-L18-B1</t>
        </is>
      </c>
      <c r="J361" s="91">
        <f>LEFT(RIGHT(H361,2),1)</f>
        <v/>
      </c>
      <c r="K361" s="91">
        <f>_xlfn.XLOOKUP(J361,#REF!,#REF!)</f>
        <v/>
      </c>
      <c r="L361" s="91" t="inlineStr">
        <is>
          <t>4G</t>
        </is>
      </c>
      <c r="M361" s="91" t="n">
        <v>1800</v>
      </c>
      <c r="N361" s="91" t="inlineStr">
        <is>
          <t>AQU4518R9v06</t>
        </is>
      </c>
      <c r="O361" s="92" t="n">
        <v>50</v>
      </c>
      <c r="P361" t="n">
        <v>165</v>
      </c>
      <c r="R361" s="92" t="n">
        <v>0</v>
      </c>
      <c r="Y361" t="inlineStr">
        <is>
          <t>4T4R</t>
        </is>
      </c>
      <c r="AB361" s="91" t="inlineStr">
        <is>
          <t>R9264 M1821N</t>
        </is>
      </c>
      <c r="AC361" s="91" t="inlineStr">
        <is>
          <t>A9652 S35*3+R9264H M901821*3+R9254E S8500*2+R9264 M1821N*1</t>
        </is>
      </c>
      <c r="AD361" s="91">
        <f>_xlfn.XLOOKUP(AE361,[4]透视表!$G:$G,[4]透视表!$E:$E)</f>
        <v/>
      </c>
      <c r="AE361" s="91">
        <f>A361&amp;K361</f>
        <v/>
      </c>
      <c r="AL361" s="91" t="inlineStr">
        <is>
          <t>高优先级</t>
        </is>
      </c>
    </row>
    <row r="362" hidden="1" ht="15" customHeight="1" s="99">
      <c r="A362" t="inlineStr">
        <is>
          <t>GMGAN2</t>
        </is>
      </c>
      <c r="B362" t="inlineStr">
        <is>
          <t>GMGAN2_GUL00_Ganemulla_SLT_Kd</t>
        </is>
      </c>
      <c r="C362" s="89" t="inlineStr">
        <is>
          <t>Huawei</t>
        </is>
      </c>
      <c r="F362" t="n">
        <v>7.06558</v>
      </c>
      <c r="G362" t="n">
        <v>79.9603</v>
      </c>
      <c r="H362" t="inlineStr">
        <is>
          <t>GMGAN2-M-L21-B2</t>
        </is>
      </c>
      <c r="J362" s="91">
        <f>LEFT(RIGHT(H362,2),1)</f>
        <v/>
      </c>
      <c r="K362" s="91">
        <f>_xlfn.XLOOKUP(J362,#REF!,#REF!)</f>
        <v/>
      </c>
      <c r="L362" s="91" t="inlineStr">
        <is>
          <t>4G</t>
        </is>
      </c>
      <c r="M362" s="91" t="n">
        <v>2100</v>
      </c>
      <c r="N362" s="91" t="inlineStr">
        <is>
          <t>AQU4518R9v06</t>
        </is>
      </c>
      <c r="O362" s="92" t="n">
        <v>50</v>
      </c>
      <c r="P362" t="n">
        <v>165</v>
      </c>
      <c r="R362" s="92" t="n">
        <v>0</v>
      </c>
      <c r="Y362" t="inlineStr">
        <is>
          <t>4T4R</t>
        </is>
      </c>
      <c r="AB362" s="91" t="inlineStr">
        <is>
          <t>R9264H M901821</t>
        </is>
      </c>
      <c r="AC362" s="91" t="inlineStr">
        <is>
          <t>A9652 S35*3+R9264H M901821*3+R9254E S8500*2+R9264 M1821N*1</t>
        </is>
      </c>
      <c r="AD362" s="91">
        <f>_xlfn.XLOOKUP(AE362,[4]透视表!$G:$G,[4]透视表!$F:$F)</f>
        <v/>
      </c>
      <c r="AE362" s="91">
        <f>A362&amp;K362</f>
        <v/>
      </c>
      <c r="AL362" s="91" t="inlineStr">
        <is>
          <t>高优先级</t>
        </is>
      </c>
    </row>
    <row r="363" hidden="1" ht="15" customHeight="1" s="99">
      <c r="A363" t="inlineStr">
        <is>
          <t>GMGAN2</t>
        </is>
      </c>
      <c r="B363" t="inlineStr">
        <is>
          <t>GMGAN2_GUL00_Ganemulla_SLT_Kd</t>
        </is>
      </c>
      <c r="C363" s="89" t="inlineStr">
        <is>
          <t>Huawei</t>
        </is>
      </c>
      <c r="F363" t="n">
        <v>7.06558</v>
      </c>
      <c r="G363" t="n">
        <v>79.9603</v>
      </c>
      <c r="H363" t="inlineStr">
        <is>
          <t>GMGAN2-M-L21-B1</t>
        </is>
      </c>
      <c r="J363" s="91">
        <f>LEFT(RIGHT(H363,2),1)</f>
        <v/>
      </c>
      <c r="K363" s="91">
        <f>_xlfn.XLOOKUP(J363,#REF!,#REF!)</f>
        <v/>
      </c>
      <c r="L363" s="91" t="inlineStr">
        <is>
          <t>4G</t>
        </is>
      </c>
      <c r="M363" s="91" t="n">
        <v>2100</v>
      </c>
      <c r="N363" s="91" t="inlineStr">
        <is>
          <t>AQU4518R9v06</t>
        </is>
      </c>
      <c r="O363" s="92" t="n">
        <v>50</v>
      </c>
      <c r="P363" t="n">
        <v>165</v>
      </c>
      <c r="R363" s="92" t="n">
        <v>0</v>
      </c>
      <c r="Y363" t="inlineStr">
        <is>
          <t>4T4R</t>
        </is>
      </c>
      <c r="AB363" s="91" t="inlineStr">
        <is>
          <t>R9264 M1821N</t>
        </is>
      </c>
      <c r="AC363" s="91" t="inlineStr">
        <is>
          <t>A9652 S35*3+R9264H M901821*3+R9254E S8500*2+R9264 M1821N*1</t>
        </is>
      </c>
      <c r="AD363" s="91">
        <f>_xlfn.XLOOKUP(AE363,[4]透视表!$G:$G,[4]透视表!$F:$F)</f>
        <v/>
      </c>
      <c r="AE363" s="91">
        <f>A363&amp;K363</f>
        <v/>
      </c>
      <c r="AL363" s="91" t="inlineStr">
        <is>
          <t>高优先级</t>
        </is>
      </c>
    </row>
    <row r="364" hidden="1" ht="15" customHeight="1" s="99">
      <c r="A364" t="inlineStr">
        <is>
          <t>GMGAN2</t>
        </is>
      </c>
      <c r="C364" s="89" t="inlineStr">
        <is>
          <t>Huawei</t>
        </is>
      </c>
      <c r="F364" t="n">
        <v>7.06558</v>
      </c>
      <c r="G364" t="n">
        <v>79.9603</v>
      </c>
      <c r="H364" t="inlineStr">
        <is>
          <t>GMGAN2C</t>
        </is>
      </c>
      <c r="J364" s="91">
        <f>RIGHT(H364,1)</f>
        <v/>
      </c>
      <c r="K364" t="inlineStr">
        <is>
          <t>S3</t>
        </is>
      </c>
      <c r="L364" s="91" t="inlineStr">
        <is>
          <t>2G</t>
        </is>
      </c>
      <c r="M364" t="n">
        <v>900</v>
      </c>
      <c r="N364" s="91" t="inlineStr">
        <is>
          <t>AQU4518R9v06</t>
        </is>
      </c>
      <c r="P364" t="n">
        <v>260</v>
      </c>
      <c r="R364" s="92" t="n">
        <v>2</v>
      </c>
      <c r="AB364" s="91" t="inlineStr">
        <is>
          <t>R9264H M901821</t>
        </is>
      </c>
      <c r="AC364" s="91" t="inlineStr">
        <is>
          <t>A9652 S35*3+R9264H M901821*3+R9254E S8500*2+R9264 M1821N*1</t>
        </is>
      </c>
      <c r="AD364" s="91">
        <f>_xlfn.XLOOKUP(AE364,[4]透视表!$G:$G,[4]透视表!$D:$D)</f>
        <v/>
      </c>
      <c r="AE364" s="91">
        <f>A364&amp;K364</f>
        <v/>
      </c>
      <c r="AL364" s="91" t="inlineStr">
        <is>
          <t>高优先级</t>
        </is>
      </c>
    </row>
    <row r="365" hidden="1" ht="15" customHeight="1" s="99">
      <c r="A365" t="inlineStr">
        <is>
          <t>GMGAN2</t>
        </is>
      </c>
      <c r="B365" t="inlineStr">
        <is>
          <t>GMGAN2_GUL00_Ganemulla_SLT_Kd</t>
        </is>
      </c>
      <c r="C365" s="89" t="inlineStr">
        <is>
          <t>Huawei</t>
        </is>
      </c>
      <c r="F365" t="n">
        <v>7.06558</v>
      </c>
      <c r="G365" t="n">
        <v>79.9603</v>
      </c>
      <c r="H365" t="inlineStr">
        <is>
          <t>GMGAN2-M-L85-C1</t>
        </is>
      </c>
      <c r="J365" s="91">
        <f>LEFT(RIGHT(H365,2),1)</f>
        <v/>
      </c>
      <c r="K365" s="91">
        <f>_xlfn.XLOOKUP(J365,#REF!,#REF!)</f>
        <v/>
      </c>
      <c r="L365" s="91" t="inlineStr">
        <is>
          <t>4G</t>
        </is>
      </c>
      <c r="M365" s="91" t="n">
        <v>850</v>
      </c>
      <c r="N365" s="91" t="inlineStr">
        <is>
          <t>AQU4518R9v06</t>
        </is>
      </c>
      <c r="O365" s="92" t="n">
        <v>50</v>
      </c>
      <c r="P365" t="n">
        <v>260</v>
      </c>
      <c r="R365" s="92" t="n">
        <v>0</v>
      </c>
      <c r="Y365" t="inlineStr">
        <is>
          <t>2T2R</t>
        </is>
      </c>
      <c r="AB365" s="91" t="inlineStr">
        <is>
          <t>R9254E S8500</t>
        </is>
      </c>
      <c r="AC365" s="91" t="inlineStr">
        <is>
          <t>A9652 S35*3+R9264H M901821*3+R9254E S8500*2+R9264 M1821N*1</t>
        </is>
      </c>
      <c r="AD365" s="91">
        <f>_xlfn.XLOOKUP(AE365,[4]透视表!$G:$G,[4]透视表!$D:$D)</f>
        <v/>
      </c>
      <c r="AE365" s="91">
        <f>A365&amp;K365</f>
        <v/>
      </c>
      <c r="AL365" s="91" t="inlineStr">
        <is>
          <t>高优先级</t>
        </is>
      </c>
    </row>
    <row r="366" hidden="1" ht="15" customHeight="1" s="99">
      <c r="A366" t="inlineStr">
        <is>
          <t>GMGAN2</t>
        </is>
      </c>
      <c r="B366" t="inlineStr">
        <is>
          <t>GMGAN2_GUL00_Ganemulla_SLT_Kd</t>
        </is>
      </c>
      <c r="C366" s="89" t="inlineStr">
        <is>
          <t>Huawei</t>
        </is>
      </c>
      <c r="F366" t="n">
        <v>7.06558</v>
      </c>
      <c r="G366" t="n">
        <v>79.9603</v>
      </c>
      <c r="H366" t="inlineStr">
        <is>
          <t>GMGAN2I</t>
        </is>
      </c>
      <c r="J366" s="91">
        <f>RIGHT(H366,1)</f>
        <v/>
      </c>
      <c r="K366" s="91">
        <f>_xlfn.XLOOKUP(J366,#REF!,#REF!)</f>
        <v/>
      </c>
      <c r="L366" s="91" t="inlineStr">
        <is>
          <t>4G</t>
        </is>
      </c>
      <c r="M366" s="91" t="n">
        <v>1800</v>
      </c>
      <c r="N366" s="91" t="inlineStr">
        <is>
          <t>AQU4518R9v06</t>
        </is>
      </c>
      <c r="O366" s="92" t="n">
        <v>50</v>
      </c>
      <c r="P366" t="n">
        <v>260</v>
      </c>
      <c r="R366" s="92" t="n">
        <v>0</v>
      </c>
      <c r="Y366" t="inlineStr">
        <is>
          <t>4T4R</t>
        </is>
      </c>
      <c r="AB366" s="91" t="inlineStr">
        <is>
          <t>R9264H M901821</t>
        </is>
      </c>
      <c r="AC366" s="91" t="inlineStr">
        <is>
          <t>A9652 S35*3+R9264H M901821*3+R9254E S8500*2+R9264 M1821N*1</t>
        </is>
      </c>
      <c r="AD366" s="91">
        <f>_xlfn.XLOOKUP(AE366,[4]透视表!$G:$G,[4]透视表!$E:$E)</f>
        <v/>
      </c>
      <c r="AE366" s="91">
        <f>A366&amp;K366</f>
        <v/>
      </c>
      <c r="AL366" s="91" t="inlineStr">
        <is>
          <t>高优先级</t>
        </is>
      </c>
    </row>
    <row r="367" hidden="1" ht="15" customHeight="1" s="99">
      <c r="A367" t="inlineStr">
        <is>
          <t>GMGAN2</t>
        </is>
      </c>
      <c r="B367" t="inlineStr">
        <is>
          <t>GMGAN2_GUL00_Ganemulla_SLT_Kd</t>
        </is>
      </c>
      <c r="C367" s="89" t="inlineStr">
        <is>
          <t>Huawei</t>
        </is>
      </c>
      <c r="F367" t="n">
        <v>7.06558</v>
      </c>
      <c r="G367" t="n">
        <v>79.9603</v>
      </c>
      <c r="H367" t="inlineStr">
        <is>
          <t>GMGAN2-M-L21-C2</t>
        </is>
      </c>
      <c r="J367" s="91">
        <f>LEFT(RIGHT(H367,2),1)</f>
        <v/>
      </c>
      <c r="K367" s="91">
        <f>_xlfn.XLOOKUP(J367,#REF!,#REF!)</f>
        <v/>
      </c>
      <c r="L367" s="91" t="inlineStr">
        <is>
          <t>4G</t>
        </is>
      </c>
      <c r="M367" s="91" t="n">
        <v>2100</v>
      </c>
      <c r="N367" s="91" t="inlineStr">
        <is>
          <t>AQU4518R9v06</t>
        </is>
      </c>
      <c r="O367" s="92" t="n">
        <v>50</v>
      </c>
      <c r="P367" t="n">
        <v>260</v>
      </c>
      <c r="R367" s="92" t="n">
        <v>0</v>
      </c>
      <c r="Y367" t="inlineStr">
        <is>
          <t>2T2R</t>
        </is>
      </c>
      <c r="AB367" s="91" t="inlineStr">
        <is>
          <t>R9264H M901821</t>
        </is>
      </c>
      <c r="AC367" s="91" t="inlineStr">
        <is>
          <t>A9652 S35*3+R9264H M901821*3+R9254E S8500*2+R9264 M1821N*1</t>
        </is>
      </c>
      <c r="AD367" s="91">
        <f>_xlfn.XLOOKUP(AE367,[4]透视表!$G:$G,[4]透视表!$F:$F)</f>
        <v/>
      </c>
      <c r="AE367" s="91">
        <f>A367&amp;K367</f>
        <v/>
      </c>
      <c r="AL367" s="91" t="inlineStr">
        <is>
          <t>高优先级</t>
        </is>
      </c>
    </row>
    <row r="368" hidden="1" ht="15" customHeight="1" s="99">
      <c r="A368" t="inlineStr">
        <is>
          <t>GMIMB1</t>
        </is>
      </c>
      <c r="C368" s="89" t="inlineStr">
        <is>
          <t>Huawei</t>
        </is>
      </c>
      <c r="F368" t="n">
        <v>7.046</v>
      </c>
      <c r="G368" t="n">
        <v>80.0021</v>
      </c>
      <c r="H368" t="inlineStr">
        <is>
          <t>GMIMB1A</t>
        </is>
      </c>
      <c r="J368" s="91">
        <f>RIGHT(H368,1)</f>
        <v/>
      </c>
      <c r="K368" t="inlineStr">
        <is>
          <t>S1</t>
        </is>
      </c>
      <c r="L368" s="91" t="inlineStr">
        <is>
          <t>2G</t>
        </is>
      </c>
      <c r="M368" t="n">
        <v>900</v>
      </c>
      <c r="N368" s="91" t="inlineStr">
        <is>
          <t>AQU4518R9v06</t>
        </is>
      </c>
      <c r="P368" t="n">
        <v>0</v>
      </c>
      <c r="R368" s="92" t="n">
        <v>2</v>
      </c>
      <c r="AB368" s="91" t="inlineStr">
        <is>
          <t>R9264H M901821</t>
        </is>
      </c>
      <c r="AC368" s="91" t="inlineStr">
        <is>
          <t>A9652 S35*3+R9264H M901821*3+R9254E S8500*2+R9264 M1821N*1</t>
        </is>
      </c>
      <c r="AD368" s="91">
        <f>_xlfn.XLOOKUP(AE368,[4]透视表!$G:$G,[4]透视表!$D:$D)</f>
        <v/>
      </c>
      <c r="AE368" s="91">
        <f>A368&amp;K368</f>
        <v/>
      </c>
      <c r="AL368" s="91" t="inlineStr">
        <is>
          <t>高优先级</t>
        </is>
      </c>
    </row>
    <row r="369" hidden="1" ht="15" customHeight="1" s="99">
      <c r="A369" t="inlineStr">
        <is>
          <t>GMIMB1</t>
        </is>
      </c>
      <c r="C369" s="89" t="inlineStr">
        <is>
          <t>Huawei</t>
        </is>
      </c>
      <c r="F369" t="n">
        <v>7.046</v>
      </c>
      <c r="G369" t="n">
        <v>80.0021</v>
      </c>
      <c r="H369" t="inlineStr">
        <is>
          <t>GMIMB1P</t>
        </is>
      </c>
      <c r="J369" s="91">
        <f>RIGHT(H369,1)</f>
        <v/>
      </c>
      <c r="K369" t="inlineStr">
        <is>
          <t>S1</t>
        </is>
      </c>
      <c r="L369" s="91" t="inlineStr">
        <is>
          <t>2G</t>
        </is>
      </c>
      <c r="M369" t="n">
        <v>1800</v>
      </c>
      <c r="N369" s="91" t="inlineStr">
        <is>
          <t>AQU4518R9v06</t>
        </is>
      </c>
      <c r="P369" t="n">
        <v>0</v>
      </c>
      <c r="R369" s="92" t="n">
        <v>2</v>
      </c>
      <c r="AB369" s="91" t="inlineStr">
        <is>
          <t>R9264H M901821</t>
        </is>
      </c>
      <c r="AC369" s="91" t="inlineStr">
        <is>
          <t>A9652 S35*3+R9264H M901821*3+R9254E S8500*2+R9264 M1821N*1</t>
        </is>
      </c>
      <c r="AD369" s="91">
        <f>_xlfn.XLOOKUP(AE369,[4]透视表!$G:$G,[4]透视表!$E:$E)</f>
        <v/>
      </c>
      <c r="AE369" s="91">
        <f>A369&amp;K369</f>
        <v/>
      </c>
      <c r="AL369" s="91" t="inlineStr">
        <is>
          <t>高优先级</t>
        </is>
      </c>
    </row>
    <row r="370" hidden="1" ht="15" customHeight="1" s="99">
      <c r="A370" t="inlineStr">
        <is>
          <t>GMIMB1</t>
        </is>
      </c>
      <c r="B370" t="inlineStr">
        <is>
          <t>GMIMB1_0UL00_Imbulgoda_Kd</t>
        </is>
      </c>
      <c r="C370" s="89" t="inlineStr">
        <is>
          <t>Huawei</t>
        </is>
      </c>
      <c r="F370" t="n">
        <v>7.046</v>
      </c>
      <c r="G370" t="n">
        <v>80.0021</v>
      </c>
      <c r="H370" t="inlineStr">
        <is>
          <t>GMIMB1-M-L85-A1</t>
        </is>
      </c>
      <c r="J370" s="91">
        <f>LEFT(RIGHT(H370,2),1)</f>
        <v/>
      </c>
      <c r="K370" s="91">
        <f>_xlfn.XLOOKUP(J370,#REF!,#REF!)</f>
        <v/>
      </c>
      <c r="L370" s="91" t="inlineStr">
        <is>
          <t>4G</t>
        </is>
      </c>
      <c r="M370" s="91" t="n">
        <v>850</v>
      </c>
      <c r="N370" s="91" t="inlineStr">
        <is>
          <t>AQU4518R9v06</t>
        </is>
      </c>
      <c r="O370" s="92" t="n">
        <v>60</v>
      </c>
      <c r="P370" t="n">
        <v>0</v>
      </c>
      <c r="R370" s="92" t="n">
        <v>0</v>
      </c>
      <c r="Y370" t="inlineStr">
        <is>
          <t>2T2R</t>
        </is>
      </c>
      <c r="AB370" s="91" t="inlineStr">
        <is>
          <t>R9254E S8500</t>
        </is>
      </c>
      <c r="AC370" s="91" t="inlineStr">
        <is>
          <t>A9652 S35*3+R9264H M901821*3+R9254E S8500*2+R9264 M1821N*1</t>
        </is>
      </c>
      <c r="AD370" s="91">
        <f>_xlfn.XLOOKUP(AE370,[4]透视表!$G:$G,[4]透视表!$D:$D)</f>
        <v/>
      </c>
      <c r="AE370" s="91">
        <f>A370&amp;K370</f>
        <v/>
      </c>
      <c r="AL370" s="91" t="inlineStr">
        <is>
          <t>高优先级</t>
        </is>
      </c>
    </row>
    <row r="371" hidden="1" ht="15" customHeight="1" s="99">
      <c r="A371" t="inlineStr">
        <is>
          <t>GMIMB1</t>
        </is>
      </c>
      <c r="B371" t="inlineStr">
        <is>
          <t>GMIMB1_0UL00_Imbulgoda_Kd</t>
        </is>
      </c>
      <c r="C371" s="89" t="inlineStr">
        <is>
          <t>Huawei</t>
        </is>
      </c>
      <c r="F371" t="n">
        <v>7.046</v>
      </c>
      <c r="G371" t="n">
        <v>80.0021</v>
      </c>
      <c r="H371" t="inlineStr">
        <is>
          <t>GMIMB1G</t>
        </is>
      </c>
      <c r="J371" s="91">
        <f>RIGHT(H371,1)</f>
        <v/>
      </c>
      <c r="K371" s="91">
        <f>_xlfn.XLOOKUP(J371,#REF!,#REF!)</f>
        <v/>
      </c>
      <c r="L371" s="91" t="inlineStr">
        <is>
          <t>4G</t>
        </is>
      </c>
      <c r="M371" s="91" t="n">
        <v>1800</v>
      </c>
      <c r="N371" s="91" t="inlineStr">
        <is>
          <t>AQU4518R9v06</t>
        </is>
      </c>
      <c r="O371" s="92" t="n">
        <v>60</v>
      </c>
      <c r="P371" t="n">
        <v>0</v>
      </c>
      <c r="R371" s="92" t="n">
        <v>0</v>
      </c>
      <c r="Y371" t="inlineStr">
        <is>
          <t>2T2R</t>
        </is>
      </c>
      <c r="AB371" s="91" t="inlineStr">
        <is>
          <t>R9264H M901821</t>
        </is>
      </c>
      <c r="AC371" s="91" t="inlineStr">
        <is>
          <t>A9652 S35*3+R9264H M901821*3+R9254E S8500*2+R9264 M1821N*1</t>
        </is>
      </c>
      <c r="AD371" s="91">
        <f>_xlfn.XLOOKUP(AE371,[4]透视表!$G:$G,[4]透视表!$E:$E)</f>
        <v/>
      </c>
      <c r="AE371" s="91">
        <f>A371&amp;K371</f>
        <v/>
      </c>
      <c r="AL371" s="91" t="inlineStr">
        <is>
          <t>高优先级</t>
        </is>
      </c>
    </row>
    <row r="372" hidden="1" ht="15" customHeight="1" s="99">
      <c r="A372" t="inlineStr">
        <is>
          <t>GMIMB1</t>
        </is>
      </c>
      <c r="B372" t="inlineStr">
        <is>
          <t>GMIMB1_0UL00_Imbulgoda_Kd</t>
        </is>
      </c>
      <c r="C372" s="89" t="inlineStr">
        <is>
          <t>Huawei</t>
        </is>
      </c>
      <c r="F372" t="n">
        <v>7.046</v>
      </c>
      <c r="G372" t="n">
        <v>80.0021</v>
      </c>
      <c r="H372" t="inlineStr">
        <is>
          <t>GMIMB1-M-L21-A2</t>
        </is>
      </c>
      <c r="J372" s="91">
        <f>LEFT(RIGHT(H372,2),1)</f>
        <v/>
      </c>
      <c r="K372" s="91">
        <f>_xlfn.XLOOKUP(J372,#REF!,#REF!)</f>
        <v/>
      </c>
      <c r="L372" s="91" t="inlineStr">
        <is>
          <t>4G</t>
        </is>
      </c>
      <c r="M372" s="91" t="n">
        <v>2100</v>
      </c>
      <c r="N372" s="91" t="inlineStr">
        <is>
          <t>AQU4518R9v06</t>
        </is>
      </c>
      <c r="O372" s="92" t="n">
        <v>60</v>
      </c>
      <c r="P372" t="n">
        <v>0</v>
      </c>
      <c r="R372" s="92" t="n">
        <v>0</v>
      </c>
      <c r="Y372" t="inlineStr">
        <is>
          <t>2T2R</t>
        </is>
      </c>
      <c r="AB372" s="91" t="inlineStr">
        <is>
          <t>R9264H M901821</t>
        </is>
      </c>
      <c r="AC372" s="91" t="inlineStr">
        <is>
          <t>A9652 S35*3+R9264H M901821*3+R9254E S8500*2+R9264 M1821N*1</t>
        </is>
      </c>
      <c r="AD372" s="91">
        <f>_xlfn.XLOOKUP(AE372,[4]透视表!$G:$G,[4]透视表!$F:$F)</f>
        <v/>
      </c>
      <c r="AE372" s="91">
        <f>A372&amp;K372</f>
        <v/>
      </c>
      <c r="AL372" s="91" t="inlineStr">
        <is>
          <t>高优先级</t>
        </is>
      </c>
    </row>
    <row r="373" hidden="1" ht="15" customHeight="1" s="99">
      <c r="A373" t="inlineStr">
        <is>
          <t>GMIMB1</t>
        </is>
      </c>
      <c r="B373" t="inlineStr">
        <is>
          <t>GMIMB1_0UL00_Imbulgoda_Kd</t>
        </is>
      </c>
      <c r="C373" s="89" t="inlineStr">
        <is>
          <t>Huawei</t>
        </is>
      </c>
      <c r="F373" t="n">
        <v>7.046</v>
      </c>
      <c r="G373" t="n">
        <v>80.0021</v>
      </c>
      <c r="H373" t="inlineStr">
        <is>
          <t>GMIMB1-M-L23-A1</t>
        </is>
      </c>
      <c r="J373" s="91">
        <f>LEFT(RIGHT(H373,2),1)</f>
        <v/>
      </c>
      <c r="K373" s="91">
        <f>_xlfn.XLOOKUP(J373,#REF!,#REF!)</f>
        <v/>
      </c>
      <c r="L373" s="91" t="inlineStr">
        <is>
          <t>4G</t>
        </is>
      </c>
      <c r="M373" s="91" t="n">
        <v>2300</v>
      </c>
      <c r="N373" s="91" t="n"/>
      <c r="O373" s="92" t="n">
        <v>60</v>
      </c>
      <c r="P373" t="n">
        <v>0</v>
      </c>
      <c r="R373" s="92" t="n">
        <v>0</v>
      </c>
      <c r="Y373" t="inlineStr">
        <is>
          <t>2T2R</t>
        </is>
      </c>
      <c r="AC373" s="91" t="inlineStr">
        <is>
          <t>A9652 S35*3+R9264H M901821*3+R9254E S8500*2+R9264 M1821N*1</t>
        </is>
      </c>
      <c r="AE373" s="91">
        <f>A373&amp;K373</f>
        <v/>
      </c>
      <c r="AL373" s="91" t="inlineStr">
        <is>
          <t>高优先级</t>
        </is>
      </c>
    </row>
    <row r="374" hidden="1" ht="15" customHeight="1" s="99">
      <c r="A374" t="inlineStr">
        <is>
          <t>GMIMB1</t>
        </is>
      </c>
      <c r="C374" s="89" t="inlineStr">
        <is>
          <t>Huawei</t>
        </is>
      </c>
      <c r="F374" t="n">
        <v>7.046</v>
      </c>
      <c r="G374" t="n">
        <v>80.0021</v>
      </c>
      <c r="H374" t="inlineStr">
        <is>
          <t>GMIMB1B</t>
        </is>
      </c>
      <c r="J374" s="91">
        <f>RIGHT(H374,1)</f>
        <v/>
      </c>
      <c r="K374" t="inlineStr">
        <is>
          <t>S2</t>
        </is>
      </c>
      <c r="L374" s="91" t="inlineStr">
        <is>
          <t>2G</t>
        </is>
      </c>
      <c r="M374" t="n">
        <v>900</v>
      </c>
      <c r="N374" s="91" t="inlineStr">
        <is>
          <t>AQU4518R9v06</t>
        </is>
      </c>
      <c r="P374" t="n">
        <v>120</v>
      </c>
      <c r="R374" s="92" t="n">
        <v>2</v>
      </c>
      <c r="AB374" s="91" t="inlineStr">
        <is>
          <t>R9264H M901821</t>
        </is>
      </c>
      <c r="AC374" s="91" t="inlineStr">
        <is>
          <t>A9652 S35*3+R9264H M901821*3+R9254E S8500*2+R9264 M1821N*1</t>
        </is>
      </c>
      <c r="AD374" s="91">
        <f>_xlfn.XLOOKUP(AE374,[4]透视表!$G:$G,[4]透视表!$D:$D)</f>
        <v/>
      </c>
      <c r="AE374" s="91">
        <f>A374&amp;K374</f>
        <v/>
      </c>
      <c r="AL374" s="91" t="inlineStr">
        <is>
          <t>高优先级</t>
        </is>
      </c>
    </row>
    <row r="375" hidden="1" ht="15" customHeight="1" s="99">
      <c r="A375" t="inlineStr">
        <is>
          <t>GMIMB1</t>
        </is>
      </c>
      <c r="C375" s="89" t="inlineStr">
        <is>
          <t>Huawei</t>
        </is>
      </c>
      <c r="F375" t="n">
        <v>7.046</v>
      </c>
      <c r="G375" t="n">
        <v>80.0021</v>
      </c>
      <c r="H375" t="inlineStr">
        <is>
          <t>GMIMB1Q</t>
        </is>
      </c>
      <c r="J375" s="91">
        <f>RIGHT(H375,1)</f>
        <v/>
      </c>
      <c r="K375" t="inlineStr">
        <is>
          <t>S2</t>
        </is>
      </c>
      <c r="L375" s="91" t="inlineStr">
        <is>
          <t>2G</t>
        </is>
      </c>
      <c r="M375" t="n">
        <v>1800</v>
      </c>
      <c r="N375" s="91" t="inlineStr">
        <is>
          <t>AQU4518R9v06</t>
        </is>
      </c>
      <c r="P375" t="n">
        <v>120</v>
      </c>
      <c r="R375" s="92" t="n">
        <v>2</v>
      </c>
      <c r="AB375" s="91" t="inlineStr">
        <is>
          <t>R9264H M901821</t>
        </is>
      </c>
      <c r="AC375" s="91" t="inlineStr">
        <is>
          <t>A9652 S35*3+R9264H M901821*3+R9254E S8500*2+R9264 M1821N*1</t>
        </is>
      </c>
      <c r="AD375" s="91">
        <f>_xlfn.XLOOKUP(AE375,[4]透视表!$G:$G,[4]透视表!$E:$E)</f>
        <v/>
      </c>
      <c r="AE375" s="91">
        <f>A375&amp;K375</f>
        <v/>
      </c>
      <c r="AL375" s="91" t="inlineStr">
        <is>
          <t>高优先级</t>
        </is>
      </c>
    </row>
    <row r="376" hidden="1" ht="15" customHeight="1" s="99">
      <c r="A376" t="inlineStr">
        <is>
          <t>GMIMB1</t>
        </is>
      </c>
      <c r="B376" t="inlineStr">
        <is>
          <t>GMIMB1_0UL00_Imbulgoda_Kd</t>
        </is>
      </c>
      <c r="C376" s="89" t="inlineStr">
        <is>
          <t>Huawei</t>
        </is>
      </c>
      <c r="F376" t="n">
        <v>7.046</v>
      </c>
      <c r="G376" t="n">
        <v>80.0021</v>
      </c>
      <c r="H376" t="inlineStr">
        <is>
          <t>GMIMB1-M-L85-B1</t>
        </is>
      </c>
      <c r="J376" s="91">
        <f>LEFT(RIGHT(H376,2),1)</f>
        <v/>
      </c>
      <c r="K376" s="91">
        <f>_xlfn.XLOOKUP(J376,#REF!,#REF!)</f>
        <v/>
      </c>
      <c r="L376" s="91" t="inlineStr">
        <is>
          <t>4G</t>
        </is>
      </c>
      <c r="M376" s="91" t="n">
        <v>850</v>
      </c>
      <c r="N376" s="91" t="inlineStr">
        <is>
          <t>AQU4518R9v06</t>
        </is>
      </c>
      <c r="O376" s="92" t="n">
        <v>60</v>
      </c>
      <c r="P376" t="n">
        <v>120</v>
      </c>
      <c r="R376" s="92" t="n">
        <v>0</v>
      </c>
      <c r="Y376" t="inlineStr">
        <is>
          <t>2T2R</t>
        </is>
      </c>
      <c r="AB376" s="91" t="inlineStr">
        <is>
          <t>R9254E S8500</t>
        </is>
      </c>
      <c r="AC376" s="91" t="inlineStr">
        <is>
          <t>A9652 S35*3+R9264H M901821*3+R9254E S8500*2+R9264 M1821N*1</t>
        </is>
      </c>
      <c r="AD376" s="91">
        <f>_xlfn.XLOOKUP(AE376,[4]透视表!$G:$G,[4]透视表!$D:$D)</f>
        <v/>
      </c>
      <c r="AE376" s="91">
        <f>A376&amp;K376</f>
        <v/>
      </c>
      <c r="AL376" s="91" t="inlineStr">
        <is>
          <t>高优先级</t>
        </is>
      </c>
    </row>
    <row r="377" hidden="1" ht="15" customHeight="1" s="99">
      <c r="A377" t="inlineStr">
        <is>
          <t>GMIMB1</t>
        </is>
      </c>
      <c r="B377" t="inlineStr">
        <is>
          <t>GMIMB1_0UL00_Imbulgoda_Kd</t>
        </is>
      </c>
      <c r="C377" s="89" t="inlineStr">
        <is>
          <t>Huawei</t>
        </is>
      </c>
      <c r="F377" t="n">
        <v>7.046</v>
      </c>
      <c r="G377" t="n">
        <v>80.0021</v>
      </c>
      <c r="H377" t="inlineStr">
        <is>
          <t>GMIMB1H</t>
        </is>
      </c>
      <c r="J377" s="91">
        <f>RIGHT(H377,1)</f>
        <v/>
      </c>
      <c r="K377" s="91">
        <f>_xlfn.XLOOKUP(J377,#REF!,#REF!)</f>
        <v/>
      </c>
      <c r="L377" s="91" t="inlineStr">
        <is>
          <t>4G</t>
        </is>
      </c>
      <c r="M377" s="91" t="n">
        <v>1800</v>
      </c>
      <c r="N377" s="91" t="inlineStr">
        <is>
          <t>AQU4518R9v06</t>
        </is>
      </c>
      <c r="O377" s="92" t="n">
        <v>60</v>
      </c>
      <c r="P377" t="n">
        <v>120</v>
      </c>
      <c r="R377" s="92" t="n">
        <v>0</v>
      </c>
      <c r="Y377" t="inlineStr">
        <is>
          <t>4T4R</t>
        </is>
      </c>
      <c r="AB377" s="91" t="inlineStr">
        <is>
          <t>R9264H M901821</t>
        </is>
      </c>
      <c r="AC377" s="91" t="inlineStr">
        <is>
          <t>A9652 S35*3+R9264H M901821*3+R9254E S8500*2+R9264 M1821N*1</t>
        </is>
      </c>
      <c r="AD377" s="91">
        <f>_xlfn.XLOOKUP(AE377,[4]透视表!$G:$G,[4]透视表!$E:$E)</f>
        <v/>
      </c>
      <c r="AE377" s="91">
        <f>A377&amp;K377</f>
        <v/>
      </c>
      <c r="AL377" s="91" t="inlineStr">
        <is>
          <t>高优先级</t>
        </is>
      </c>
    </row>
    <row r="378" hidden="1" ht="15" customHeight="1" s="99">
      <c r="A378" t="inlineStr">
        <is>
          <t>GMIMB1</t>
        </is>
      </c>
      <c r="B378" t="inlineStr">
        <is>
          <t>GMIMB1_0UL00_Imbulgoda_Kd</t>
        </is>
      </c>
      <c r="C378" s="89" t="inlineStr">
        <is>
          <t>Huawei</t>
        </is>
      </c>
      <c r="F378" t="n">
        <v>7.046</v>
      </c>
      <c r="G378" t="n">
        <v>80.0021</v>
      </c>
      <c r="H378" t="inlineStr">
        <is>
          <t>GMIMB1-M-L21-B2</t>
        </is>
      </c>
      <c r="J378" s="91">
        <f>LEFT(RIGHT(H378,2),1)</f>
        <v/>
      </c>
      <c r="K378" s="91">
        <f>_xlfn.XLOOKUP(J378,#REF!,#REF!)</f>
        <v/>
      </c>
      <c r="L378" s="91" t="inlineStr">
        <is>
          <t>4G</t>
        </is>
      </c>
      <c r="M378" s="91" t="n">
        <v>2100</v>
      </c>
      <c r="N378" s="91" t="inlineStr">
        <is>
          <t>AQU4518R9v06</t>
        </is>
      </c>
      <c r="O378" s="92" t="n">
        <v>60</v>
      </c>
      <c r="P378" t="n">
        <v>120</v>
      </c>
      <c r="R378" s="92" t="n">
        <v>0</v>
      </c>
      <c r="Y378" t="inlineStr">
        <is>
          <t>2T2R</t>
        </is>
      </c>
      <c r="AB378" s="91" t="inlineStr">
        <is>
          <t>R9264H M901821</t>
        </is>
      </c>
      <c r="AC378" s="91" t="inlineStr">
        <is>
          <t>A9652 S35*3+R9264H M901821*3+R9254E S8500*2+R9264 M1821N*1</t>
        </is>
      </c>
      <c r="AD378" s="91">
        <f>_xlfn.XLOOKUP(AE378,[4]透视表!$G:$G,[4]透视表!$F:$F)</f>
        <v/>
      </c>
      <c r="AE378" s="91">
        <f>A378&amp;K378</f>
        <v/>
      </c>
      <c r="AL378" s="91" t="inlineStr">
        <is>
          <t>高优先级</t>
        </is>
      </c>
    </row>
    <row r="379" hidden="1" ht="15" customHeight="1" s="99">
      <c r="A379" t="inlineStr">
        <is>
          <t>GMIMB1</t>
        </is>
      </c>
      <c r="B379" t="inlineStr">
        <is>
          <t>GMIMB1_0UL00_Imbulgoda_Kd</t>
        </is>
      </c>
      <c r="C379" s="89" t="inlineStr">
        <is>
          <t>Huawei</t>
        </is>
      </c>
      <c r="F379" t="n">
        <v>7.046</v>
      </c>
      <c r="G379" t="n">
        <v>80.0021</v>
      </c>
      <c r="H379" t="inlineStr">
        <is>
          <t>GMIMB1-M-L23-B1</t>
        </is>
      </c>
      <c r="J379" s="91">
        <f>LEFT(RIGHT(H379,2),1)</f>
        <v/>
      </c>
      <c r="K379" s="91">
        <f>_xlfn.XLOOKUP(J379,#REF!,#REF!)</f>
        <v/>
      </c>
      <c r="L379" s="91" t="inlineStr">
        <is>
          <t>4G</t>
        </is>
      </c>
      <c r="M379" s="91" t="n">
        <v>2300</v>
      </c>
      <c r="N379" s="91" t="n"/>
      <c r="O379" s="92" t="n">
        <v>60</v>
      </c>
      <c r="P379" t="n">
        <v>120</v>
      </c>
      <c r="R379" s="92" t="n">
        <v>0</v>
      </c>
      <c r="Y379" t="inlineStr">
        <is>
          <t>2T2R</t>
        </is>
      </c>
      <c r="AC379" s="91" t="inlineStr">
        <is>
          <t>A9652 S35*3+R9264H M901821*3+R9254E S8500*2+R9264 M1821N*1</t>
        </is>
      </c>
      <c r="AE379" s="91">
        <f>A379&amp;K379</f>
        <v/>
      </c>
      <c r="AL379" s="91" t="inlineStr">
        <is>
          <t>高优先级</t>
        </is>
      </c>
    </row>
    <row r="380" hidden="1" ht="15" customHeight="1" s="99">
      <c r="A380" t="inlineStr">
        <is>
          <t>GMIMB1</t>
        </is>
      </c>
      <c r="C380" s="89" t="inlineStr">
        <is>
          <t>Huawei</t>
        </is>
      </c>
      <c r="F380" t="n">
        <v>7.046</v>
      </c>
      <c r="G380" t="n">
        <v>80.0021</v>
      </c>
      <c r="H380" t="inlineStr">
        <is>
          <t>GMIMB1C</t>
        </is>
      </c>
      <c r="J380" s="91">
        <f>RIGHT(H380,1)</f>
        <v/>
      </c>
      <c r="K380" t="inlineStr">
        <is>
          <t>S3</t>
        </is>
      </c>
      <c r="L380" s="91" t="inlineStr">
        <is>
          <t>2G</t>
        </is>
      </c>
      <c r="M380" t="n">
        <v>900</v>
      </c>
      <c r="N380" s="91" t="inlineStr">
        <is>
          <t>AQU4518R9v06</t>
        </is>
      </c>
      <c r="P380" t="n">
        <v>240</v>
      </c>
      <c r="R380" s="92" t="n">
        <v>2</v>
      </c>
      <c r="AB380" s="91" t="inlineStr">
        <is>
          <t>R9264H M901821</t>
        </is>
      </c>
      <c r="AC380" s="91" t="inlineStr">
        <is>
          <t>A9652 S35*3+R9264H M901821*3+R9254E S8500*2+R9264 M1821N*1</t>
        </is>
      </c>
      <c r="AD380" s="91">
        <f>_xlfn.XLOOKUP(AE380,[4]透视表!$G:$G,[4]透视表!$D:$D)</f>
        <v/>
      </c>
      <c r="AE380" s="91">
        <f>A380&amp;K380</f>
        <v/>
      </c>
      <c r="AL380" s="91" t="inlineStr">
        <is>
          <t>高优先级</t>
        </is>
      </c>
    </row>
    <row r="381" hidden="1" ht="15" customHeight="1" s="99">
      <c r="A381" t="inlineStr">
        <is>
          <t>GMIMB1</t>
        </is>
      </c>
      <c r="C381" s="89" t="inlineStr">
        <is>
          <t>Huawei</t>
        </is>
      </c>
      <c r="F381" t="n">
        <v>7.046</v>
      </c>
      <c r="G381" t="n">
        <v>80.0021</v>
      </c>
      <c r="H381" t="inlineStr">
        <is>
          <t>GMIMB13</t>
        </is>
      </c>
      <c r="J381" s="91">
        <f>RIGHT(H381,1)</f>
        <v/>
      </c>
      <c r="K381" t="inlineStr">
        <is>
          <t>S3</t>
        </is>
      </c>
      <c r="L381" s="91" t="inlineStr">
        <is>
          <t>2G</t>
        </is>
      </c>
      <c r="M381" t="n">
        <v>1800</v>
      </c>
      <c r="N381" s="91" t="inlineStr">
        <is>
          <t>AQU4518R9v06</t>
        </is>
      </c>
      <c r="P381" t="n">
        <v>240</v>
      </c>
      <c r="R381" s="92" t="n">
        <v>2</v>
      </c>
      <c r="AB381" s="91" t="inlineStr">
        <is>
          <t>R9264H M901821</t>
        </is>
      </c>
      <c r="AC381" s="91" t="inlineStr">
        <is>
          <t>A9652 S35*3+R9264H M901821*3+R9254E S8500*2+R9264 M1821N*1</t>
        </is>
      </c>
      <c r="AD381" s="91">
        <f>_xlfn.XLOOKUP(AE381,[4]透视表!$G:$G,[4]透视表!$E:$E)</f>
        <v/>
      </c>
      <c r="AE381" s="91">
        <f>A381&amp;K381</f>
        <v/>
      </c>
      <c r="AL381" s="91" t="inlineStr">
        <is>
          <t>高优先级</t>
        </is>
      </c>
    </row>
    <row r="382" hidden="1" ht="15" customHeight="1" s="99">
      <c r="A382" t="inlineStr">
        <is>
          <t>GMIMB1</t>
        </is>
      </c>
      <c r="C382" s="89" t="inlineStr">
        <is>
          <t>Huawei</t>
        </is>
      </c>
      <c r="F382" t="n">
        <v>7.046</v>
      </c>
      <c r="G382" t="n">
        <v>80.0021</v>
      </c>
      <c r="H382" t="inlineStr">
        <is>
          <t>GMIMB1R</t>
        </is>
      </c>
      <c r="J382" s="91">
        <f>RIGHT(H382,1)</f>
        <v/>
      </c>
      <c r="K382" t="inlineStr">
        <is>
          <t>S3</t>
        </is>
      </c>
      <c r="L382" s="91" t="inlineStr">
        <is>
          <t>2G</t>
        </is>
      </c>
      <c r="M382" t="n">
        <v>1800</v>
      </c>
      <c r="N382" s="91" t="inlineStr">
        <is>
          <t>AQU4518R9v06</t>
        </is>
      </c>
      <c r="P382" t="n">
        <v>240</v>
      </c>
      <c r="R382" s="92" t="n">
        <v>2</v>
      </c>
      <c r="AB382" s="91" t="inlineStr">
        <is>
          <t>R9264 M1821N</t>
        </is>
      </c>
      <c r="AC382" s="91" t="inlineStr">
        <is>
          <t>A9652 S35*3+R9264H M901821*3+R9254E S8500*2+R9264 M1821N*1</t>
        </is>
      </c>
      <c r="AD382" s="91">
        <f>_xlfn.XLOOKUP(AE382,[4]透视表!$G:$G,[4]透视表!$E:$E)</f>
        <v/>
      </c>
      <c r="AE382" s="91">
        <f>A382&amp;K382</f>
        <v/>
      </c>
      <c r="AL382" s="91" t="inlineStr">
        <is>
          <t>高优先级</t>
        </is>
      </c>
    </row>
    <row r="383" hidden="1" ht="15" customHeight="1" s="99">
      <c r="A383" t="inlineStr">
        <is>
          <t>GMIMB1</t>
        </is>
      </c>
      <c r="B383" t="inlineStr">
        <is>
          <t>GMIMB1_0UL00_Imbulgoda_Kd</t>
        </is>
      </c>
      <c r="C383" s="89" t="inlineStr">
        <is>
          <t>Huawei</t>
        </is>
      </c>
      <c r="F383" t="n">
        <v>7.046</v>
      </c>
      <c r="G383" t="n">
        <v>80.0021</v>
      </c>
      <c r="H383" t="inlineStr">
        <is>
          <t>GMIMB1-M-L85-C1</t>
        </is>
      </c>
      <c r="J383" s="91">
        <f>LEFT(RIGHT(H383,2),1)</f>
        <v/>
      </c>
      <c r="K383" s="91">
        <f>_xlfn.XLOOKUP(J383,#REF!,#REF!)</f>
        <v/>
      </c>
      <c r="L383" s="91" t="inlineStr">
        <is>
          <t>4G</t>
        </is>
      </c>
      <c r="M383" s="91" t="n">
        <v>850</v>
      </c>
      <c r="N383" s="91" t="inlineStr">
        <is>
          <t>AQU4518R9v06</t>
        </is>
      </c>
      <c r="O383" s="92" t="n">
        <v>60</v>
      </c>
      <c r="P383" t="n">
        <v>240</v>
      </c>
      <c r="R383" s="92" t="n">
        <v>0</v>
      </c>
      <c r="Y383" t="inlineStr">
        <is>
          <t>2T2R</t>
        </is>
      </c>
      <c r="AB383" s="91" t="inlineStr">
        <is>
          <t>R9254E S8500</t>
        </is>
      </c>
      <c r="AC383" s="91" t="inlineStr">
        <is>
          <t>A9652 S35*3+R9264H M901821*3+R9254E S8500*2+R9264 M1821N*1</t>
        </is>
      </c>
      <c r="AD383" s="91">
        <f>_xlfn.XLOOKUP(AE383,[4]透视表!$G:$G,[4]透视表!$D:$D)</f>
        <v/>
      </c>
      <c r="AE383" s="91">
        <f>A383&amp;K383</f>
        <v/>
      </c>
      <c r="AL383" s="91" t="inlineStr">
        <is>
          <t>高优先级</t>
        </is>
      </c>
    </row>
    <row r="384" hidden="1" ht="15" customHeight="1" s="99">
      <c r="A384" t="inlineStr">
        <is>
          <t>GMIMB1</t>
        </is>
      </c>
      <c r="B384" t="inlineStr">
        <is>
          <t>GMIMB1_0UL00_Imbulgoda_Kd</t>
        </is>
      </c>
      <c r="C384" s="89" t="inlineStr">
        <is>
          <t>Huawei</t>
        </is>
      </c>
      <c r="F384" t="n">
        <v>7.046</v>
      </c>
      <c r="G384" t="n">
        <v>80.0021</v>
      </c>
      <c r="H384" t="inlineStr">
        <is>
          <t>GMIMB1-M-L18-C1</t>
        </is>
      </c>
      <c r="J384" s="91">
        <f>LEFT(RIGHT(H384,2),1)</f>
        <v/>
      </c>
      <c r="K384" t="inlineStr">
        <is>
          <t>S3</t>
        </is>
      </c>
      <c r="L384" s="91" t="inlineStr">
        <is>
          <t>4G</t>
        </is>
      </c>
      <c r="M384" s="91" t="n">
        <v>1800</v>
      </c>
      <c r="N384" s="91" t="inlineStr">
        <is>
          <t>AQU4518R9v06</t>
        </is>
      </c>
      <c r="O384" s="92" t="n">
        <v>60</v>
      </c>
      <c r="P384" t="n">
        <v>240</v>
      </c>
      <c r="R384" s="92" t="n">
        <v>0</v>
      </c>
      <c r="Y384" t="inlineStr">
        <is>
          <t>2T2R</t>
        </is>
      </c>
      <c r="AB384" s="91" t="inlineStr">
        <is>
          <t>R9264H M901821</t>
        </is>
      </c>
      <c r="AC384" s="91" t="inlineStr">
        <is>
          <t>A9652 S35*3+R9264H M901821*3+R9254E S8500*2+R9264 M1821N*1</t>
        </is>
      </c>
      <c r="AD384" s="91">
        <f>_xlfn.XLOOKUP(AE384,[4]透视表!$G:$G,[4]透视表!$E:$E)</f>
        <v/>
      </c>
      <c r="AE384" s="91">
        <f>A384&amp;K384</f>
        <v/>
      </c>
      <c r="AL384" s="91" t="inlineStr">
        <is>
          <t>高优先级</t>
        </is>
      </c>
    </row>
    <row r="385" hidden="1" ht="15" customHeight="1" s="99">
      <c r="A385" t="inlineStr">
        <is>
          <t>GMIMB1</t>
        </is>
      </c>
      <c r="B385" t="inlineStr">
        <is>
          <t>GMIMB1_0UL00_Imbulgoda_Kd</t>
        </is>
      </c>
      <c r="C385" s="89" t="inlineStr">
        <is>
          <t>Huawei</t>
        </is>
      </c>
      <c r="F385" t="n">
        <v>7.046</v>
      </c>
      <c r="G385" t="n">
        <v>80.0021</v>
      </c>
      <c r="H385" t="inlineStr">
        <is>
          <t>GMIMB1I</t>
        </is>
      </c>
      <c r="J385" s="91">
        <f>RIGHT(H385,1)</f>
        <v/>
      </c>
      <c r="K385" t="inlineStr">
        <is>
          <t>S3</t>
        </is>
      </c>
      <c r="L385" s="91" t="inlineStr">
        <is>
          <t>4G</t>
        </is>
      </c>
      <c r="M385" s="91" t="n">
        <v>1800</v>
      </c>
      <c r="N385" s="91" t="inlineStr">
        <is>
          <t>AQU4518R9v06</t>
        </is>
      </c>
      <c r="O385" s="92" t="n">
        <v>60</v>
      </c>
      <c r="P385" t="n">
        <v>240</v>
      </c>
      <c r="R385" s="92" t="n">
        <v>0</v>
      </c>
      <c r="Y385" t="inlineStr">
        <is>
          <t>2T2R</t>
        </is>
      </c>
      <c r="AB385" s="91" t="inlineStr">
        <is>
          <t>R9264 M1821N</t>
        </is>
      </c>
      <c r="AC385" s="91" t="inlineStr">
        <is>
          <t>A9652 S35*3+R9264H M901821*3+R9254E S8500*2+R9264 M1821N*1</t>
        </is>
      </c>
      <c r="AD385" s="91">
        <f>_xlfn.XLOOKUP(AE385,[4]透视表!$G:$G,[4]透视表!$E:$E)</f>
        <v/>
      </c>
      <c r="AE385" s="91">
        <f>A385&amp;K385</f>
        <v/>
      </c>
      <c r="AL385" s="91" t="inlineStr">
        <is>
          <t>高优先级</t>
        </is>
      </c>
    </row>
    <row r="386" hidden="1" ht="15" customHeight="1" s="99">
      <c r="A386" t="inlineStr">
        <is>
          <t>GMIMB1</t>
        </is>
      </c>
      <c r="B386" t="inlineStr">
        <is>
          <t>GMIMB1_0UL00_Imbulgoda_Kd</t>
        </is>
      </c>
      <c r="C386" s="89" t="inlineStr">
        <is>
          <t>Huawei</t>
        </is>
      </c>
      <c r="D386" s="91" t="inlineStr">
        <is>
          <t>拉远？缺少射频设备</t>
        </is>
      </c>
      <c r="F386" t="n">
        <v>7.046</v>
      </c>
      <c r="G386" t="n">
        <v>80.0021</v>
      </c>
      <c r="H386" t="inlineStr">
        <is>
          <t>GMIMB1-M-L18-I1</t>
        </is>
      </c>
      <c r="J386" s="91">
        <f>LEFT(RIGHT(H386,2),1)</f>
        <v/>
      </c>
      <c r="K386" s="91" t="inlineStr">
        <is>
          <t>S4</t>
        </is>
      </c>
      <c r="L386" s="91" t="inlineStr">
        <is>
          <t>4G</t>
        </is>
      </c>
      <c r="M386" s="91" t="n">
        <v>1800</v>
      </c>
      <c r="N386" s="91" t="inlineStr">
        <is>
          <t>AMB4519R6v06</t>
        </is>
      </c>
      <c r="O386" s="92" t="n">
        <v>60</v>
      </c>
      <c r="P386" t="n">
        <v>240</v>
      </c>
      <c r="R386" s="92" t="n">
        <v>0</v>
      </c>
      <c r="Y386" t="inlineStr">
        <is>
          <t>4T4R</t>
        </is>
      </c>
      <c r="AB386" s="91" t="inlineStr">
        <is>
          <t>？</t>
        </is>
      </c>
      <c r="AC386" s="91" t="inlineStr">
        <is>
          <t>A9652 S35*3+R9264H M901821*3+R9254E S8500*2+R9264 M1821N*1</t>
        </is>
      </c>
      <c r="AD386" s="91">
        <f>_xlfn.XLOOKUP(AE386,[4]透视表!$G:$G,[4]透视表!$E:$E)</f>
        <v/>
      </c>
      <c r="AE386" s="91">
        <f>A386&amp;K386</f>
        <v/>
      </c>
      <c r="AL386" s="91" t="inlineStr">
        <is>
          <t>高优先级</t>
        </is>
      </c>
    </row>
    <row r="387" hidden="1" ht="15" customHeight="1" s="99">
      <c r="A387" t="inlineStr">
        <is>
          <t>GMIMB1</t>
        </is>
      </c>
      <c r="B387" t="inlineStr">
        <is>
          <t>GMIMB1_0UL00_Imbulgoda_Kd</t>
        </is>
      </c>
      <c r="C387" s="89" t="inlineStr">
        <is>
          <t>Huawei</t>
        </is>
      </c>
      <c r="F387" t="n">
        <v>7.046</v>
      </c>
      <c r="G387" t="n">
        <v>80.0021</v>
      </c>
      <c r="H387" t="inlineStr">
        <is>
          <t>GMIMB1-M-L21-C2</t>
        </is>
      </c>
      <c r="J387" s="91">
        <f>LEFT(RIGHT(H387,2),1)</f>
        <v/>
      </c>
      <c r="K387" s="91">
        <f>_xlfn.XLOOKUP(J387,#REF!,#REF!)</f>
        <v/>
      </c>
      <c r="L387" s="91" t="inlineStr">
        <is>
          <t>4G</t>
        </is>
      </c>
      <c r="M387" s="91" t="n">
        <v>2100</v>
      </c>
      <c r="N387" s="91" t="inlineStr">
        <is>
          <t>AQU4518R9v06</t>
        </is>
      </c>
      <c r="O387" s="92" t="n">
        <v>60</v>
      </c>
      <c r="P387" t="n">
        <v>240</v>
      </c>
      <c r="R387" s="92" t="n">
        <v>0</v>
      </c>
      <c r="Y387" t="inlineStr">
        <is>
          <t>2T2R</t>
        </is>
      </c>
      <c r="AB387" s="91" t="inlineStr">
        <is>
          <t>R9264H M901821</t>
        </is>
      </c>
      <c r="AC387" s="91" t="inlineStr">
        <is>
          <t>A9652 S35*3+R9264H M901821*3+R9254E S8500*2+R9264 M1821N*1</t>
        </is>
      </c>
      <c r="AD387" s="91">
        <f>_xlfn.XLOOKUP(AE387,[4]透视表!$G:$G,[4]透视表!$F:$F)</f>
        <v/>
      </c>
      <c r="AE387" s="91">
        <f>A387&amp;K387</f>
        <v/>
      </c>
      <c r="AL387" s="91" t="inlineStr">
        <is>
          <t>高优先级</t>
        </is>
      </c>
    </row>
    <row r="388" hidden="1" ht="15" customHeight="1" s="99">
      <c r="A388" t="inlineStr">
        <is>
          <t>GMIMB1</t>
        </is>
      </c>
      <c r="C388" s="89" t="n"/>
      <c r="I388" t="inlineStr">
        <is>
          <t>GMIMB1-M-L21-I2</t>
        </is>
      </c>
      <c r="J388" s="91">
        <f>LEFT(RIGHT(I388,2),1)</f>
        <v/>
      </c>
      <c r="K388" s="91">
        <f>_xlfn.XLOOKUP(J388,#REF!,#REF!)</f>
        <v/>
      </c>
      <c r="L388" s="91" t="inlineStr">
        <is>
          <t>4G</t>
        </is>
      </c>
      <c r="M388" s="91" t="n">
        <v>2100</v>
      </c>
      <c r="N388" s="91" t="n"/>
      <c r="P388" t="n">
        <v>240</v>
      </c>
      <c r="Y388" t="inlineStr">
        <is>
          <t>2T2R</t>
        </is>
      </c>
      <c r="AB388" s="91" t="inlineStr">
        <is>
          <t>R9264 M1821N</t>
        </is>
      </c>
      <c r="AC388" s="91" t="inlineStr">
        <is>
          <t>A9652 S35*3+R9264H M901821*3+R9254E S8500*2+R9264 M1821N*1</t>
        </is>
      </c>
    </row>
    <row r="389" hidden="1" ht="15" customHeight="1" s="99">
      <c r="A389" t="inlineStr">
        <is>
          <t>GMIMB1</t>
        </is>
      </c>
      <c r="B389" t="inlineStr">
        <is>
          <t>GMIMB1_0UL00_Imbulgoda_Kd</t>
        </is>
      </c>
      <c r="C389" s="89" t="inlineStr">
        <is>
          <t>Huawei</t>
        </is>
      </c>
      <c r="F389" t="n">
        <v>7.046</v>
      </c>
      <c r="G389" t="n">
        <v>80.0021</v>
      </c>
      <c r="H389" t="inlineStr">
        <is>
          <t>GMIMB1-M-L23-C1</t>
        </is>
      </c>
      <c r="J389" s="91">
        <f>LEFT(RIGHT(H389,2),1)</f>
        <v/>
      </c>
      <c r="K389" s="91">
        <f>_xlfn.XLOOKUP(J389,#REF!,#REF!)</f>
        <v/>
      </c>
      <c r="L389" s="91" t="inlineStr">
        <is>
          <t>4G</t>
        </is>
      </c>
      <c r="M389" s="91" t="n">
        <v>2300</v>
      </c>
      <c r="N389" s="91" t="n"/>
      <c r="O389" s="92" t="n">
        <v>60</v>
      </c>
      <c r="P389" t="n">
        <v>240</v>
      </c>
      <c r="R389" s="92" t="n">
        <v>0</v>
      </c>
      <c r="Y389" t="inlineStr">
        <is>
          <t>2T2R</t>
        </is>
      </c>
      <c r="AC389" s="91" t="inlineStr">
        <is>
          <t>A9652 S35*3+R9264H M901821*3+R9254E S8500*2+R9264 M1821N*1</t>
        </is>
      </c>
      <c r="AE389" s="91">
        <f>A389&amp;K389</f>
        <v/>
      </c>
      <c r="AL389" s="91" t="inlineStr">
        <is>
          <t>高优先级</t>
        </is>
      </c>
    </row>
    <row r="390" hidden="1" ht="15" customHeight="1" s="99">
      <c r="A390" t="inlineStr">
        <is>
          <t>GMIND1</t>
        </is>
      </c>
      <c r="C390" s="89" t="inlineStr">
        <is>
          <t>Huawei</t>
        </is>
      </c>
      <c r="F390" t="n">
        <v>7.10636</v>
      </c>
      <c r="G390" t="n">
        <v>80.0168</v>
      </c>
      <c r="H390" t="inlineStr">
        <is>
          <t>GMIND1A</t>
        </is>
      </c>
      <c r="J390" s="91">
        <f>RIGHT(H390,1)</f>
        <v/>
      </c>
      <c r="K390" t="inlineStr">
        <is>
          <t>S1</t>
        </is>
      </c>
      <c r="L390" s="91" t="inlineStr">
        <is>
          <t>2G</t>
        </is>
      </c>
      <c r="M390" t="n">
        <v>900</v>
      </c>
      <c r="N390" s="91" t="e">
        <v>#N/A</v>
      </c>
      <c r="P390" t="n">
        <v>20</v>
      </c>
      <c r="R390" s="92" t="n">
        <v>2</v>
      </c>
      <c r="AB390" s="91" t="inlineStr">
        <is>
          <t>R9264H M901821</t>
        </is>
      </c>
      <c r="AC390" s="91" t="inlineStr">
        <is>
          <t>R9254E S1800*1+R9264H M901821*3+R9254E S8500*2</t>
        </is>
      </c>
      <c r="AD390" s="91">
        <f>_xlfn.XLOOKUP(AE390,[4]透视表!$G:$G,[4]透视表!$D:$D)</f>
        <v/>
      </c>
      <c r="AE390" s="91">
        <f>A390&amp;K390</f>
        <v/>
      </c>
      <c r="AL390" s="91" t="inlineStr">
        <is>
          <t>高优先级</t>
        </is>
      </c>
    </row>
    <row r="391" hidden="1" ht="15" customHeight="1" s="99">
      <c r="A391" t="inlineStr">
        <is>
          <t>GMIND1</t>
        </is>
      </c>
      <c r="B391" t="inlineStr">
        <is>
          <t>GMIND1_GUL00_Indigolla_TXD_Gm</t>
        </is>
      </c>
      <c r="C391" s="89" t="inlineStr">
        <is>
          <t>Huawei</t>
        </is>
      </c>
      <c r="F391" t="n">
        <v>7.10636</v>
      </c>
      <c r="G391" t="n">
        <v>80.0168</v>
      </c>
      <c r="H391" t="inlineStr">
        <is>
          <t>GMIND1-M-L85-A1</t>
        </is>
      </c>
      <c r="J391" s="91">
        <f>LEFT(RIGHT(H391,2),1)</f>
        <v/>
      </c>
      <c r="K391" s="91">
        <f>_xlfn.XLOOKUP(J391,#REF!,#REF!)</f>
        <v/>
      </c>
      <c r="L391" s="91" t="inlineStr">
        <is>
          <t>4G</t>
        </is>
      </c>
      <c r="M391" s="91" t="n">
        <v>850</v>
      </c>
      <c r="N391" s="91" t="e">
        <v>#N/A</v>
      </c>
      <c r="O391" s="92" t="n">
        <v>50</v>
      </c>
      <c r="P391" t="n">
        <v>20</v>
      </c>
      <c r="R391" s="92" t="n">
        <v>0</v>
      </c>
      <c r="Y391" t="inlineStr">
        <is>
          <t>2T2R</t>
        </is>
      </c>
      <c r="AB391" s="91" t="inlineStr">
        <is>
          <t>R9254E S8500</t>
        </is>
      </c>
      <c r="AC391" s="91" t="inlineStr">
        <is>
          <t>R9254E S1800*1+R9264H M901821*3+R9254E S8500*2</t>
        </is>
      </c>
      <c r="AD391" s="91">
        <f>_xlfn.XLOOKUP(AE391,[4]透视表!$G:$G,[4]透视表!$D:$D)</f>
        <v/>
      </c>
      <c r="AE391" s="91">
        <f>A391&amp;K391</f>
        <v/>
      </c>
      <c r="AL391" s="91" t="inlineStr">
        <is>
          <t>高优先级</t>
        </is>
      </c>
    </row>
    <row r="392" hidden="1" ht="15" customHeight="1" s="99">
      <c r="A392" t="inlineStr">
        <is>
          <t>GMIND1</t>
        </is>
      </c>
      <c r="B392" t="inlineStr">
        <is>
          <t>GMIND1_GUL00_Indigolla_TXD_Gm</t>
        </is>
      </c>
      <c r="C392" s="89" t="inlineStr">
        <is>
          <t>Huawei</t>
        </is>
      </c>
      <c r="F392" t="n">
        <v>7.10636</v>
      </c>
      <c r="G392" t="n">
        <v>80.0168</v>
      </c>
      <c r="H392" t="inlineStr">
        <is>
          <t>GMIND1G</t>
        </is>
      </c>
      <c r="J392" s="91">
        <f>RIGHT(H392,1)</f>
        <v/>
      </c>
      <c r="K392" s="91">
        <f>_xlfn.XLOOKUP(J392,#REF!,#REF!)</f>
        <v/>
      </c>
      <c r="L392" s="91" t="inlineStr">
        <is>
          <t>4G</t>
        </is>
      </c>
      <c r="M392" s="91" t="n">
        <v>1800</v>
      </c>
      <c r="N392" s="91" t="e">
        <v>#N/A</v>
      </c>
      <c r="O392" s="92" t="n">
        <v>50</v>
      </c>
      <c r="P392" t="n">
        <v>20</v>
      </c>
      <c r="R392" s="92" t="n">
        <v>0</v>
      </c>
      <c r="Y392" t="inlineStr">
        <is>
          <t>4T4R</t>
        </is>
      </c>
      <c r="AB392" s="91" t="inlineStr">
        <is>
          <t>R9254E S1800</t>
        </is>
      </c>
      <c r="AC392" s="91" t="inlineStr">
        <is>
          <t>R9254E S1800*1+R9264H M901821*3+R9254E S8500*2</t>
        </is>
      </c>
      <c r="AD392" s="91">
        <f>_xlfn.XLOOKUP(AE392,[4]透视表!$G:$G,[4]透视表!$E:$E)</f>
        <v/>
      </c>
      <c r="AE392" s="91">
        <f>A392&amp;K392</f>
        <v/>
      </c>
      <c r="AL392" s="91" t="inlineStr">
        <is>
          <t>高优先级</t>
        </is>
      </c>
    </row>
    <row r="393" hidden="1" ht="15" customHeight="1" s="99">
      <c r="A393" t="inlineStr">
        <is>
          <t>GMIND1</t>
        </is>
      </c>
      <c r="C393" s="89" t="inlineStr">
        <is>
          <t>Huawei</t>
        </is>
      </c>
      <c r="F393" t="n">
        <v>7.10636</v>
      </c>
      <c r="G393" t="n">
        <v>80.0168</v>
      </c>
      <c r="H393" t="inlineStr">
        <is>
          <t>GMIND1B</t>
        </is>
      </c>
      <c r="J393" s="91">
        <f>RIGHT(H393,1)</f>
        <v/>
      </c>
      <c r="K393" t="inlineStr">
        <is>
          <t>S2</t>
        </is>
      </c>
      <c r="L393" s="91" t="inlineStr">
        <is>
          <t>2G</t>
        </is>
      </c>
      <c r="M393" t="n">
        <v>900</v>
      </c>
      <c r="N393" s="91" t="inlineStr">
        <is>
          <t>AQU4518R9v06</t>
        </is>
      </c>
      <c r="P393" t="n">
        <v>175</v>
      </c>
      <c r="R393" s="92" t="n">
        <v>2</v>
      </c>
      <c r="AB393" s="91" t="inlineStr">
        <is>
          <t>R9264H M901821</t>
        </is>
      </c>
      <c r="AC393" s="91" t="inlineStr">
        <is>
          <t>R9254E S1800*1+R9264H M901821*3+R9254E S8500*2</t>
        </is>
      </c>
      <c r="AD393" s="91">
        <f>_xlfn.XLOOKUP(AE393,[4]透视表!$G:$G,[4]透视表!$D:$D)</f>
        <v/>
      </c>
      <c r="AE393" s="91">
        <f>A393&amp;K393</f>
        <v/>
      </c>
      <c r="AL393" s="91" t="inlineStr">
        <is>
          <t>高优先级</t>
        </is>
      </c>
    </row>
    <row r="394" hidden="1" ht="15" customHeight="1" s="99">
      <c r="A394" t="inlineStr">
        <is>
          <t>GMIND1</t>
        </is>
      </c>
      <c r="C394" s="89" t="inlineStr">
        <is>
          <t>Huawei</t>
        </is>
      </c>
      <c r="F394" t="n">
        <v>7.10636</v>
      </c>
      <c r="G394" t="n">
        <v>80.0168</v>
      </c>
      <c r="H394" t="inlineStr">
        <is>
          <t>GMIND1Q</t>
        </is>
      </c>
      <c r="J394" s="91">
        <f>RIGHT(H394,1)</f>
        <v/>
      </c>
      <c r="K394" t="inlineStr">
        <is>
          <t>S2</t>
        </is>
      </c>
      <c r="L394" s="91" t="inlineStr">
        <is>
          <t>2G</t>
        </is>
      </c>
      <c r="M394" t="n">
        <v>1800</v>
      </c>
      <c r="N394" s="91" t="inlineStr">
        <is>
          <t>AQU4518R9v06</t>
        </is>
      </c>
      <c r="P394" t="n">
        <v>175</v>
      </c>
      <c r="R394" s="92" t="n">
        <v>2</v>
      </c>
      <c r="AB394" s="91" t="inlineStr">
        <is>
          <t>R9264H M901821</t>
        </is>
      </c>
      <c r="AC394" s="91" t="inlineStr">
        <is>
          <t>R9254E S1800*1+R9264H M901821*3+R9254E S8500*2</t>
        </is>
      </c>
      <c r="AD394" s="91">
        <f>_xlfn.XLOOKUP(AE394,[4]透视表!$G:$G,[4]透视表!$E:$E)</f>
        <v/>
      </c>
      <c r="AE394" s="91">
        <f>A394&amp;K394</f>
        <v/>
      </c>
      <c r="AL394" s="91" t="inlineStr">
        <is>
          <t>高优先级</t>
        </is>
      </c>
    </row>
    <row r="395" hidden="1" ht="15" customHeight="1" s="99">
      <c r="A395" t="inlineStr">
        <is>
          <t>GMIND1</t>
        </is>
      </c>
      <c r="B395" t="inlineStr">
        <is>
          <t>GMIND1_GUL00_Indigolla_TXD_Gm</t>
        </is>
      </c>
      <c r="C395" s="89" t="inlineStr">
        <is>
          <t>Huawei</t>
        </is>
      </c>
      <c r="F395" t="n">
        <v>7.10636</v>
      </c>
      <c r="G395" t="n">
        <v>80.0168</v>
      </c>
      <c r="H395" t="inlineStr">
        <is>
          <t>GMIND1-M-L85-B1</t>
        </is>
      </c>
      <c r="J395" s="91">
        <f>LEFT(RIGHT(H395,2),1)</f>
        <v/>
      </c>
      <c r="K395" s="91">
        <f>_xlfn.XLOOKUP(J395,#REF!,#REF!)</f>
        <v/>
      </c>
      <c r="L395" s="91" t="inlineStr">
        <is>
          <t>4G</t>
        </is>
      </c>
      <c r="M395" s="91" t="n">
        <v>850</v>
      </c>
      <c r="N395" s="91" t="inlineStr">
        <is>
          <t>AQU4518R9v06</t>
        </is>
      </c>
      <c r="O395" s="92" t="n">
        <v>50</v>
      </c>
      <c r="P395" t="n">
        <v>175</v>
      </c>
      <c r="R395" s="92" t="n">
        <v>0</v>
      </c>
      <c r="Y395" t="inlineStr">
        <is>
          <t>2T2R</t>
        </is>
      </c>
      <c r="AB395" s="91" t="inlineStr">
        <is>
          <t>R9254E S8500</t>
        </is>
      </c>
      <c r="AC395" s="91" t="inlineStr">
        <is>
          <t>R9254E S1800*1+R9264H M901821*3+R9254E S8500*2</t>
        </is>
      </c>
      <c r="AD395" s="91">
        <f>_xlfn.XLOOKUP(AE395,[4]透视表!$G:$G,[4]透视表!$D:$D)</f>
        <v/>
      </c>
      <c r="AE395" s="91">
        <f>A395&amp;K395</f>
        <v/>
      </c>
      <c r="AL395" s="91" t="inlineStr">
        <is>
          <t>高优先级</t>
        </is>
      </c>
    </row>
    <row r="396" hidden="1" ht="15" customHeight="1" s="99">
      <c r="A396" t="inlineStr">
        <is>
          <t>GMIND1</t>
        </is>
      </c>
      <c r="B396" t="inlineStr">
        <is>
          <t>GMIND1_GUL00_Indigolla_TXD_Gm</t>
        </is>
      </c>
      <c r="C396" s="89" t="inlineStr">
        <is>
          <t>Huawei</t>
        </is>
      </c>
      <c r="F396" t="n">
        <v>7.10636</v>
      </c>
      <c r="G396" t="n">
        <v>80.0168</v>
      </c>
      <c r="H396" t="inlineStr">
        <is>
          <t>GMIND1H</t>
        </is>
      </c>
      <c r="J396" s="91">
        <f>RIGHT(H396,1)</f>
        <v/>
      </c>
      <c r="K396" s="91">
        <f>_xlfn.XLOOKUP(J396,#REF!,#REF!)</f>
        <v/>
      </c>
      <c r="L396" s="91" t="inlineStr">
        <is>
          <t>4G</t>
        </is>
      </c>
      <c r="M396" s="91" t="n">
        <v>1800</v>
      </c>
      <c r="N396" s="91" t="inlineStr">
        <is>
          <t>AQU4518R9v06</t>
        </is>
      </c>
      <c r="O396" s="92" t="n">
        <v>50</v>
      </c>
      <c r="P396" t="n">
        <v>175</v>
      </c>
      <c r="R396" s="92" t="n">
        <v>0</v>
      </c>
      <c r="Y396" t="inlineStr">
        <is>
          <t>4T4R</t>
        </is>
      </c>
      <c r="AB396" s="91" t="inlineStr">
        <is>
          <t>R9264H M901821</t>
        </is>
      </c>
      <c r="AC396" s="91" t="inlineStr">
        <is>
          <t>R9254E S1800*1+R9264H M901821*3+R9254E S8500*2</t>
        </is>
      </c>
      <c r="AD396" s="91">
        <f>_xlfn.XLOOKUP(AE396,[4]透视表!$G:$G,[4]透视表!$E:$E)</f>
        <v/>
      </c>
      <c r="AE396" s="91">
        <f>A396&amp;K396</f>
        <v/>
      </c>
      <c r="AL396" s="91" t="inlineStr">
        <is>
          <t>高优先级</t>
        </is>
      </c>
    </row>
    <row r="397" hidden="1" ht="15" customHeight="1" s="99">
      <c r="A397" t="inlineStr">
        <is>
          <t>GMIND1</t>
        </is>
      </c>
      <c r="B397" t="inlineStr">
        <is>
          <t>GMIND1_GUL00_Indigolla_TXD_Gm</t>
        </is>
      </c>
      <c r="C397" s="89" t="inlineStr">
        <is>
          <t>Huawei</t>
        </is>
      </c>
      <c r="F397" t="n">
        <v>7.10636</v>
      </c>
      <c r="G397" t="n">
        <v>80.0168</v>
      </c>
      <c r="H397" t="inlineStr">
        <is>
          <t>GMIND1-M-L21-B2</t>
        </is>
      </c>
      <c r="J397" s="91">
        <f>LEFT(RIGHT(H397,2),1)</f>
        <v/>
      </c>
      <c r="K397" s="91">
        <f>_xlfn.XLOOKUP(J397,#REF!,#REF!)</f>
        <v/>
      </c>
      <c r="L397" s="91" t="inlineStr">
        <is>
          <t>4G</t>
        </is>
      </c>
      <c r="M397" s="91" t="n">
        <v>2100</v>
      </c>
      <c r="N397" s="91" t="inlineStr">
        <is>
          <t>AQU4518R9v06</t>
        </is>
      </c>
      <c r="O397" s="92" t="n">
        <v>50</v>
      </c>
      <c r="P397" t="n">
        <v>175</v>
      </c>
      <c r="R397" s="92" t="n">
        <v>0</v>
      </c>
      <c r="Y397" t="inlineStr">
        <is>
          <t>2T2R</t>
        </is>
      </c>
      <c r="AB397" s="91" t="inlineStr">
        <is>
          <t>R9264H M901821</t>
        </is>
      </c>
      <c r="AC397" s="91" t="inlineStr">
        <is>
          <t>R9254E S1800*1+R9264H M901821*3+R9254E S8500*2</t>
        </is>
      </c>
      <c r="AD397" s="91">
        <f>_xlfn.XLOOKUP(AE397,[4]透视表!$G:$G,[4]透视表!$F:$F)</f>
        <v/>
      </c>
      <c r="AE397" s="91">
        <f>A397&amp;K397</f>
        <v/>
      </c>
      <c r="AL397" s="91" t="inlineStr">
        <is>
          <t>高优先级</t>
        </is>
      </c>
    </row>
    <row r="398" hidden="1" ht="15" customHeight="1" s="99">
      <c r="A398" t="inlineStr">
        <is>
          <t>GMIND1</t>
        </is>
      </c>
      <c r="C398" s="89" t="inlineStr">
        <is>
          <t>Huawei</t>
        </is>
      </c>
      <c r="F398" t="n">
        <v>7.10636</v>
      </c>
      <c r="G398" t="n">
        <v>80.0168</v>
      </c>
      <c r="H398" t="inlineStr">
        <is>
          <t>GMIND1C</t>
        </is>
      </c>
      <c r="J398" s="91">
        <f>RIGHT(H398,1)</f>
        <v/>
      </c>
      <c r="K398" t="inlineStr">
        <is>
          <t>S3</t>
        </is>
      </c>
      <c r="L398" s="91" t="inlineStr">
        <is>
          <t>2G</t>
        </is>
      </c>
      <c r="M398" t="n">
        <v>900</v>
      </c>
      <c r="N398" s="91" t="e">
        <v>#N/A</v>
      </c>
      <c r="P398" t="n">
        <v>245</v>
      </c>
      <c r="R398" s="92" t="n">
        <v>2</v>
      </c>
      <c r="AB398" s="91" t="inlineStr">
        <is>
          <t>R9264H M901821</t>
        </is>
      </c>
      <c r="AC398" s="91" t="inlineStr">
        <is>
          <t>R9254E S1800*1+R9264H M901821*3+R9254E S8500*2</t>
        </is>
      </c>
      <c r="AD398" s="91">
        <f>_xlfn.XLOOKUP(AE398,[4]透视表!$G:$G,[4]透视表!$D:$D)</f>
        <v/>
      </c>
      <c r="AE398" s="91">
        <f>A398&amp;K398</f>
        <v/>
      </c>
      <c r="AL398" s="91" t="inlineStr">
        <is>
          <t>高优先级</t>
        </is>
      </c>
    </row>
    <row r="399" hidden="1" ht="15" customHeight="1" s="99">
      <c r="A399" t="inlineStr">
        <is>
          <t>GMIND1</t>
        </is>
      </c>
      <c r="C399" s="89" t="inlineStr">
        <is>
          <t>Huawei</t>
        </is>
      </c>
      <c r="F399" t="n">
        <v>7.10636</v>
      </c>
      <c r="G399" t="n">
        <v>80.0168</v>
      </c>
      <c r="H399" t="inlineStr">
        <is>
          <t>GMIND1R</t>
        </is>
      </c>
      <c r="J399" s="91">
        <f>RIGHT(H399,1)</f>
        <v/>
      </c>
      <c r="K399" t="inlineStr">
        <is>
          <t>S3</t>
        </is>
      </c>
      <c r="L399" s="91" t="inlineStr">
        <is>
          <t>2G</t>
        </is>
      </c>
      <c r="M399" t="n">
        <v>1800</v>
      </c>
      <c r="N399" s="91" t="e">
        <v>#N/A</v>
      </c>
      <c r="P399" t="n">
        <v>245</v>
      </c>
      <c r="R399" s="92" t="n">
        <v>2</v>
      </c>
      <c r="AB399" s="91" t="inlineStr">
        <is>
          <t>R9264H M901821</t>
        </is>
      </c>
      <c r="AC399" s="91" t="inlineStr">
        <is>
          <t>R9254E S1800*1+R9264H M901821*3+R9254E S8500*2</t>
        </is>
      </c>
      <c r="AD399" s="91">
        <f>_xlfn.XLOOKUP(AE399,[4]透视表!$G:$G,[4]透视表!$E:$E)</f>
        <v/>
      </c>
      <c r="AE399" s="91">
        <f>A399&amp;K399</f>
        <v/>
      </c>
      <c r="AL399" s="91" t="inlineStr">
        <is>
          <t>高优先级</t>
        </is>
      </c>
    </row>
    <row r="400" hidden="1" ht="15" customHeight="1" s="99">
      <c r="A400" t="inlineStr">
        <is>
          <t>GMIND1</t>
        </is>
      </c>
      <c r="B400" t="inlineStr">
        <is>
          <t>GMIND1_GUL00_Indigolla_TXD_Gm</t>
        </is>
      </c>
      <c r="C400" s="89" t="inlineStr">
        <is>
          <t>Huawei</t>
        </is>
      </c>
      <c r="F400" t="n">
        <v>7.10636</v>
      </c>
      <c r="G400" t="n">
        <v>80.0168</v>
      </c>
      <c r="H400" t="inlineStr">
        <is>
          <t>GMIND1-M-L85-C1</t>
        </is>
      </c>
      <c r="J400" s="91">
        <f>LEFT(RIGHT(H400,2),1)</f>
        <v/>
      </c>
      <c r="K400" s="91">
        <f>_xlfn.XLOOKUP(J400,#REF!,#REF!)</f>
        <v/>
      </c>
      <c r="L400" s="91" t="inlineStr">
        <is>
          <t>4G</t>
        </is>
      </c>
      <c r="M400" s="91" t="n">
        <v>850</v>
      </c>
      <c r="N400" s="91" t="e">
        <v>#N/A</v>
      </c>
      <c r="O400" s="92" t="n">
        <v>50</v>
      </c>
      <c r="P400" t="n">
        <v>245</v>
      </c>
      <c r="R400" s="92" t="n">
        <v>0</v>
      </c>
      <c r="Y400" t="inlineStr">
        <is>
          <t>2T2R</t>
        </is>
      </c>
      <c r="AB400" s="91" t="inlineStr">
        <is>
          <t>R9254E S8500</t>
        </is>
      </c>
      <c r="AC400" s="91" t="inlineStr">
        <is>
          <t>R9254E S1800*1+R9264H M901821*3+R9254E S8500*2</t>
        </is>
      </c>
      <c r="AD400" s="91">
        <f>_xlfn.XLOOKUP(AE400,[4]透视表!$G:$G,[4]透视表!$D:$D)</f>
        <v/>
      </c>
      <c r="AE400" s="91">
        <f>A400&amp;K400</f>
        <v/>
      </c>
      <c r="AL400" s="91" t="inlineStr">
        <is>
          <t>高优先级</t>
        </is>
      </c>
    </row>
    <row r="401" hidden="1" ht="15" customHeight="1" s="99">
      <c r="A401" t="inlineStr">
        <is>
          <t>GMIND1</t>
        </is>
      </c>
      <c r="B401" t="inlineStr">
        <is>
          <t>GMIND1_GUL00_Indigolla_TXD_Gm</t>
        </is>
      </c>
      <c r="C401" s="89" t="inlineStr">
        <is>
          <t>Huawei</t>
        </is>
      </c>
      <c r="F401" t="n">
        <v>7.10636</v>
      </c>
      <c r="G401" t="n">
        <v>80.0168</v>
      </c>
      <c r="H401" t="inlineStr">
        <is>
          <t>GMIND1I</t>
        </is>
      </c>
      <c r="J401" s="91">
        <f>RIGHT(H401,1)</f>
        <v/>
      </c>
      <c r="K401" s="91">
        <f>_xlfn.XLOOKUP(J401,#REF!,#REF!)</f>
        <v/>
      </c>
      <c r="L401" s="91" t="inlineStr">
        <is>
          <t>4G</t>
        </is>
      </c>
      <c r="M401" s="91" t="n">
        <v>1800</v>
      </c>
      <c r="N401" s="91" t="e">
        <v>#N/A</v>
      </c>
      <c r="O401" s="92" t="n">
        <v>50</v>
      </c>
      <c r="P401" t="n">
        <v>245</v>
      </c>
      <c r="R401" s="92" t="n">
        <v>0</v>
      </c>
      <c r="Y401" t="inlineStr">
        <is>
          <t>4T4R</t>
        </is>
      </c>
      <c r="AB401" s="91" t="inlineStr">
        <is>
          <t>R9264H M901821</t>
        </is>
      </c>
      <c r="AC401" s="91" t="inlineStr">
        <is>
          <t>R9254E S1800*1+R9264H M901821*3+R9254E S8500*2</t>
        </is>
      </c>
      <c r="AD401" s="91">
        <f>_xlfn.XLOOKUP(AE401,[4]透视表!$G:$G,[4]透视表!$E:$E)</f>
        <v/>
      </c>
      <c r="AE401" s="91">
        <f>A401&amp;K401</f>
        <v/>
      </c>
      <c r="AL401" s="91" t="inlineStr">
        <is>
          <t>高优先级</t>
        </is>
      </c>
    </row>
    <row r="402" hidden="1" ht="15" customHeight="1" s="99">
      <c r="A402" t="inlineStr">
        <is>
          <t>GMIND1</t>
        </is>
      </c>
      <c r="B402" t="inlineStr">
        <is>
          <t>GMIND1_GUL00_Indigolla_TXD_Gm</t>
        </is>
      </c>
      <c r="C402" s="89" t="inlineStr">
        <is>
          <t>Huawei</t>
        </is>
      </c>
      <c r="F402" t="n">
        <v>7.10636</v>
      </c>
      <c r="G402" t="n">
        <v>80.0168</v>
      </c>
      <c r="H402" t="inlineStr">
        <is>
          <t>GMIND1-M-L21-C2</t>
        </is>
      </c>
      <c r="J402" s="91">
        <f>LEFT(RIGHT(H402,2),1)</f>
        <v/>
      </c>
      <c r="K402" s="91">
        <f>_xlfn.XLOOKUP(J402,#REF!,#REF!)</f>
        <v/>
      </c>
      <c r="L402" s="91" t="inlineStr">
        <is>
          <t>4G</t>
        </is>
      </c>
      <c r="M402" s="91" t="n">
        <v>2100</v>
      </c>
      <c r="N402" s="91" t="e">
        <v>#N/A</v>
      </c>
      <c r="O402" s="92" t="n">
        <v>50</v>
      </c>
      <c r="P402" t="n">
        <v>245</v>
      </c>
      <c r="R402" s="92" t="n">
        <v>0</v>
      </c>
      <c r="Y402" t="inlineStr">
        <is>
          <t>2T2R</t>
        </is>
      </c>
      <c r="AB402" s="91" t="inlineStr">
        <is>
          <t>R9264H M901821</t>
        </is>
      </c>
      <c r="AC402" s="91" t="inlineStr">
        <is>
          <t>R9254E S1800*1+R9264H M901821*3+R9254E S8500*2</t>
        </is>
      </c>
      <c r="AD402" s="91">
        <f>_xlfn.XLOOKUP(AE402,[4]透视表!$G:$G,[4]透视表!$F:$F)</f>
        <v/>
      </c>
      <c r="AE402" s="91">
        <f>A402&amp;K402</f>
        <v/>
      </c>
      <c r="AL402" s="91" t="inlineStr">
        <is>
          <t>高优先级</t>
        </is>
      </c>
    </row>
    <row r="403" hidden="1" ht="15" customHeight="1" s="99">
      <c r="A403" t="inlineStr">
        <is>
          <t>GMIND1</t>
        </is>
      </c>
      <c r="B403" t="inlineStr">
        <is>
          <t>GMIND1_GUL00_Indigolla_TXD_Gm</t>
        </is>
      </c>
      <c r="C403" s="89" t="inlineStr">
        <is>
          <t>Huawei</t>
        </is>
      </c>
      <c r="F403" t="n">
        <v>7.10636</v>
      </c>
      <c r="G403" t="n">
        <v>80.0168</v>
      </c>
      <c r="H403" t="inlineStr">
        <is>
          <t>GMIND1F</t>
        </is>
      </c>
      <c r="J403" s="91">
        <f>RIGHT(H403,1)</f>
        <v/>
      </c>
      <c r="K403" s="91">
        <f>_xlfn.XLOOKUP(J403,#REF!,#REF!)</f>
        <v/>
      </c>
      <c r="L403" s="91" t="inlineStr">
        <is>
          <t>4G</t>
        </is>
      </c>
      <c r="M403" s="91" t="n">
        <v>1800</v>
      </c>
      <c r="N403" s="91" t="inlineStr"/>
      <c r="O403" s="92" t="n">
        <v>50</v>
      </c>
      <c r="P403" t="n">
        <v>270</v>
      </c>
      <c r="R403" s="92" t="n">
        <v>0</v>
      </c>
      <c r="Y403" t="inlineStr">
        <is>
          <t>2T2R</t>
        </is>
      </c>
      <c r="AB403" s="91" t="inlineStr">
        <is>
          <t>R9264H M901821</t>
        </is>
      </c>
      <c r="AC403" s="91" t="inlineStr">
        <is>
          <t>R9254E S1800*1+R9264H M901821*3+R9254E S8500*2</t>
        </is>
      </c>
      <c r="AD403" s="91">
        <f>_xlfn.XLOOKUP(AE403,[4]透视表!$G:$G,[4]透视表!$E:$E)</f>
        <v/>
      </c>
      <c r="AE403" s="91">
        <f>A403&amp;K403</f>
        <v/>
      </c>
      <c r="AL403" s="91" t="inlineStr">
        <is>
          <t>高优先级</t>
        </is>
      </c>
    </row>
    <row r="404" hidden="1" ht="15" customHeight="1" s="99">
      <c r="A404" t="inlineStr">
        <is>
          <t>GMIND1</t>
        </is>
      </c>
      <c r="B404" t="inlineStr">
        <is>
          <t>GMIND1_GUL00_Indigolla_TXD_Gm</t>
        </is>
      </c>
      <c r="C404" s="89" t="inlineStr">
        <is>
          <t>Huawei</t>
        </is>
      </c>
      <c r="F404" t="n">
        <v>7.10636</v>
      </c>
      <c r="G404" t="n">
        <v>80.0168</v>
      </c>
      <c r="H404" t="inlineStr">
        <is>
          <t>GMIND1-M-L21-D2</t>
        </is>
      </c>
      <c r="J404" s="91">
        <f>LEFT(RIGHT(H404,2),1)</f>
        <v/>
      </c>
      <c r="K404" s="91">
        <f>_xlfn.XLOOKUP(J404,#REF!,#REF!)</f>
        <v/>
      </c>
      <c r="L404" s="91" t="inlineStr">
        <is>
          <t>4G</t>
        </is>
      </c>
      <c r="M404" s="91" t="n">
        <v>2100</v>
      </c>
      <c r="N404" s="91" t="inlineStr">
        <is>
          <t>AQU4518R9v06</t>
        </is>
      </c>
      <c r="O404" s="92" t="n">
        <v>50</v>
      </c>
      <c r="P404" t="n">
        <v>270</v>
      </c>
      <c r="R404" s="92" t="n">
        <v>0</v>
      </c>
      <c r="Y404" t="inlineStr">
        <is>
          <t>2T2R</t>
        </is>
      </c>
      <c r="AB404" s="91" t="inlineStr">
        <is>
          <t>R9264H M901821</t>
        </is>
      </c>
      <c r="AC404" s="91" t="inlineStr">
        <is>
          <t>R9254E S1800*1+R9264H M901821*3+R9254E S8500*2</t>
        </is>
      </c>
      <c r="AD404" s="91">
        <f>_xlfn.XLOOKUP(AE404,[4]透视表!$G:$G,[4]透视表!$F:$F)</f>
        <v/>
      </c>
      <c r="AE404" s="91">
        <f>A404&amp;K404</f>
        <v/>
      </c>
      <c r="AL404" s="91" t="inlineStr">
        <is>
          <t>高优先级</t>
        </is>
      </c>
    </row>
    <row r="405" hidden="1" ht="15" customHeight="1" s="99">
      <c r="A405" t="inlineStr">
        <is>
          <t>GMIND2</t>
        </is>
      </c>
      <c r="C405" s="89" t="inlineStr">
        <is>
          <t>Huawei</t>
        </is>
      </c>
      <c r="F405" t="n">
        <v>7.093056</v>
      </c>
      <c r="G405" t="n">
        <v>80.017222</v>
      </c>
      <c r="H405" t="inlineStr">
        <is>
          <t>GMIND2P</t>
        </is>
      </c>
      <c r="J405" s="91">
        <f>RIGHT(H405,1)</f>
        <v/>
      </c>
      <c r="K405" t="inlineStr">
        <is>
          <t>S1</t>
        </is>
      </c>
      <c r="L405" s="91" t="inlineStr">
        <is>
          <t>2G</t>
        </is>
      </c>
      <c r="M405" t="n">
        <v>1800</v>
      </c>
      <c r="N405" s="91" t="inlineStr">
        <is>
          <t>AQU4518R9v06</t>
        </is>
      </c>
      <c r="P405" t="n">
        <v>40</v>
      </c>
      <c r="R405" s="92" t="n">
        <v>2</v>
      </c>
      <c r="AB405" s="91" t="inlineStr">
        <is>
          <t>R9264 M1821N</t>
        </is>
      </c>
      <c r="AC405" s="91" t="inlineStr">
        <is>
          <t>A9652 S35*3+R9264 M1821N*3</t>
        </is>
      </c>
      <c r="AD405" s="91">
        <f>_xlfn.XLOOKUP(AE405,[4]透视表!$G:$G,[4]透视表!$E:$E)</f>
        <v/>
      </c>
      <c r="AE405" s="91">
        <f>A405&amp;K405</f>
        <v/>
      </c>
      <c r="AL405" s="91" t="inlineStr">
        <is>
          <t>高优先级</t>
        </is>
      </c>
    </row>
    <row r="406" hidden="1" ht="15" customHeight="1" s="99">
      <c r="A406" t="inlineStr">
        <is>
          <t>GMIND2</t>
        </is>
      </c>
      <c r="B406" t="inlineStr">
        <is>
          <t>GMIND2_GUL00_Indigolla2_89_TXD_Gm</t>
        </is>
      </c>
      <c r="C406" s="89" t="inlineStr">
        <is>
          <t>Huawei</t>
        </is>
      </c>
      <c r="F406" t="n">
        <v>7.093056</v>
      </c>
      <c r="G406" t="n">
        <v>80.017222</v>
      </c>
      <c r="H406" t="inlineStr">
        <is>
          <t>GMIND2G</t>
        </is>
      </c>
      <c r="J406" s="91">
        <f>RIGHT(H406,1)</f>
        <v/>
      </c>
      <c r="K406" s="91">
        <f>_xlfn.XLOOKUP(J406,#REF!,#REF!)</f>
        <v/>
      </c>
      <c r="L406" s="91" t="inlineStr">
        <is>
          <t>4G</t>
        </is>
      </c>
      <c r="M406" s="91" t="n">
        <v>1800</v>
      </c>
      <c r="N406" s="91" t="inlineStr">
        <is>
          <t>AQU4518R9v06</t>
        </is>
      </c>
      <c r="O406" s="92" t="n">
        <v>50</v>
      </c>
      <c r="P406" t="n">
        <v>40</v>
      </c>
      <c r="R406" s="92" t="n">
        <v>0</v>
      </c>
      <c r="Y406" t="inlineStr">
        <is>
          <t>4T4R</t>
        </is>
      </c>
      <c r="AB406" s="91" t="inlineStr">
        <is>
          <t>R9264 M1821N</t>
        </is>
      </c>
      <c r="AC406" s="91" t="inlineStr">
        <is>
          <t>A9652 S35*3+R9264 M1821N*3</t>
        </is>
      </c>
      <c r="AD406" s="91">
        <f>_xlfn.XLOOKUP(AE406,[4]透视表!$G:$G,[4]透视表!$E:$E)</f>
        <v/>
      </c>
      <c r="AE406" s="91">
        <f>A406&amp;K406</f>
        <v/>
      </c>
      <c r="AL406" s="91" t="inlineStr">
        <is>
          <t>高优先级</t>
        </is>
      </c>
    </row>
    <row r="407" hidden="1" ht="15" customHeight="1" s="99">
      <c r="A407" t="inlineStr">
        <is>
          <t>GMIND2</t>
        </is>
      </c>
      <c r="B407" t="inlineStr">
        <is>
          <t>GMIND2_GUL00_Indigolla2_89_TXD_Gm</t>
        </is>
      </c>
      <c r="C407" s="89" t="inlineStr">
        <is>
          <t>Huawei</t>
        </is>
      </c>
      <c r="F407" t="n">
        <v>7.093056</v>
      </c>
      <c r="G407" t="n">
        <v>80.017222</v>
      </c>
      <c r="H407" t="inlineStr">
        <is>
          <t>GMIND2-M-L21-A2</t>
        </is>
      </c>
      <c r="J407" s="91">
        <f>LEFT(RIGHT(H407,2),1)</f>
        <v/>
      </c>
      <c r="K407" s="91">
        <f>_xlfn.XLOOKUP(J407,#REF!,#REF!)</f>
        <v/>
      </c>
      <c r="L407" s="91" t="inlineStr">
        <is>
          <t>4G</t>
        </is>
      </c>
      <c r="M407" s="91" t="n">
        <v>2100</v>
      </c>
      <c r="N407" s="91" t="inlineStr">
        <is>
          <t>AQU4518R9v06</t>
        </is>
      </c>
      <c r="O407" s="92" t="n">
        <v>50</v>
      </c>
      <c r="P407" t="n">
        <v>40</v>
      </c>
      <c r="R407" s="92" t="n">
        <v>0</v>
      </c>
      <c r="Y407" t="inlineStr">
        <is>
          <t>2T2R</t>
        </is>
      </c>
      <c r="AB407" s="91" t="inlineStr">
        <is>
          <t>R9264 M1821N</t>
        </is>
      </c>
      <c r="AC407" s="91" t="inlineStr">
        <is>
          <t>A9652 S35*3+R9264 M1821N*3</t>
        </is>
      </c>
      <c r="AD407" s="91">
        <f>_xlfn.XLOOKUP(AE407,[4]透视表!$G:$G,[4]透视表!$F:$F)</f>
        <v/>
      </c>
      <c r="AE407" s="91">
        <f>A407&amp;K407</f>
        <v/>
      </c>
      <c r="AL407" s="91" t="inlineStr">
        <is>
          <t>高优先级</t>
        </is>
      </c>
    </row>
    <row r="408" hidden="1" ht="15" customHeight="1" s="99">
      <c r="A408" t="inlineStr">
        <is>
          <t>GMIND2</t>
        </is>
      </c>
      <c r="C408" s="89" t="inlineStr">
        <is>
          <t>Huawei</t>
        </is>
      </c>
      <c r="F408" t="n">
        <v>7.093056</v>
      </c>
      <c r="G408" t="n">
        <v>80.017222</v>
      </c>
      <c r="H408" t="inlineStr">
        <is>
          <t>GMIND2Q</t>
        </is>
      </c>
      <c r="J408" s="91">
        <f>RIGHT(H408,1)</f>
        <v/>
      </c>
      <c r="K408" t="inlineStr">
        <is>
          <t>S2</t>
        </is>
      </c>
      <c r="L408" s="91" t="inlineStr">
        <is>
          <t>2G</t>
        </is>
      </c>
      <c r="M408" t="n">
        <v>1800</v>
      </c>
      <c r="N408" s="91" t="inlineStr">
        <is>
          <t>AQU4518R9v06</t>
        </is>
      </c>
      <c r="P408" t="n">
        <v>180</v>
      </c>
      <c r="R408" s="92" t="n">
        <v>2</v>
      </c>
      <c r="AB408" s="91" t="inlineStr">
        <is>
          <t>R9264 M1821N</t>
        </is>
      </c>
      <c r="AC408" s="91" t="inlineStr">
        <is>
          <t>A9652 S35*3+R9264 M1821N*3</t>
        </is>
      </c>
      <c r="AD408" s="91">
        <f>_xlfn.XLOOKUP(AE408,[4]透视表!$G:$G,[4]透视表!$E:$E)</f>
        <v/>
      </c>
      <c r="AE408" s="91">
        <f>A408&amp;K408</f>
        <v/>
      </c>
      <c r="AL408" s="91" t="inlineStr">
        <is>
          <t>高优先级</t>
        </is>
      </c>
    </row>
    <row r="409" hidden="1" ht="15" customHeight="1" s="99">
      <c r="A409" t="inlineStr">
        <is>
          <t>GMIND2</t>
        </is>
      </c>
      <c r="B409" t="inlineStr">
        <is>
          <t>GMIND2_GUL00_Indigolla2_89_TXD_Gm</t>
        </is>
      </c>
      <c r="C409" s="89" t="inlineStr">
        <is>
          <t>Huawei</t>
        </is>
      </c>
      <c r="F409" t="n">
        <v>7.093056</v>
      </c>
      <c r="G409" t="n">
        <v>80.017222</v>
      </c>
      <c r="H409" t="inlineStr">
        <is>
          <t>GMIND2H</t>
        </is>
      </c>
      <c r="J409" s="91">
        <f>RIGHT(H409,1)</f>
        <v/>
      </c>
      <c r="K409" s="91">
        <f>_xlfn.XLOOKUP(J409,#REF!,#REF!)</f>
        <v/>
      </c>
      <c r="L409" s="91" t="inlineStr">
        <is>
          <t>4G</t>
        </is>
      </c>
      <c r="M409" s="91" t="n">
        <v>1800</v>
      </c>
      <c r="N409" s="91" t="inlineStr">
        <is>
          <t>AQU4518R9v06</t>
        </is>
      </c>
      <c r="O409" s="92" t="n">
        <v>50</v>
      </c>
      <c r="P409" t="n">
        <v>180</v>
      </c>
      <c r="R409" s="92" t="n">
        <v>0</v>
      </c>
      <c r="Y409" t="inlineStr">
        <is>
          <t>4T4R</t>
        </is>
      </c>
      <c r="AB409" s="91" t="inlineStr">
        <is>
          <t>R9264 M1821N</t>
        </is>
      </c>
      <c r="AC409" s="91" t="inlineStr">
        <is>
          <t>A9652 S35*3+R9264 M1821N*3</t>
        </is>
      </c>
      <c r="AD409" s="91">
        <f>_xlfn.XLOOKUP(AE409,[4]透视表!$G:$G,[4]透视表!$E:$E)</f>
        <v/>
      </c>
      <c r="AE409" s="91">
        <f>A409&amp;K409</f>
        <v/>
      </c>
      <c r="AL409" s="91" t="inlineStr">
        <is>
          <t>高优先级</t>
        </is>
      </c>
    </row>
    <row r="410" hidden="1" ht="15" customHeight="1" s="99">
      <c r="A410" t="inlineStr">
        <is>
          <t>GMIND2</t>
        </is>
      </c>
      <c r="B410" t="inlineStr">
        <is>
          <t>GMIND2_GUL00_Indigolla2_89_TXD_Gm</t>
        </is>
      </c>
      <c r="C410" s="89" t="inlineStr">
        <is>
          <t>Huawei</t>
        </is>
      </c>
      <c r="F410" t="n">
        <v>7.093056</v>
      </c>
      <c r="G410" t="n">
        <v>80.017222</v>
      </c>
      <c r="H410" t="inlineStr">
        <is>
          <t>GMIND2-M-L21-B2</t>
        </is>
      </c>
      <c r="J410" s="91">
        <f>LEFT(RIGHT(H410,2),1)</f>
        <v/>
      </c>
      <c r="K410" s="91">
        <f>_xlfn.XLOOKUP(J410,#REF!,#REF!)</f>
        <v/>
      </c>
      <c r="L410" s="91" t="inlineStr">
        <is>
          <t>4G</t>
        </is>
      </c>
      <c r="M410" s="91" t="n">
        <v>2100</v>
      </c>
      <c r="N410" s="91" t="inlineStr">
        <is>
          <t>AQU4518R9v06</t>
        </is>
      </c>
      <c r="O410" s="92" t="n">
        <v>50</v>
      </c>
      <c r="P410" t="n">
        <v>180</v>
      </c>
      <c r="R410" s="92" t="n">
        <v>0</v>
      </c>
      <c r="Y410" t="inlineStr">
        <is>
          <t>2T2R</t>
        </is>
      </c>
      <c r="AB410" s="91" t="inlineStr">
        <is>
          <t>R9264 M1821N</t>
        </is>
      </c>
      <c r="AC410" s="91" t="inlineStr">
        <is>
          <t>A9652 S35*3+R9264 M1821N*3</t>
        </is>
      </c>
      <c r="AD410" s="91">
        <f>_xlfn.XLOOKUP(AE410,[4]透视表!$G:$G,[4]透视表!$F:$F)</f>
        <v/>
      </c>
      <c r="AE410" s="91">
        <f>A410&amp;K410</f>
        <v/>
      </c>
      <c r="AL410" s="91" t="inlineStr">
        <is>
          <t>高优先级</t>
        </is>
      </c>
    </row>
    <row r="411" hidden="1" ht="15" customHeight="1" s="99">
      <c r="A411" t="inlineStr">
        <is>
          <t>GMIND2</t>
        </is>
      </c>
      <c r="C411" s="89" t="inlineStr">
        <is>
          <t>Huawei</t>
        </is>
      </c>
      <c r="F411" t="n">
        <v>7.093056</v>
      </c>
      <c r="G411" t="n">
        <v>80.017222</v>
      </c>
      <c r="H411" t="inlineStr">
        <is>
          <t>GMIND2R</t>
        </is>
      </c>
      <c r="J411" s="91">
        <f>RIGHT(H411,1)</f>
        <v/>
      </c>
      <c r="K411" t="inlineStr">
        <is>
          <t>S3</t>
        </is>
      </c>
      <c r="L411" s="91" t="inlineStr">
        <is>
          <t>2G</t>
        </is>
      </c>
      <c r="M411" t="n">
        <v>1800</v>
      </c>
      <c r="N411" s="91" t="inlineStr">
        <is>
          <t>AQU4518R9v06</t>
        </is>
      </c>
      <c r="P411" t="n">
        <v>285</v>
      </c>
      <c r="R411" s="92" t="n">
        <v>2</v>
      </c>
      <c r="AB411" s="91" t="inlineStr">
        <is>
          <t>R9264 M1821N</t>
        </is>
      </c>
      <c r="AC411" s="91" t="inlineStr">
        <is>
          <t>A9652 S35*3+R9264 M1821N*3</t>
        </is>
      </c>
      <c r="AD411" s="91">
        <f>_xlfn.XLOOKUP(AE411,[4]透视表!$G:$G,[4]透视表!$E:$E)</f>
        <v/>
      </c>
      <c r="AE411" s="91">
        <f>A411&amp;K411</f>
        <v/>
      </c>
      <c r="AL411" s="91" t="inlineStr">
        <is>
          <t>高优先级</t>
        </is>
      </c>
    </row>
    <row r="412" hidden="1" ht="15" customHeight="1" s="99">
      <c r="A412" t="inlineStr">
        <is>
          <t>GMIND2</t>
        </is>
      </c>
      <c r="B412" t="inlineStr">
        <is>
          <t>GMIND2_GUL00_Indigolla2_89_TXD_Gm</t>
        </is>
      </c>
      <c r="C412" s="89" t="inlineStr">
        <is>
          <t>Huawei</t>
        </is>
      </c>
      <c r="F412" t="n">
        <v>7.093056</v>
      </c>
      <c r="G412" t="n">
        <v>80.017222</v>
      </c>
      <c r="H412" t="inlineStr">
        <is>
          <t>GMIND2I</t>
        </is>
      </c>
      <c r="J412" s="91">
        <f>RIGHT(H412,1)</f>
        <v/>
      </c>
      <c r="K412" s="91">
        <f>_xlfn.XLOOKUP(J412,#REF!,#REF!)</f>
        <v/>
      </c>
      <c r="L412" s="91" t="inlineStr">
        <is>
          <t>4G</t>
        </is>
      </c>
      <c r="M412" s="91" t="n">
        <v>1800</v>
      </c>
      <c r="N412" s="91" t="inlineStr">
        <is>
          <t>AQU4518R9v06</t>
        </is>
      </c>
      <c r="O412" s="92" t="n">
        <v>50</v>
      </c>
      <c r="P412" t="n">
        <v>285</v>
      </c>
      <c r="R412" s="92" t="n">
        <v>0</v>
      </c>
      <c r="Y412" t="inlineStr">
        <is>
          <t>4T4R</t>
        </is>
      </c>
      <c r="AB412" s="91" t="inlineStr">
        <is>
          <t>R9264 M1821N</t>
        </is>
      </c>
      <c r="AC412" s="91" t="inlineStr">
        <is>
          <t>A9652 S35*3+R9264 M1821N*3</t>
        </is>
      </c>
      <c r="AD412" s="91">
        <f>_xlfn.XLOOKUP(AE412,[4]透视表!$G:$G,[4]透视表!$E:$E)</f>
        <v/>
      </c>
      <c r="AE412" s="91">
        <f>A412&amp;K412</f>
        <v/>
      </c>
      <c r="AL412" s="91" t="inlineStr">
        <is>
          <t>高优先级</t>
        </is>
      </c>
    </row>
    <row r="413" hidden="1" ht="15" customHeight="1" s="99">
      <c r="A413" t="inlineStr">
        <is>
          <t>GMIND2</t>
        </is>
      </c>
      <c r="B413" t="inlineStr">
        <is>
          <t>GMIND2_GUL00_Indigolla2_89_TXD_Gm</t>
        </is>
      </c>
      <c r="C413" s="89" t="inlineStr">
        <is>
          <t>Huawei</t>
        </is>
      </c>
      <c r="F413" t="n">
        <v>7.093056</v>
      </c>
      <c r="G413" t="n">
        <v>80.017222</v>
      </c>
      <c r="H413" t="inlineStr">
        <is>
          <t>GMIND2-M-L21-C2</t>
        </is>
      </c>
      <c r="J413" s="91">
        <f>LEFT(RIGHT(H413,2),1)</f>
        <v/>
      </c>
      <c r="K413" s="91">
        <f>_xlfn.XLOOKUP(J413,#REF!,#REF!)</f>
        <v/>
      </c>
      <c r="L413" s="91" t="inlineStr">
        <is>
          <t>4G</t>
        </is>
      </c>
      <c r="M413" s="91" t="n">
        <v>2100</v>
      </c>
      <c r="N413" s="91" t="inlineStr">
        <is>
          <t>AQU4518R9v06</t>
        </is>
      </c>
      <c r="O413" s="92" t="n">
        <v>50</v>
      </c>
      <c r="P413" t="n">
        <v>285</v>
      </c>
      <c r="R413" s="92" t="n">
        <v>0</v>
      </c>
      <c r="Y413" t="inlineStr">
        <is>
          <t>2T2R</t>
        </is>
      </c>
      <c r="AB413" s="91" t="inlineStr">
        <is>
          <t>R9264 M1821N</t>
        </is>
      </c>
      <c r="AC413" s="91" t="inlineStr">
        <is>
          <t>A9652 S35*3+R9264 M1821N*3</t>
        </is>
      </c>
      <c r="AD413" s="91">
        <f>_xlfn.XLOOKUP(AE413,[4]透视表!$G:$G,[4]透视表!$F:$F)</f>
        <v/>
      </c>
      <c r="AE413" s="91">
        <f>A413&amp;K413</f>
        <v/>
      </c>
      <c r="AL413" s="91" t="inlineStr">
        <is>
          <t>高优先级</t>
        </is>
      </c>
    </row>
    <row r="414" hidden="1" ht="15" customHeight="1" s="99">
      <c r="A414" t="inlineStr">
        <is>
          <t>GMKBG1</t>
        </is>
      </c>
      <c r="C414" s="89" t="inlineStr">
        <is>
          <t>Huawei</t>
        </is>
      </c>
      <c r="F414" t="n">
        <v>7.070833</v>
      </c>
      <c r="G414" t="n">
        <v>80.031389</v>
      </c>
      <c r="H414" t="inlineStr">
        <is>
          <t>GMKBG1A</t>
        </is>
      </c>
      <c r="J414" s="91">
        <f>RIGHT(H414,1)</f>
        <v/>
      </c>
      <c r="K414" t="inlineStr">
        <is>
          <t>S1</t>
        </is>
      </c>
      <c r="L414" s="91" t="inlineStr">
        <is>
          <t>2G</t>
        </is>
      </c>
      <c r="M414" t="n">
        <v>900</v>
      </c>
      <c r="N414" s="91" t="inlineStr">
        <is>
          <t>APE4517R0v06</t>
        </is>
      </c>
      <c r="P414" t="n">
        <v>0</v>
      </c>
      <c r="R414" s="92" t="n">
        <v>2</v>
      </c>
      <c r="AB414" s="91" t="inlineStr">
        <is>
          <t>R9264H M901821</t>
        </is>
      </c>
      <c r="AC414" s="91" t="inlineStr">
        <is>
          <t>A9652 S35*3+R9264H M901821*3+R9254E S8500*2</t>
        </is>
      </c>
      <c r="AD414" s="91">
        <f>_xlfn.XLOOKUP(AE414,[4]透视表!$G:$G,[4]透视表!$D:$D)</f>
        <v/>
      </c>
      <c r="AE414" s="91">
        <f>A414&amp;K414</f>
        <v/>
      </c>
      <c r="AL414" s="91" t="inlineStr">
        <is>
          <t>高优先级</t>
        </is>
      </c>
    </row>
    <row r="415" hidden="1" ht="15" customHeight="1" s="99">
      <c r="A415" t="inlineStr">
        <is>
          <t>GMKBG1</t>
        </is>
      </c>
      <c r="C415" s="89" t="inlineStr">
        <is>
          <t>Huawei</t>
        </is>
      </c>
      <c r="F415" t="n">
        <v>7.070833</v>
      </c>
      <c r="G415" t="n">
        <v>80.031389</v>
      </c>
      <c r="H415" t="inlineStr">
        <is>
          <t>GMKBG1P</t>
        </is>
      </c>
      <c r="J415" s="91">
        <f>RIGHT(H415,1)</f>
        <v/>
      </c>
      <c r="K415" t="inlineStr">
        <is>
          <t>S1</t>
        </is>
      </c>
      <c r="L415" s="91" t="inlineStr">
        <is>
          <t>2G</t>
        </is>
      </c>
      <c r="M415" t="n">
        <v>1800</v>
      </c>
      <c r="N415" s="91" t="inlineStr">
        <is>
          <t>APE4517R0v06</t>
        </is>
      </c>
      <c r="P415" t="n">
        <v>0</v>
      </c>
      <c r="R415" s="92" t="n">
        <v>2</v>
      </c>
      <c r="AB415" s="91" t="inlineStr">
        <is>
          <t>R9264 M1821N</t>
        </is>
      </c>
      <c r="AC415" s="91" t="inlineStr">
        <is>
          <t>A9652 S35*3+R9264H M901821*3+R9254E S8500*2</t>
        </is>
      </c>
      <c r="AD415" s="91">
        <f>_xlfn.XLOOKUP(AE415,[4]透视表!$G:$G,[4]透视表!$E:$E)</f>
        <v/>
      </c>
      <c r="AE415" s="91">
        <f>A415&amp;K415</f>
        <v/>
      </c>
      <c r="AL415" s="91" t="inlineStr">
        <is>
          <t>高优先级</t>
        </is>
      </c>
    </row>
    <row r="416" hidden="1" ht="15" customHeight="1" s="99">
      <c r="A416" t="inlineStr">
        <is>
          <t>GMKBG1</t>
        </is>
      </c>
      <c r="B416" t="inlineStr">
        <is>
          <t>GMKBG1_G0L00_Kimbulgoda_Gm</t>
        </is>
      </c>
      <c r="C416" s="89" t="inlineStr">
        <is>
          <t>Huawei</t>
        </is>
      </c>
      <c r="F416" t="n">
        <v>7.070833</v>
      </c>
      <c r="G416" t="n">
        <v>80.031389</v>
      </c>
      <c r="H416" t="inlineStr">
        <is>
          <t>GMKBG1-M-L85-A1</t>
        </is>
      </c>
      <c r="J416" s="91">
        <f>LEFT(RIGHT(H416,2),1)</f>
        <v/>
      </c>
      <c r="K416" s="91">
        <f>_xlfn.XLOOKUP(J416,#REF!,#REF!)</f>
        <v/>
      </c>
      <c r="L416" s="91" t="inlineStr">
        <is>
          <t>4G</t>
        </is>
      </c>
      <c r="M416" s="91" t="n">
        <v>850</v>
      </c>
      <c r="N416" s="91" t="inlineStr">
        <is>
          <t>APE4517R0v06</t>
        </is>
      </c>
      <c r="O416" s="92" t="n">
        <v>50</v>
      </c>
      <c r="P416" t="n">
        <v>0</v>
      </c>
      <c r="R416" s="92" t="n">
        <v>0</v>
      </c>
      <c r="Y416" t="inlineStr">
        <is>
          <t>2T2R</t>
        </is>
      </c>
      <c r="AB416" s="91" t="inlineStr">
        <is>
          <t>R9254E S8500</t>
        </is>
      </c>
      <c r="AC416" s="91" t="inlineStr">
        <is>
          <t>A9652 S35*3+R9264H M901821*3+R9254E S8500*2</t>
        </is>
      </c>
      <c r="AD416" s="91">
        <f>_xlfn.XLOOKUP(AE416,[4]透视表!$G:$G,[4]透视表!$D:$D)</f>
        <v/>
      </c>
      <c r="AE416" s="91">
        <f>A416&amp;K416</f>
        <v/>
      </c>
      <c r="AL416" s="91" t="inlineStr">
        <is>
          <t>高优先级</t>
        </is>
      </c>
    </row>
    <row r="417" hidden="1" ht="15" customHeight="1" s="99">
      <c r="A417" t="inlineStr">
        <is>
          <t>GMKBG1</t>
        </is>
      </c>
      <c r="B417" t="inlineStr">
        <is>
          <t>GMKBG1_G0L00_Kimbulgoda_Gm</t>
        </is>
      </c>
      <c r="C417" s="89" t="inlineStr">
        <is>
          <t>Huawei</t>
        </is>
      </c>
      <c r="F417" t="n">
        <v>7.070833</v>
      </c>
      <c r="G417" t="n">
        <v>80.031389</v>
      </c>
      <c r="H417" t="inlineStr">
        <is>
          <t>GMKBG1G</t>
        </is>
      </c>
      <c r="J417" s="91">
        <f>RIGHT(H417,1)</f>
        <v/>
      </c>
      <c r="K417" s="91">
        <f>_xlfn.XLOOKUP(J417,#REF!,#REF!)</f>
        <v/>
      </c>
      <c r="L417" s="91" t="inlineStr">
        <is>
          <t>4G</t>
        </is>
      </c>
      <c r="M417" s="91" t="n">
        <v>1800</v>
      </c>
      <c r="N417" s="91" t="inlineStr">
        <is>
          <t>APE4517R0v06</t>
        </is>
      </c>
      <c r="O417" s="92" t="n">
        <v>50</v>
      </c>
      <c r="P417" t="n">
        <v>0</v>
      </c>
      <c r="R417" s="92" t="n">
        <v>0</v>
      </c>
      <c r="Y417" t="inlineStr">
        <is>
          <t>4T4R</t>
        </is>
      </c>
      <c r="AB417" s="91" t="inlineStr">
        <is>
          <t>R9264 M1821N</t>
        </is>
      </c>
      <c r="AC417" s="91" t="inlineStr">
        <is>
          <t>A9652 S35*3+R9264H M901821*3+R9254E S8500*2</t>
        </is>
      </c>
      <c r="AD417" s="91">
        <f>_xlfn.XLOOKUP(AE417,[4]透视表!$G:$G,[4]透视表!$E:$E)</f>
        <v/>
      </c>
      <c r="AE417" s="91">
        <f>A417&amp;K417</f>
        <v/>
      </c>
      <c r="AL417" s="91" t="inlineStr">
        <is>
          <t>高优先级</t>
        </is>
      </c>
    </row>
    <row r="418" hidden="1" ht="15" customHeight="1" s="99">
      <c r="A418" t="inlineStr">
        <is>
          <t>GMKBG1</t>
        </is>
      </c>
      <c r="C418" s="89" t="inlineStr">
        <is>
          <t>Huawei</t>
        </is>
      </c>
      <c r="F418" t="n">
        <v>7.070833</v>
      </c>
      <c r="G418" t="n">
        <v>80.031389</v>
      </c>
      <c r="H418" t="inlineStr">
        <is>
          <t>GMKBG1B</t>
        </is>
      </c>
      <c r="J418" s="91">
        <f>RIGHT(H418,1)</f>
        <v/>
      </c>
      <c r="K418" t="inlineStr">
        <is>
          <t>S2</t>
        </is>
      </c>
      <c r="L418" s="91" t="inlineStr">
        <is>
          <t>2G</t>
        </is>
      </c>
      <c r="M418" t="n">
        <v>900</v>
      </c>
      <c r="N418" s="91" t="inlineStr">
        <is>
          <t>APE4517R0v06</t>
        </is>
      </c>
      <c r="P418" t="n">
        <v>120</v>
      </c>
      <c r="R418" s="92" t="n">
        <v>2</v>
      </c>
      <c r="AB418" s="91" t="inlineStr">
        <is>
          <t>R9264H M901821</t>
        </is>
      </c>
      <c r="AC418" s="91" t="inlineStr">
        <is>
          <t>A9652 S35*3+R9264H M901821*3+R9254E S8500*2</t>
        </is>
      </c>
      <c r="AD418" s="91">
        <f>_xlfn.XLOOKUP(AE418,[4]透视表!$G:$G,[4]透视表!$D:$D)</f>
        <v/>
      </c>
      <c r="AE418" s="91">
        <f>A418&amp;K418</f>
        <v/>
      </c>
      <c r="AL418" s="91" t="inlineStr">
        <is>
          <t>高优先级</t>
        </is>
      </c>
    </row>
    <row r="419" hidden="1" ht="15" customHeight="1" s="99">
      <c r="A419" t="inlineStr">
        <is>
          <t>GMKBG1</t>
        </is>
      </c>
      <c r="C419" s="89" t="inlineStr">
        <is>
          <t>Huawei</t>
        </is>
      </c>
      <c r="F419" t="n">
        <v>7.070833</v>
      </c>
      <c r="G419" t="n">
        <v>80.031389</v>
      </c>
      <c r="H419" t="inlineStr">
        <is>
          <t>GMKBG1Q</t>
        </is>
      </c>
      <c r="J419" s="91">
        <f>RIGHT(H419,1)</f>
        <v/>
      </c>
      <c r="K419" t="inlineStr">
        <is>
          <t>S2</t>
        </is>
      </c>
      <c r="L419" s="91" t="inlineStr">
        <is>
          <t>2G</t>
        </is>
      </c>
      <c r="M419" t="n">
        <v>1800</v>
      </c>
      <c r="N419" s="91" t="inlineStr">
        <is>
          <t>APE4517R0v06</t>
        </is>
      </c>
      <c r="P419" t="n">
        <v>120</v>
      </c>
      <c r="R419" s="92" t="n">
        <v>2</v>
      </c>
      <c r="AB419" s="91" t="inlineStr">
        <is>
          <t>R9264 M1821N</t>
        </is>
      </c>
      <c r="AC419" s="91" t="inlineStr">
        <is>
          <t>A9652 S35*3+R9264H M901821*3+R9254E S8500*2</t>
        </is>
      </c>
      <c r="AD419" s="91">
        <f>_xlfn.XLOOKUP(AE419,[4]透视表!$G:$G,[4]透视表!$E:$E)</f>
        <v/>
      </c>
      <c r="AE419" s="91">
        <f>A419&amp;K419</f>
        <v/>
      </c>
      <c r="AL419" s="91" t="inlineStr">
        <is>
          <t>高优先级</t>
        </is>
      </c>
    </row>
    <row r="420" hidden="1" ht="15" customHeight="1" s="99">
      <c r="A420" t="inlineStr">
        <is>
          <t>GMKBG1</t>
        </is>
      </c>
      <c r="B420" t="inlineStr">
        <is>
          <t>GMKBG1_G0L00_Kimbulgoda_Gm</t>
        </is>
      </c>
      <c r="C420" s="89" t="inlineStr">
        <is>
          <t>Huawei</t>
        </is>
      </c>
      <c r="F420" t="n">
        <v>7.070833</v>
      </c>
      <c r="G420" t="n">
        <v>80.031389</v>
      </c>
      <c r="H420" t="inlineStr">
        <is>
          <t>GMKBG1-M-L85-B1</t>
        </is>
      </c>
      <c r="J420" s="91">
        <f>LEFT(RIGHT(H420,2),1)</f>
        <v/>
      </c>
      <c r="K420" s="91">
        <f>_xlfn.XLOOKUP(J420,#REF!,#REF!)</f>
        <v/>
      </c>
      <c r="L420" s="91" t="inlineStr">
        <is>
          <t>4G</t>
        </is>
      </c>
      <c r="M420" s="91" t="n">
        <v>850</v>
      </c>
      <c r="N420" s="91" t="inlineStr">
        <is>
          <t>APE4517R0v06</t>
        </is>
      </c>
      <c r="O420" s="92" t="n">
        <v>50</v>
      </c>
      <c r="P420" t="n">
        <v>120</v>
      </c>
      <c r="R420" s="92" t="n">
        <v>0</v>
      </c>
      <c r="Y420" t="inlineStr">
        <is>
          <t>2T2R</t>
        </is>
      </c>
      <c r="AB420" s="91" t="inlineStr">
        <is>
          <t>R9254E S8500</t>
        </is>
      </c>
      <c r="AC420" s="91" t="inlineStr">
        <is>
          <t>A9652 S35*3+R9264H M901821*3+R9254E S8500*2</t>
        </is>
      </c>
      <c r="AD420" s="91">
        <f>_xlfn.XLOOKUP(AE420,[4]透视表!$G:$G,[4]透视表!$D:$D)</f>
        <v/>
      </c>
      <c r="AE420" s="91">
        <f>A420&amp;K420</f>
        <v/>
      </c>
      <c r="AL420" s="91" t="inlineStr">
        <is>
          <t>高优先级</t>
        </is>
      </c>
    </row>
    <row r="421" hidden="1" ht="15" customHeight="1" s="99">
      <c r="A421" t="inlineStr">
        <is>
          <t>GMKBG1</t>
        </is>
      </c>
      <c r="B421" t="inlineStr">
        <is>
          <t>GMKBG1_G0L00_Kimbulgoda_Gm</t>
        </is>
      </c>
      <c r="C421" s="89" t="inlineStr">
        <is>
          <t>Huawei</t>
        </is>
      </c>
      <c r="F421" t="n">
        <v>7.070833</v>
      </c>
      <c r="G421" t="n">
        <v>80.031389</v>
      </c>
      <c r="H421" t="inlineStr">
        <is>
          <t>GMKBG1H</t>
        </is>
      </c>
      <c r="J421" s="91">
        <f>RIGHT(H421,1)</f>
        <v/>
      </c>
      <c r="K421" s="91">
        <f>_xlfn.XLOOKUP(J421,#REF!,#REF!)</f>
        <v/>
      </c>
      <c r="L421" s="91" t="inlineStr">
        <is>
          <t>4G</t>
        </is>
      </c>
      <c r="M421" s="91" t="n">
        <v>1800</v>
      </c>
      <c r="N421" s="91" t="inlineStr">
        <is>
          <t>APE4517R0v06</t>
        </is>
      </c>
      <c r="O421" s="92" t="n">
        <v>50</v>
      </c>
      <c r="P421" t="n">
        <v>120</v>
      </c>
      <c r="R421" s="92" t="n">
        <v>0</v>
      </c>
      <c r="Y421" t="inlineStr">
        <is>
          <t>4T4R</t>
        </is>
      </c>
      <c r="AB421" s="91" t="inlineStr">
        <is>
          <t>R9264 M1821N</t>
        </is>
      </c>
      <c r="AC421" s="91" t="inlineStr">
        <is>
          <t>A9652 S35*3+R9264H M901821*3+R9254E S8500*2</t>
        </is>
      </c>
      <c r="AD421" s="91">
        <f>_xlfn.XLOOKUP(AE421,[4]透视表!$G:$G,[4]透视表!$E:$E)</f>
        <v/>
      </c>
      <c r="AE421" s="91">
        <f>A421&amp;K421</f>
        <v/>
      </c>
      <c r="AL421" s="91" t="inlineStr">
        <is>
          <t>高优先级</t>
        </is>
      </c>
    </row>
    <row r="422" hidden="1" ht="15" customHeight="1" s="99">
      <c r="A422" t="inlineStr">
        <is>
          <t>GMKBG1</t>
        </is>
      </c>
      <c r="C422" s="89" t="inlineStr">
        <is>
          <t>Huawei</t>
        </is>
      </c>
      <c r="F422" t="n">
        <v>7.070833</v>
      </c>
      <c r="G422" t="n">
        <v>80.031389</v>
      </c>
      <c r="H422" t="inlineStr">
        <is>
          <t>GMKBG1C</t>
        </is>
      </c>
      <c r="J422" s="91">
        <f>RIGHT(H422,1)</f>
        <v/>
      </c>
      <c r="K422" t="inlineStr">
        <is>
          <t>S3</t>
        </is>
      </c>
      <c r="L422" s="91" t="inlineStr">
        <is>
          <t>2G</t>
        </is>
      </c>
      <c r="M422" t="n">
        <v>900</v>
      </c>
      <c r="N422" s="91" t="inlineStr">
        <is>
          <t>APE4517R0v06</t>
        </is>
      </c>
      <c r="P422" t="n">
        <v>240</v>
      </c>
      <c r="R422" s="92" t="n">
        <v>2</v>
      </c>
      <c r="AB422" s="91" t="inlineStr">
        <is>
          <t>R9264H M901821</t>
        </is>
      </c>
      <c r="AC422" s="91" t="inlineStr">
        <is>
          <t>A9652 S35*3+R9264H M901821*3+R9254E S8500*2</t>
        </is>
      </c>
      <c r="AD422" s="91">
        <f>_xlfn.XLOOKUP(AE422,[4]透视表!$G:$G,[4]透视表!$D:$D)</f>
        <v/>
      </c>
      <c r="AE422" s="91">
        <f>A422&amp;K422</f>
        <v/>
      </c>
      <c r="AL422" s="91" t="inlineStr">
        <is>
          <t>高优先级</t>
        </is>
      </c>
    </row>
    <row r="423" hidden="1" ht="15" customHeight="1" s="99">
      <c r="A423" t="inlineStr">
        <is>
          <t>GMKBG1</t>
        </is>
      </c>
      <c r="C423" s="89" t="inlineStr">
        <is>
          <t>Huawei</t>
        </is>
      </c>
      <c r="F423" t="n">
        <v>7.070833</v>
      </c>
      <c r="G423" t="n">
        <v>80.031389</v>
      </c>
      <c r="H423" t="inlineStr">
        <is>
          <t>GMKBG1R</t>
        </is>
      </c>
      <c r="J423" s="91">
        <f>RIGHT(H423,1)</f>
        <v/>
      </c>
      <c r="K423" t="inlineStr">
        <is>
          <t>S3</t>
        </is>
      </c>
      <c r="L423" s="91" t="inlineStr">
        <is>
          <t>2G</t>
        </is>
      </c>
      <c r="M423" t="n">
        <v>1800</v>
      </c>
      <c r="N423" s="91" t="inlineStr">
        <is>
          <t>APE4517R0v06</t>
        </is>
      </c>
      <c r="P423" t="n">
        <v>240</v>
      </c>
      <c r="R423" s="92" t="n">
        <v>2</v>
      </c>
      <c r="AB423" s="91" t="inlineStr">
        <is>
          <t>R9264 M1821N</t>
        </is>
      </c>
      <c r="AC423" s="91" t="inlineStr">
        <is>
          <t>A9652 S35*3+R9264H M901821*3+R9254E S8500*2</t>
        </is>
      </c>
      <c r="AD423" s="91">
        <f>_xlfn.XLOOKUP(AE423,[4]透视表!$G:$G,[4]透视表!$E:$E)</f>
        <v/>
      </c>
      <c r="AE423" s="91">
        <f>A423&amp;K423</f>
        <v/>
      </c>
      <c r="AL423" s="91" t="inlineStr">
        <is>
          <t>高优先级</t>
        </is>
      </c>
    </row>
    <row r="424" hidden="1" ht="15" customHeight="1" s="99">
      <c r="A424" t="inlineStr">
        <is>
          <t>GMKBG1</t>
        </is>
      </c>
      <c r="B424" t="inlineStr">
        <is>
          <t>GMKBG1_G0L00_Kimbulgoda_Gm</t>
        </is>
      </c>
      <c r="C424" s="89" t="inlineStr">
        <is>
          <t>Huawei</t>
        </is>
      </c>
      <c r="F424" t="n">
        <v>7.070833</v>
      </c>
      <c r="G424" t="n">
        <v>80.031389</v>
      </c>
      <c r="H424" t="inlineStr">
        <is>
          <t>GMKBG1-M-L85-C1</t>
        </is>
      </c>
      <c r="J424" s="91">
        <f>LEFT(RIGHT(H424,2),1)</f>
        <v/>
      </c>
      <c r="K424" s="91">
        <f>_xlfn.XLOOKUP(J424,#REF!,#REF!)</f>
        <v/>
      </c>
      <c r="L424" s="91" t="inlineStr">
        <is>
          <t>4G</t>
        </is>
      </c>
      <c r="M424" s="91" t="n">
        <v>850</v>
      </c>
      <c r="N424" s="91" t="inlineStr">
        <is>
          <t>APE4517R0v06</t>
        </is>
      </c>
      <c r="O424" s="92" t="n">
        <v>50</v>
      </c>
      <c r="P424" t="n">
        <v>240</v>
      </c>
      <c r="R424" s="92" t="n">
        <v>0</v>
      </c>
      <c r="Y424" t="inlineStr">
        <is>
          <t>2T2R</t>
        </is>
      </c>
      <c r="AB424" s="91" t="inlineStr">
        <is>
          <t>R9254E S8500</t>
        </is>
      </c>
      <c r="AC424" s="91" t="inlineStr">
        <is>
          <t>A9652 S35*3+R9264H M901821*3+R9254E S8500*2</t>
        </is>
      </c>
      <c r="AD424" s="91">
        <f>_xlfn.XLOOKUP(AE424,[4]透视表!$G:$G,[4]透视表!$D:$D)</f>
        <v/>
      </c>
      <c r="AE424" s="91">
        <f>A424&amp;K424</f>
        <v/>
      </c>
      <c r="AL424" s="91" t="inlineStr">
        <is>
          <t>高优先级</t>
        </is>
      </c>
    </row>
    <row r="425" hidden="1" ht="15" customHeight="1" s="99">
      <c r="A425" t="inlineStr">
        <is>
          <t>GMKBG1</t>
        </is>
      </c>
      <c r="B425" t="inlineStr">
        <is>
          <t>GMKBG1_G0L00_Kimbulgoda_Gm</t>
        </is>
      </c>
      <c r="C425" s="89" t="inlineStr">
        <is>
          <t>Huawei</t>
        </is>
      </c>
      <c r="F425" t="n">
        <v>7.070833</v>
      </c>
      <c r="G425" t="n">
        <v>80.031389</v>
      </c>
      <c r="H425" t="inlineStr">
        <is>
          <t>GMKBG1I</t>
        </is>
      </c>
      <c r="J425" s="91">
        <f>RIGHT(H425,1)</f>
        <v/>
      </c>
      <c r="K425" s="91">
        <f>_xlfn.XLOOKUP(J425,#REF!,#REF!)</f>
        <v/>
      </c>
      <c r="L425" s="91" t="inlineStr">
        <is>
          <t>4G</t>
        </is>
      </c>
      <c r="M425" s="91" t="n">
        <v>1800</v>
      </c>
      <c r="N425" s="91" t="inlineStr">
        <is>
          <t>APE4517R0v06</t>
        </is>
      </c>
      <c r="O425" s="92" t="n">
        <v>50</v>
      </c>
      <c r="P425" t="n">
        <v>240</v>
      </c>
      <c r="R425" s="92" t="n">
        <v>0</v>
      </c>
      <c r="Y425" t="inlineStr">
        <is>
          <t>4T4R</t>
        </is>
      </c>
      <c r="AB425" s="91" t="inlineStr">
        <is>
          <t>R9264 M1821N</t>
        </is>
      </c>
      <c r="AC425" s="91" t="inlineStr">
        <is>
          <t>A9652 S35*3+R9264H M901821*3+R9254E S8500*2</t>
        </is>
      </c>
      <c r="AD425" s="91">
        <f>_xlfn.XLOOKUP(AE425,[4]透视表!$G:$G,[4]透视表!$E:$E)</f>
        <v/>
      </c>
      <c r="AE425" s="91">
        <f>A425&amp;K425</f>
        <v/>
      </c>
      <c r="AL425" s="91" t="inlineStr">
        <is>
          <t>高优先级</t>
        </is>
      </c>
    </row>
    <row r="426" hidden="1" ht="15" customHeight="1" s="99">
      <c r="A426" t="inlineStr">
        <is>
          <t>GMKID1</t>
        </is>
      </c>
      <c r="C426" s="89" t="inlineStr">
        <is>
          <t>Huawei</t>
        </is>
      </c>
      <c r="F426" t="n">
        <v>7.081411</v>
      </c>
      <c r="G426" t="n">
        <v>80.01228</v>
      </c>
      <c r="H426" t="inlineStr">
        <is>
          <t>GMKID1A</t>
        </is>
      </c>
      <c r="J426" s="91">
        <f>RIGHT(H426,1)</f>
        <v/>
      </c>
      <c r="K426" t="inlineStr">
        <is>
          <t>S1</t>
        </is>
      </c>
      <c r="L426" s="91" t="inlineStr">
        <is>
          <t>2G</t>
        </is>
      </c>
      <c r="M426" t="n">
        <v>900</v>
      </c>
      <c r="N426" s="91" t="inlineStr">
        <is>
          <t>APE4517R0v06</t>
        </is>
      </c>
      <c r="P426" t="n">
        <v>0</v>
      </c>
      <c r="R426" s="92" t="n">
        <v>2</v>
      </c>
      <c r="AB426" s="91" t="inlineStr">
        <is>
          <t>R9264H M901821</t>
        </is>
      </c>
      <c r="AC426" s="91" t="inlineStr">
        <is>
          <t>A9652 S35*3+R9264H M901821*3+R9254E S8500*2</t>
        </is>
      </c>
      <c r="AD426" s="91">
        <f>_xlfn.XLOOKUP(AE426,[4]透视表!$G:$G,[4]透视表!$D:$D)</f>
        <v/>
      </c>
      <c r="AE426" s="91">
        <f>A426&amp;K426</f>
        <v/>
      </c>
      <c r="AL426" s="91" t="inlineStr">
        <is>
          <t>高优先级</t>
        </is>
      </c>
    </row>
    <row r="427" hidden="1" ht="15" customHeight="1" s="99">
      <c r="A427" t="inlineStr">
        <is>
          <t>GMKID1</t>
        </is>
      </c>
      <c r="C427" s="89" t="inlineStr">
        <is>
          <t>Huawei</t>
        </is>
      </c>
      <c r="F427" t="n">
        <v>7.081411</v>
      </c>
      <c r="G427" t="n">
        <v>80.01228</v>
      </c>
      <c r="H427" t="inlineStr">
        <is>
          <t>GMKID1P</t>
        </is>
      </c>
      <c r="J427" s="91">
        <f>RIGHT(H427,1)</f>
        <v/>
      </c>
      <c r="K427" t="inlineStr">
        <is>
          <t>S1</t>
        </is>
      </c>
      <c r="L427" s="91" t="inlineStr">
        <is>
          <t>2G</t>
        </is>
      </c>
      <c r="M427" t="n">
        <v>1800</v>
      </c>
      <c r="N427" s="91" t="inlineStr">
        <is>
          <t>APE4517R0v06</t>
        </is>
      </c>
      <c r="P427" t="n">
        <v>0</v>
      </c>
      <c r="R427" s="92" t="n">
        <v>2</v>
      </c>
      <c r="AB427" s="91" t="inlineStr">
        <is>
          <t>R9264 M1821N</t>
        </is>
      </c>
      <c r="AC427" s="91" t="inlineStr">
        <is>
          <t>A9652 S35*3+R9264H M901821*3+R9254E S8500*2</t>
        </is>
      </c>
      <c r="AD427" s="91">
        <f>_xlfn.XLOOKUP(AE427,[4]透视表!$G:$G,[4]透视表!$E:$E)</f>
        <v/>
      </c>
      <c r="AE427" s="91">
        <f>A427&amp;K427</f>
        <v/>
      </c>
      <c r="AL427" s="91" t="inlineStr">
        <is>
          <t>高优先级</t>
        </is>
      </c>
    </row>
    <row r="428" hidden="1" ht="15" customHeight="1" s="99">
      <c r="A428" t="inlineStr">
        <is>
          <t>GMKID1</t>
        </is>
      </c>
      <c r="B428" t="inlineStr">
        <is>
          <t>GMKID1_G0L00_Kidagammulla_Gm</t>
        </is>
      </c>
      <c r="C428" s="89" t="inlineStr">
        <is>
          <t>Huawei</t>
        </is>
      </c>
      <c r="F428" t="n">
        <v>7.081411</v>
      </c>
      <c r="G428" t="n">
        <v>80.01228</v>
      </c>
      <c r="H428" t="inlineStr">
        <is>
          <t>GMKID1-M-L85-A1</t>
        </is>
      </c>
      <c r="J428" s="91">
        <f>LEFT(RIGHT(H428,2),1)</f>
        <v/>
      </c>
      <c r="K428" s="91">
        <f>_xlfn.XLOOKUP(J428,#REF!,#REF!)</f>
        <v/>
      </c>
      <c r="L428" s="91" t="inlineStr">
        <is>
          <t>4G</t>
        </is>
      </c>
      <c r="M428" s="91" t="n">
        <v>850</v>
      </c>
      <c r="N428" s="91" t="inlineStr">
        <is>
          <t>APE4517R0v06</t>
        </is>
      </c>
      <c r="O428" s="92" t="n">
        <v>40</v>
      </c>
      <c r="P428" t="n">
        <v>0</v>
      </c>
      <c r="R428" s="92" t="n">
        <v>0</v>
      </c>
      <c r="Y428" t="inlineStr">
        <is>
          <t>2T2R</t>
        </is>
      </c>
      <c r="AB428" s="91" t="inlineStr">
        <is>
          <t>R9254E S8500</t>
        </is>
      </c>
      <c r="AC428" s="91" t="inlineStr">
        <is>
          <t>A9652 S35*3+R9264H M901821*3+R9254E S8500*2</t>
        </is>
      </c>
      <c r="AD428" s="91">
        <f>_xlfn.XLOOKUP(AE428,[4]透视表!$G:$G,[4]透视表!$D:$D)</f>
        <v/>
      </c>
      <c r="AE428" s="91">
        <f>A428&amp;K428</f>
        <v/>
      </c>
      <c r="AL428" s="91" t="inlineStr">
        <is>
          <t>高优先级</t>
        </is>
      </c>
    </row>
    <row r="429" hidden="1" ht="15" customHeight="1" s="99">
      <c r="A429" t="inlineStr">
        <is>
          <t>GMKID1</t>
        </is>
      </c>
      <c r="B429" t="inlineStr">
        <is>
          <t>GMKID1_G0L00_Kidagammulla_Gm</t>
        </is>
      </c>
      <c r="C429" s="89" t="inlineStr">
        <is>
          <t>Huawei</t>
        </is>
      </c>
      <c r="F429" t="n">
        <v>7.081411</v>
      </c>
      <c r="G429" t="n">
        <v>80.01228</v>
      </c>
      <c r="H429" t="inlineStr">
        <is>
          <t>GMKID1G</t>
        </is>
      </c>
      <c r="J429" s="91">
        <f>RIGHT(H429,1)</f>
        <v/>
      </c>
      <c r="K429" s="91">
        <f>_xlfn.XLOOKUP(J429,#REF!,#REF!)</f>
        <v/>
      </c>
      <c r="L429" s="91" t="inlineStr">
        <is>
          <t>4G</t>
        </is>
      </c>
      <c r="M429" s="91" t="n">
        <v>1800</v>
      </c>
      <c r="N429" s="91" t="inlineStr">
        <is>
          <t>APE4517R0v06</t>
        </is>
      </c>
      <c r="O429" s="92" t="n">
        <v>40</v>
      </c>
      <c r="P429" t="n">
        <v>0</v>
      </c>
      <c r="R429" s="92" t="n">
        <v>0</v>
      </c>
      <c r="Y429" t="inlineStr">
        <is>
          <t>4T4R</t>
        </is>
      </c>
      <c r="AB429" s="91" t="inlineStr">
        <is>
          <t>R9264 M1821N</t>
        </is>
      </c>
      <c r="AC429" s="91" t="inlineStr">
        <is>
          <t>A9652 S35*3+R9264H M901821*3+R9254E S8500*2</t>
        </is>
      </c>
      <c r="AD429" s="91">
        <f>_xlfn.XLOOKUP(AE429,[4]透视表!$G:$G,[4]透视表!$E:$E)</f>
        <v/>
      </c>
      <c r="AE429" s="91">
        <f>A429&amp;K429</f>
        <v/>
      </c>
      <c r="AL429" s="91" t="inlineStr">
        <is>
          <t>高优先级</t>
        </is>
      </c>
    </row>
    <row r="430" hidden="1" ht="15" customHeight="1" s="99">
      <c r="A430" t="inlineStr">
        <is>
          <t>GMKID1</t>
        </is>
      </c>
      <c r="C430" s="89" t="inlineStr">
        <is>
          <t>Huawei</t>
        </is>
      </c>
      <c r="F430" t="n">
        <v>7.081411</v>
      </c>
      <c r="G430" t="n">
        <v>80.01228</v>
      </c>
      <c r="H430" t="inlineStr">
        <is>
          <t>GMKID1B</t>
        </is>
      </c>
      <c r="J430" s="91">
        <f>RIGHT(H430,1)</f>
        <v/>
      </c>
      <c r="K430" t="inlineStr">
        <is>
          <t>S2</t>
        </is>
      </c>
      <c r="L430" s="91" t="inlineStr">
        <is>
          <t>2G</t>
        </is>
      </c>
      <c r="M430" t="n">
        <v>900</v>
      </c>
      <c r="N430" s="91" t="inlineStr">
        <is>
          <t>APE4517R0v06</t>
        </is>
      </c>
      <c r="P430" t="n">
        <v>120</v>
      </c>
      <c r="R430" s="92" t="n">
        <v>2</v>
      </c>
      <c r="AB430" s="91" t="inlineStr">
        <is>
          <t>R9264H M901821</t>
        </is>
      </c>
      <c r="AC430" s="91" t="inlineStr">
        <is>
          <t>A9652 S35*3+R9264H M901821*3+R9254E S8500*2</t>
        </is>
      </c>
      <c r="AD430" s="91">
        <f>_xlfn.XLOOKUP(AE430,[4]透视表!$G:$G,[4]透视表!$D:$D)</f>
        <v/>
      </c>
      <c r="AE430" s="91">
        <f>A430&amp;K430</f>
        <v/>
      </c>
      <c r="AL430" s="91" t="inlineStr">
        <is>
          <t>高优先级</t>
        </is>
      </c>
    </row>
    <row r="431" hidden="1" ht="15" customHeight="1" s="99">
      <c r="A431" t="inlineStr">
        <is>
          <t>GMKID1</t>
        </is>
      </c>
      <c r="C431" s="89" t="inlineStr">
        <is>
          <t>Huawei</t>
        </is>
      </c>
      <c r="F431" t="n">
        <v>7.081411</v>
      </c>
      <c r="G431" t="n">
        <v>80.01228</v>
      </c>
      <c r="H431" t="inlineStr">
        <is>
          <t>GMKID1Q</t>
        </is>
      </c>
      <c r="J431" s="91">
        <f>RIGHT(H431,1)</f>
        <v/>
      </c>
      <c r="K431" t="inlineStr">
        <is>
          <t>S2</t>
        </is>
      </c>
      <c r="L431" s="91" t="inlineStr">
        <is>
          <t>2G</t>
        </is>
      </c>
      <c r="M431" t="n">
        <v>1800</v>
      </c>
      <c r="N431" s="91" t="inlineStr">
        <is>
          <t>APE4517R0v06</t>
        </is>
      </c>
      <c r="P431" t="n">
        <v>120</v>
      </c>
      <c r="R431" s="92" t="n">
        <v>2</v>
      </c>
      <c r="AB431" s="91" t="inlineStr">
        <is>
          <t>R9264 M1821N</t>
        </is>
      </c>
      <c r="AC431" s="91" t="inlineStr">
        <is>
          <t>A9652 S35*3+R9264H M901821*3+R9254E S8500*2</t>
        </is>
      </c>
      <c r="AD431" s="91">
        <f>_xlfn.XLOOKUP(AE431,[4]透视表!$G:$G,[4]透视表!$E:$E)</f>
        <v/>
      </c>
      <c r="AE431" s="91">
        <f>A431&amp;K431</f>
        <v/>
      </c>
      <c r="AL431" s="91" t="inlineStr">
        <is>
          <t>高优先级</t>
        </is>
      </c>
    </row>
    <row r="432" hidden="1" ht="15" customHeight="1" s="99">
      <c r="A432" t="inlineStr">
        <is>
          <t>GMKID1</t>
        </is>
      </c>
      <c r="B432" t="inlineStr">
        <is>
          <t>GMKID1_G0L00_Kidagammulla_Gm</t>
        </is>
      </c>
      <c r="C432" s="89" t="inlineStr">
        <is>
          <t>Huawei</t>
        </is>
      </c>
      <c r="F432" t="n">
        <v>7.081411</v>
      </c>
      <c r="G432" t="n">
        <v>80.01228</v>
      </c>
      <c r="H432" t="inlineStr">
        <is>
          <t>GMKID1-M-L85-B1</t>
        </is>
      </c>
      <c r="J432" s="91">
        <f>LEFT(RIGHT(H432,2),1)</f>
        <v/>
      </c>
      <c r="K432" s="91">
        <f>_xlfn.XLOOKUP(J432,#REF!,#REF!)</f>
        <v/>
      </c>
      <c r="L432" s="91" t="inlineStr">
        <is>
          <t>4G</t>
        </is>
      </c>
      <c r="M432" s="91" t="n">
        <v>850</v>
      </c>
      <c r="N432" s="91" t="inlineStr">
        <is>
          <t>APE4517R0v06</t>
        </is>
      </c>
      <c r="O432" s="92" t="n">
        <v>40</v>
      </c>
      <c r="P432" t="n">
        <v>120</v>
      </c>
      <c r="R432" s="92" t="n">
        <v>0</v>
      </c>
      <c r="Y432" t="inlineStr">
        <is>
          <t>2T2R</t>
        </is>
      </c>
      <c r="AB432" s="91" t="inlineStr">
        <is>
          <t>R9254E S8500</t>
        </is>
      </c>
      <c r="AC432" s="91" t="inlineStr">
        <is>
          <t>A9652 S35*3+R9264H M901821*3+R9254E S8500*2</t>
        </is>
      </c>
      <c r="AD432" s="91">
        <f>_xlfn.XLOOKUP(AE432,[4]透视表!$G:$G,[4]透视表!$D:$D)</f>
        <v/>
      </c>
      <c r="AE432" s="91">
        <f>A432&amp;K432</f>
        <v/>
      </c>
      <c r="AL432" s="91" t="inlineStr">
        <is>
          <t>高优先级</t>
        </is>
      </c>
    </row>
    <row r="433" hidden="1" ht="15" customHeight="1" s="99">
      <c r="A433" t="inlineStr">
        <is>
          <t>GMKID1</t>
        </is>
      </c>
      <c r="B433" t="inlineStr">
        <is>
          <t>GMKID1_G0L00_Kidagammulla_Gm</t>
        </is>
      </c>
      <c r="C433" s="89" t="inlineStr">
        <is>
          <t>Huawei</t>
        </is>
      </c>
      <c r="F433" t="n">
        <v>7.081411</v>
      </c>
      <c r="G433" t="n">
        <v>80.01228</v>
      </c>
      <c r="H433" t="inlineStr">
        <is>
          <t>GMKID1H</t>
        </is>
      </c>
      <c r="J433" s="91">
        <f>RIGHT(H433,1)</f>
        <v/>
      </c>
      <c r="K433" s="91">
        <f>_xlfn.XLOOKUP(J433,#REF!,#REF!)</f>
        <v/>
      </c>
      <c r="L433" s="91" t="inlineStr">
        <is>
          <t>4G</t>
        </is>
      </c>
      <c r="M433" s="91" t="n">
        <v>1800</v>
      </c>
      <c r="N433" s="91" t="inlineStr">
        <is>
          <t>APE4517R0v06</t>
        </is>
      </c>
      <c r="O433" s="92" t="n">
        <v>40</v>
      </c>
      <c r="P433" t="n">
        <v>120</v>
      </c>
      <c r="R433" s="92" t="n">
        <v>0</v>
      </c>
      <c r="Y433" t="inlineStr">
        <is>
          <t>4T4R</t>
        </is>
      </c>
      <c r="AB433" s="91" t="inlineStr">
        <is>
          <t>R9264 M1821N</t>
        </is>
      </c>
      <c r="AC433" s="91" t="inlineStr">
        <is>
          <t>A9652 S35*3+R9264H M901821*3+R9254E S8500*2</t>
        </is>
      </c>
      <c r="AD433" s="91">
        <f>_xlfn.XLOOKUP(AE433,[4]透视表!$G:$G,[4]透视表!$E:$E)</f>
        <v/>
      </c>
      <c r="AE433" s="91">
        <f>A433&amp;K433</f>
        <v/>
      </c>
      <c r="AL433" s="91" t="inlineStr">
        <is>
          <t>高优先级</t>
        </is>
      </c>
    </row>
    <row r="434" hidden="1" ht="15" customHeight="1" s="99">
      <c r="A434" t="inlineStr">
        <is>
          <t>GMKID1</t>
        </is>
      </c>
      <c r="C434" s="89" t="inlineStr">
        <is>
          <t>Huawei</t>
        </is>
      </c>
      <c r="F434" t="n">
        <v>7.081411</v>
      </c>
      <c r="G434" t="n">
        <v>80.01228</v>
      </c>
      <c r="H434" t="inlineStr">
        <is>
          <t>GMKID1C</t>
        </is>
      </c>
      <c r="J434" s="91">
        <f>RIGHT(H434,1)</f>
        <v/>
      </c>
      <c r="K434" t="inlineStr">
        <is>
          <t>S3</t>
        </is>
      </c>
      <c r="L434" s="91" t="inlineStr">
        <is>
          <t>2G</t>
        </is>
      </c>
      <c r="M434" t="n">
        <v>900</v>
      </c>
      <c r="N434" s="91" t="inlineStr">
        <is>
          <t>APE4517R0v06</t>
        </is>
      </c>
      <c r="P434" t="n">
        <v>240</v>
      </c>
      <c r="R434" s="92" t="n">
        <v>2</v>
      </c>
      <c r="AB434" s="91" t="inlineStr">
        <is>
          <t>R9264H M901821</t>
        </is>
      </c>
      <c r="AC434" s="91" t="inlineStr">
        <is>
          <t>A9652 S35*3+R9264H M901821*3+R9254E S8500*2</t>
        </is>
      </c>
      <c r="AD434" s="91">
        <f>_xlfn.XLOOKUP(AE434,[4]透视表!$G:$G,[4]透视表!$D:$D)</f>
        <v/>
      </c>
      <c r="AE434" s="91">
        <f>A434&amp;K434</f>
        <v/>
      </c>
      <c r="AL434" s="91" t="inlineStr">
        <is>
          <t>高优先级</t>
        </is>
      </c>
    </row>
    <row r="435" hidden="1" ht="15" customHeight="1" s="99">
      <c r="A435" t="inlineStr">
        <is>
          <t>GMKID1</t>
        </is>
      </c>
      <c r="C435" s="89" t="inlineStr">
        <is>
          <t>Huawei</t>
        </is>
      </c>
      <c r="F435" t="n">
        <v>7.081411</v>
      </c>
      <c r="G435" t="n">
        <v>80.01228</v>
      </c>
      <c r="H435" t="inlineStr">
        <is>
          <t>GMKID1R</t>
        </is>
      </c>
      <c r="J435" s="91">
        <f>RIGHT(H435,1)</f>
        <v/>
      </c>
      <c r="K435" t="inlineStr">
        <is>
          <t>S3</t>
        </is>
      </c>
      <c r="L435" s="91" t="inlineStr">
        <is>
          <t>2G</t>
        </is>
      </c>
      <c r="M435" t="n">
        <v>1800</v>
      </c>
      <c r="N435" s="91" t="inlineStr">
        <is>
          <t>APE4517R0v06</t>
        </is>
      </c>
      <c r="P435" t="n">
        <v>240</v>
      </c>
      <c r="R435" s="92" t="n">
        <v>2</v>
      </c>
      <c r="AB435" s="91" t="inlineStr">
        <is>
          <t>R9264 M1821N</t>
        </is>
      </c>
      <c r="AC435" s="91" t="inlineStr">
        <is>
          <t>A9652 S35*3+R9264H M901821*3+R9254E S8500*2</t>
        </is>
      </c>
      <c r="AD435" s="91">
        <f>_xlfn.XLOOKUP(AE435,[4]透视表!$G:$G,[4]透视表!$E:$E)</f>
        <v/>
      </c>
      <c r="AE435" s="91">
        <f>A435&amp;K435</f>
        <v/>
      </c>
      <c r="AL435" s="91" t="inlineStr">
        <is>
          <t>高优先级</t>
        </is>
      </c>
    </row>
    <row r="436" hidden="1" ht="15" customHeight="1" s="99">
      <c r="A436" t="inlineStr">
        <is>
          <t>GMKID1</t>
        </is>
      </c>
      <c r="B436" t="inlineStr">
        <is>
          <t>GMKID1_G0L00_Kidagammulla_Gm</t>
        </is>
      </c>
      <c r="C436" s="89" t="inlineStr">
        <is>
          <t>Huawei</t>
        </is>
      </c>
      <c r="F436" t="n">
        <v>7.081411</v>
      </c>
      <c r="G436" t="n">
        <v>80.01228</v>
      </c>
      <c r="H436" t="inlineStr">
        <is>
          <t>GMKID1-M-L85-C1</t>
        </is>
      </c>
      <c r="J436" s="91">
        <f>LEFT(RIGHT(H436,2),1)</f>
        <v/>
      </c>
      <c r="K436" s="91">
        <f>_xlfn.XLOOKUP(J436,#REF!,#REF!)</f>
        <v/>
      </c>
      <c r="L436" s="91" t="inlineStr">
        <is>
          <t>4G</t>
        </is>
      </c>
      <c r="M436" s="91" t="n">
        <v>850</v>
      </c>
      <c r="N436" s="91" t="inlineStr">
        <is>
          <t>APE4517R0v06</t>
        </is>
      </c>
      <c r="O436" s="92" t="n">
        <v>40</v>
      </c>
      <c r="P436" t="n">
        <v>240</v>
      </c>
      <c r="R436" s="92" t="n">
        <v>0</v>
      </c>
      <c r="Y436" t="inlineStr">
        <is>
          <t>2T2R</t>
        </is>
      </c>
      <c r="AB436" s="91" t="inlineStr">
        <is>
          <t>R9254E S8500</t>
        </is>
      </c>
      <c r="AC436" s="91" t="inlineStr">
        <is>
          <t>A9652 S35*3+R9264H M901821*3+R9254E S8500*2</t>
        </is>
      </c>
      <c r="AD436" s="91">
        <f>_xlfn.XLOOKUP(AE436,[4]透视表!$G:$G,[4]透视表!$D:$D)</f>
        <v/>
      </c>
      <c r="AE436" s="91">
        <f>A436&amp;K436</f>
        <v/>
      </c>
      <c r="AL436" s="91" t="inlineStr">
        <is>
          <t>高优先级</t>
        </is>
      </c>
    </row>
    <row r="437" hidden="1" ht="15" customHeight="1" s="99">
      <c r="A437" t="inlineStr">
        <is>
          <t>GMKID1</t>
        </is>
      </c>
      <c r="B437" t="inlineStr">
        <is>
          <t>GMKID1_G0L00_Kidagammulla_Gm</t>
        </is>
      </c>
      <c r="C437" s="89" t="inlineStr">
        <is>
          <t>Huawei</t>
        </is>
      </c>
      <c r="F437" t="n">
        <v>7.081411</v>
      </c>
      <c r="G437" t="n">
        <v>80.01228</v>
      </c>
      <c r="H437" t="inlineStr">
        <is>
          <t>GMKID1I</t>
        </is>
      </c>
      <c r="J437" s="91">
        <f>RIGHT(H437,1)</f>
        <v/>
      </c>
      <c r="K437" s="91">
        <f>_xlfn.XLOOKUP(J437,#REF!,#REF!)</f>
        <v/>
      </c>
      <c r="L437" s="91" t="inlineStr">
        <is>
          <t>4G</t>
        </is>
      </c>
      <c r="M437" s="91" t="n">
        <v>1800</v>
      </c>
      <c r="N437" s="91" t="inlineStr">
        <is>
          <t>APE4517R0v06</t>
        </is>
      </c>
      <c r="O437" s="92" t="n">
        <v>40</v>
      </c>
      <c r="P437" t="n">
        <v>240</v>
      </c>
      <c r="R437" s="92" t="n">
        <v>0</v>
      </c>
      <c r="Y437" t="inlineStr">
        <is>
          <t>4T4R</t>
        </is>
      </c>
      <c r="AB437" s="91" t="inlineStr">
        <is>
          <t>R9264 M1821N</t>
        </is>
      </c>
      <c r="AC437" s="91" t="inlineStr">
        <is>
          <t>A9652 S35*3+R9264H M901821*3+R9254E S8500*2</t>
        </is>
      </c>
      <c r="AD437" s="91">
        <f>_xlfn.XLOOKUP(AE437,[4]透视表!$G:$G,[4]透视表!$E:$E)</f>
        <v/>
      </c>
      <c r="AE437" s="91">
        <f>A437&amp;K437</f>
        <v/>
      </c>
      <c r="AL437" s="91" t="inlineStr">
        <is>
          <t>高优先级</t>
        </is>
      </c>
    </row>
    <row r="438" hidden="1" ht="15" customHeight="1" s="99">
      <c r="A438" t="inlineStr">
        <is>
          <t>GMKNG1</t>
        </is>
      </c>
      <c r="B438" t="inlineStr">
        <is>
          <t>GMKNG1_0UL00_Kinigama_Gm</t>
        </is>
      </c>
      <c r="C438" s="89" t="inlineStr">
        <is>
          <t>Huawei</t>
        </is>
      </c>
      <c r="D438" s="91" t="inlineStr">
        <is>
          <t>射频需要换成2100频段</t>
        </is>
      </c>
      <c r="F438" t="n">
        <v>7.0555</v>
      </c>
      <c r="G438" t="n">
        <v>80.0294</v>
      </c>
      <c r="H438" t="inlineStr">
        <is>
          <t>GMKNG1-M-L21-A2</t>
        </is>
      </c>
      <c r="J438" s="91">
        <f>LEFT(RIGHT(H438,2),1)</f>
        <v/>
      </c>
      <c r="K438" s="91">
        <f>_xlfn.XLOOKUP(J438,#REF!,#REF!)</f>
        <v/>
      </c>
      <c r="L438" s="91" t="inlineStr">
        <is>
          <t>4G</t>
        </is>
      </c>
      <c r="M438" s="91" t="n">
        <v>2100</v>
      </c>
      <c r="N438" s="91" t="e">
        <v>#N/A</v>
      </c>
      <c r="O438" s="92" t="n">
        <v>50</v>
      </c>
      <c r="P438" t="n">
        <v>0</v>
      </c>
      <c r="R438" s="92" t="n">
        <v>0</v>
      </c>
      <c r="Y438" t="inlineStr">
        <is>
          <t>2T2R</t>
        </is>
      </c>
      <c r="AB438" s="91" t="inlineStr">
        <is>
          <t>？</t>
        </is>
      </c>
      <c r="AC438" s="91" t="inlineStr">
        <is>
          <t>R9254E S1800*3+R9254E S8500*2</t>
        </is>
      </c>
      <c r="AD438" s="91">
        <f>_xlfn.XLOOKUP(AE438,[4]透视表!$G:$G,[4]透视表!$F:$F)</f>
        <v/>
      </c>
      <c r="AE438" s="91">
        <f>A438&amp;K438</f>
        <v/>
      </c>
      <c r="AL438" s="91" t="inlineStr">
        <is>
          <t>高优先级</t>
        </is>
      </c>
    </row>
    <row r="439" hidden="1" ht="15" customHeight="1" s="99">
      <c r="A439" t="inlineStr">
        <is>
          <t>GMKNG1</t>
        </is>
      </c>
      <c r="B439" t="inlineStr">
        <is>
          <t>GMKNG1_0UL00_Kinigama_Gm</t>
        </is>
      </c>
      <c r="C439" s="89" t="inlineStr">
        <is>
          <t>Huawei</t>
        </is>
      </c>
      <c r="D439" s="91" t="inlineStr">
        <is>
          <t>射频需要换成2100频段</t>
        </is>
      </c>
      <c r="F439" t="n">
        <v>7.0555</v>
      </c>
      <c r="G439" t="n">
        <v>80.0294</v>
      </c>
      <c r="H439" t="inlineStr">
        <is>
          <t>GMKNG1-M-L21-B2</t>
        </is>
      </c>
      <c r="J439" s="91">
        <f>LEFT(RIGHT(H439,2),1)</f>
        <v/>
      </c>
      <c r="K439" s="91">
        <f>_xlfn.XLOOKUP(J439,#REF!,#REF!)</f>
        <v/>
      </c>
      <c r="L439" s="91" t="inlineStr">
        <is>
          <t>4G</t>
        </is>
      </c>
      <c r="M439" s="91" t="n">
        <v>2100</v>
      </c>
      <c r="N439" s="91" t="e">
        <v>#N/A</v>
      </c>
      <c r="O439" s="92" t="n">
        <v>50</v>
      </c>
      <c r="P439" t="n">
        <v>90</v>
      </c>
      <c r="R439" s="92" t="n">
        <v>0</v>
      </c>
      <c r="Y439" t="inlineStr">
        <is>
          <t>2T2R</t>
        </is>
      </c>
      <c r="AB439" s="91" t="inlineStr">
        <is>
          <t>？</t>
        </is>
      </c>
      <c r="AC439" s="91" t="inlineStr">
        <is>
          <t>R9254E S1800*3+R9254E S8500*2</t>
        </is>
      </c>
      <c r="AD439" s="91">
        <f>_xlfn.XLOOKUP(AE439,[4]透视表!$G:$G,[4]透视表!$F:$F)</f>
        <v/>
      </c>
      <c r="AE439" s="91">
        <f>A439&amp;K439</f>
        <v/>
      </c>
      <c r="AL439" s="91" t="inlineStr">
        <is>
          <t>高优先级</t>
        </is>
      </c>
    </row>
    <row r="440" hidden="1" ht="15" customHeight="1" s="99">
      <c r="A440" t="inlineStr">
        <is>
          <t>GMKNG1</t>
        </is>
      </c>
      <c r="B440" t="inlineStr">
        <is>
          <t>GMKNG1_0UL00_Kinigama_Gm</t>
        </is>
      </c>
      <c r="C440" s="89" t="inlineStr">
        <is>
          <t>Huawei</t>
        </is>
      </c>
      <c r="D440" s="91" t="inlineStr">
        <is>
          <t>射频需要换成2100频段</t>
        </is>
      </c>
      <c r="F440" t="n">
        <v>7.0555</v>
      </c>
      <c r="G440" t="n">
        <v>80.0294</v>
      </c>
      <c r="H440" t="inlineStr">
        <is>
          <t>GMKNG1-M-L21-C2</t>
        </is>
      </c>
      <c r="J440" s="91">
        <f>LEFT(RIGHT(H440,2),1)</f>
        <v/>
      </c>
      <c r="K440" s="91">
        <f>_xlfn.XLOOKUP(J440,#REF!,#REF!)</f>
        <v/>
      </c>
      <c r="L440" s="91" t="inlineStr">
        <is>
          <t>4G</t>
        </is>
      </c>
      <c r="M440" s="91" t="n">
        <v>2100</v>
      </c>
      <c r="N440" s="91" t="e">
        <v>#N/A</v>
      </c>
      <c r="O440" s="92" t="n">
        <v>50</v>
      </c>
      <c r="P440" t="n">
        <v>180</v>
      </c>
      <c r="R440" s="92" t="n">
        <v>0</v>
      </c>
      <c r="Y440" t="inlineStr">
        <is>
          <t>2T2R</t>
        </is>
      </c>
      <c r="AB440" s="91" t="inlineStr">
        <is>
          <t>？</t>
        </is>
      </c>
      <c r="AC440" s="91" t="inlineStr">
        <is>
          <t>R9254E S1800*3+R9254E S8500*2</t>
        </is>
      </c>
      <c r="AD440" s="91">
        <f>_xlfn.XLOOKUP(AE440,[4]透视表!$G:$G,[4]透视表!$F:$F)</f>
        <v/>
      </c>
      <c r="AE440" s="91">
        <f>A440&amp;K440</f>
        <v/>
      </c>
      <c r="AL440" s="91" t="inlineStr">
        <is>
          <t>高优先级</t>
        </is>
      </c>
    </row>
    <row r="441" hidden="1" ht="15" customHeight="1" s="99">
      <c r="A441" t="inlineStr">
        <is>
          <t>GMKRW1</t>
        </is>
      </c>
      <c r="C441" s="89" t="inlineStr">
        <is>
          <t>Huawei</t>
        </is>
      </c>
      <c r="F441" t="n">
        <v>7.09203</v>
      </c>
      <c r="G441" t="n">
        <v>79.9684</v>
      </c>
      <c r="H441" t="inlineStr">
        <is>
          <t>GMKRW1A</t>
        </is>
      </c>
      <c r="J441" s="91">
        <f>RIGHT(H441,1)</f>
        <v/>
      </c>
      <c r="K441" t="inlineStr">
        <is>
          <t>S1</t>
        </is>
      </c>
      <c r="L441" s="91" t="inlineStr">
        <is>
          <t>2G</t>
        </is>
      </c>
      <c r="M441" t="n">
        <v>900</v>
      </c>
      <c r="N441" s="91" t="inlineStr">
        <is>
          <t>AQU4518R9v06</t>
        </is>
      </c>
      <c r="P441" t="n">
        <v>0</v>
      </c>
      <c r="R441" s="92" t="n">
        <v>2</v>
      </c>
      <c r="AB441" s="91" t="inlineStr">
        <is>
          <t>R9244 S9000</t>
        </is>
      </c>
      <c r="AC441" s="91" t="inlineStr">
        <is>
          <t>R9254E S1800*3+R9254E S8500*2+R9244 S9000*2</t>
        </is>
      </c>
      <c r="AD441" s="91">
        <f>_xlfn.XLOOKUP(AE441,[4]透视表!$G:$G,[4]透视表!$D:$D)</f>
        <v/>
      </c>
      <c r="AE441" s="91">
        <f>A441&amp;K441</f>
        <v/>
      </c>
      <c r="AL441" s="91" t="inlineStr">
        <is>
          <t>高优先级</t>
        </is>
      </c>
    </row>
    <row r="442" hidden="1" ht="15" customHeight="1" s="99">
      <c r="A442" t="inlineStr">
        <is>
          <t>GMKRW1</t>
        </is>
      </c>
      <c r="C442" s="89" t="inlineStr">
        <is>
          <t>Huawei</t>
        </is>
      </c>
      <c r="F442" t="n">
        <v>7.09203</v>
      </c>
      <c r="G442" t="n">
        <v>79.9684</v>
      </c>
      <c r="H442" t="inlineStr">
        <is>
          <t>GMKRW1P</t>
        </is>
      </c>
      <c r="J442" s="91">
        <f>RIGHT(H442,1)</f>
        <v/>
      </c>
      <c r="K442" t="inlineStr">
        <is>
          <t>S1</t>
        </is>
      </c>
      <c r="L442" s="91" t="inlineStr">
        <is>
          <t>2G</t>
        </is>
      </c>
      <c r="M442" t="n">
        <v>1800</v>
      </c>
      <c r="N442" s="91" t="inlineStr">
        <is>
          <t>AQU4518R9v06</t>
        </is>
      </c>
      <c r="P442" t="n">
        <v>0</v>
      </c>
      <c r="R442" s="92" t="n">
        <v>2</v>
      </c>
      <c r="AB442" s="91" t="inlineStr">
        <is>
          <t>R9254E S1800</t>
        </is>
      </c>
      <c r="AC442" s="91" t="inlineStr">
        <is>
          <t>R9254E S1800*3+R9254E S8500*2+R9244 S9000*2</t>
        </is>
      </c>
      <c r="AD442" s="91">
        <f>_xlfn.XLOOKUP(AE442,[4]透视表!$G:$G,[4]透视表!$E:$E)</f>
        <v/>
      </c>
      <c r="AE442" s="91">
        <f>A442&amp;K442</f>
        <v/>
      </c>
      <c r="AL442" s="91" t="inlineStr">
        <is>
          <t>高优先级</t>
        </is>
      </c>
    </row>
    <row r="443" hidden="1" ht="15" customHeight="1" s="99">
      <c r="A443" t="inlineStr">
        <is>
          <t>GMKRW1</t>
        </is>
      </c>
      <c r="B443" t="inlineStr">
        <is>
          <t>GMKRW1_GUL00_Kirindiwita_IP_Gm</t>
        </is>
      </c>
      <c r="C443" s="89" t="inlineStr">
        <is>
          <t>Huawei</t>
        </is>
      </c>
      <c r="F443" t="n">
        <v>7.09203</v>
      </c>
      <c r="G443" t="n">
        <v>79.9684</v>
      </c>
      <c r="H443" t="inlineStr">
        <is>
          <t>GMKRW1-M-L85-A1</t>
        </is>
      </c>
      <c r="J443" s="91">
        <f>LEFT(RIGHT(H443,2),1)</f>
        <v/>
      </c>
      <c r="K443" s="91">
        <f>_xlfn.XLOOKUP(J443,#REF!,#REF!)</f>
        <v/>
      </c>
      <c r="L443" s="91" t="inlineStr">
        <is>
          <t>4G</t>
        </is>
      </c>
      <c r="M443" s="91" t="n">
        <v>850</v>
      </c>
      <c r="N443" s="91" t="inlineStr">
        <is>
          <t>AQU4518R9v06</t>
        </is>
      </c>
      <c r="O443" s="92" t="n">
        <v>9</v>
      </c>
      <c r="P443" t="n">
        <v>0</v>
      </c>
      <c r="R443" s="92" t="n">
        <v>0</v>
      </c>
      <c r="Y443" t="inlineStr">
        <is>
          <t>2T2R</t>
        </is>
      </c>
      <c r="AB443" s="91" t="inlineStr">
        <is>
          <t>R9254E S8500</t>
        </is>
      </c>
      <c r="AC443" s="91" t="inlineStr">
        <is>
          <t>R9254E S1800*3+R9254E S8500*2+R9244 S9000*2</t>
        </is>
      </c>
      <c r="AD443" s="91">
        <f>_xlfn.XLOOKUP(AE443,[4]透视表!$G:$G,[4]透视表!$D:$D)</f>
        <v/>
      </c>
      <c r="AE443" s="91">
        <f>A443&amp;K443</f>
        <v/>
      </c>
      <c r="AL443" s="91" t="inlineStr">
        <is>
          <t>高优先级</t>
        </is>
      </c>
    </row>
    <row r="444" hidden="1" ht="15" customHeight="1" s="99">
      <c r="A444" t="inlineStr">
        <is>
          <t>GMKRW1</t>
        </is>
      </c>
      <c r="B444" t="inlineStr">
        <is>
          <t>GMKRW1_GUL00_Kirindiwita_IP_Gm</t>
        </is>
      </c>
      <c r="C444" s="89" t="inlineStr">
        <is>
          <t>Huawei</t>
        </is>
      </c>
      <c r="F444" t="n">
        <v>7.09203</v>
      </c>
      <c r="G444" t="n">
        <v>79.9684</v>
      </c>
      <c r="H444" t="inlineStr">
        <is>
          <t>GMKRW1G</t>
        </is>
      </c>
      <c r="J444" s="91">
        <f>RIGHT(H444,1)</f>
        <v/>
      </c>
      <c r="K444" s="91">
        <f>_xlfn.XLOOKUP(J444,#REF!,#REF!)</f>
        <v/>
      </c>
      <c r="L444" s="91" t="inlineStr">
        <is>
          <t>4G</t>
        </is>
      </c>
      <c r="M444" s="91" t="n">
        <v>1800</v>
      </c>
      <c r="N444" s="91" t="inlineStr">
        <is>
          <t>AQU4518R9v06</t>
        </is>
      </c>
      <c r="O444" s="92" t="n">
        <v>9</v>
      </c>
      <c r="P444" t="n">
        <v>0</v>
      </c>
      <c r="R444" s="92" t="n">
        <v>0</v>
      </c>
      <c r="Y444" t="inlineStr">
        <is>
          <t>2T2R</t>
        </is>
      </c>
      <c r="AB444" s="91" t="inlineStr">
        <is>
          <t>R9254E S1800</t>
        </is>
      </c>
      <c r="AC444" s="91" t="inlineStr">
        <is>
          <t>R9254E S1800*3+R9254E S8500*2+R9244 S9000*2</t>
        </is>
      </c>
      <c r="AD444" s="91">
        <f>_xlfn.XLOOKUP(AE444,[4]透视表!$G:$G,[4]透视表!$E:$E)</f>
        <v/>
      </c>
      <c r="AE444" s="91">
        <f>A444&amp;K444</f>
        <v/>
      </c>
      <c r="AL444" s="91" t="inlineStr">
        <is>
          <t>高优先级</t>
        </is>
      </c>
    </row>
    <row r="445" hidden="1" ht="15" customHeight="1" s="99">
      <c r="A445" t="inlineStr">
        <is>
          <t>GMKRW1</t>
        </is>
      </c>
      <c r="C445" s="89" t="inlineStr">
        <is>
          <t>Huawei</t>
        </is>
      </c>
      <c r="F445" t="n">
        <v>7.09203</v>
      </c>
      <c r="G445" t="n">
        <v>79.9684</v>
      </c>
      <c r="H445" t="inlineStr">
        <is>
          <t>GMKRW1B</t>
        </is>
      </c>
      <c r="J445" s="91">
        <f>RIGHT(H445,1)</f>
        <v/>
      </c>
      <c r="K445" t="inlineStr">
        <is>
          <t>S2</t>
        </is>
      </c>
      <c r="L445" s="91" t="inlineStr">
        <is>
          <t>2G</t>
        </is>
      </c>
      <c r="M445" t="n">
        <v>900</v>
      </c>
      <c r="N445" s="91" t="inlineStr">
        <is>
          <t>AQU4518R9v06</t>
        </is>
      </c>
      <c r="P445" t="n">
        <v>120</v>
      </c>
      <c r="R445" s="92" t="n">
        <v>2</v>
      </c>
      <c r="AB445" s="91" t="inlineStr">
        <is>
          <t>R9244 S9000</t>
        </is>
      </c>
      <c r="AC445" s="91" t="inlineStr">
        <is>
          <t>R9254E S1800*3+R9254E S8500*2+R9244 S9000*2</t>
        </is>
      </c>
      <c r="AD445" s="91">
        <f>_xlfn.XLOOKUP(AE445,[4]透视表!$G:$G,[4]透视表!$D:$D)</f>
        <v/>
      </c>
      <c r="AE445" s="91">
        <f>A445&amp;K445</f>
        <v/>
      </c>
      <c r="AL445" s="91" t="inlineStr">
        <is>
          <t>高优先级</t>
        </is>
      </c>
    </row>
    <row r="446" hidden="1" ht="15" customHeight="1" s="99">
      <c r="A446" t="inlineStr">
        <is>
          <t>GMKRW1</t>
        </is>
      </c>
      <c r="C446" s="89" t="inlineStr">
        <is>
          <t>Huawei</t>
        </is>
      </c>
      <c r="F446" t="n">
        <v>7.09203</v>
      </c>
      <c r="G446" t="n">
        <v>79.9684</v>
      </c>
      <c r="H446" t="inlineStr">
        <is>
          <t>GMKRW1Q</t>
        </is>
      </c>
      <c r="J446" s="91">
        <f>RIGHT(H446,1)</f>
        <v/>
      </c>
      <c r="K446" t="inlineStr">
        <is>
          <t>S2</t>
        </is>
      </c>
      <c r="L446" s="91" t="inlineStr">
        <is>
          <t>2G</t>
        </is>
      </c>
      <c r="M446" t="n">
        <v>1800</v>
      </c>
      <c r="N446" s="91" t="inlineStr">
        <is>
          <t>AQU4518R9v06</t>
        </is>
      </c>
      <c r="P446" t="n">
        <v>120</v>
      </c>
      <c r="R446" s="92" t="n">
        <v>2</v>
      </c>
      <c r="AB446" s="91" t="inlineStr">
        <is>
          <t>R9254E S1800</t>
        </is>
      </c>
      <c r="AC446" s="91" t="inlineStr">
        <is>
          <t>R9254E S1800*3+R9254E S8500*2+R9244 S9000*2</t>
        </is>
      </c>
      <c r="AD446" s="91">
        <f>_xlfn.XLOOKUP(AE446,[4]透视表!$G:$G,[4]透视表!$E:$E)</f>
        <v/>
      </c>
      <c r="AE446" s="91">
        <f>A446&amp;K446</f>
        <v/>
      </c>
      <c r="AL446" s="91" t="inlineStr">
        <is>
          <t>高优先级</t>
        </is>
      </c>
    </row>
    <row r="447" hidden="1" ht="15" customHeight="1" s="99">
      <c r="A447" t="inlineStr">
        <is>
          <t>GMKRW1</t>
        </is>
      </c>
      <c r="B447" t="inlineStr">
        <is>
          <t>GMKRW1_GUL00_Kirindiwita_IP_Gm</t>
        </is>
      </c>
      <c r="C447" s="89" t="inlineStr">
        <is>
          <t>Huawei</t>
        </is>
      </c>
      <c r="F447" t="n">
        <v>7.09203</v>
      </c>
      <c r="G447" t="n">
        <v>79.9684</v>
      </c>
      <c r="H447" t="inlineStr">
        <is>
          <t>GMKRW1-M-L85-B1</t>
        </is>
      </c>
      <c r="J447" s="91">
        <f>LEFT(RIGHT(H447,2),1)</f>
        <v/>
      </c>
      <c r="K447" s="91">
        <f>_xlfn.XLOOKUP(J447,#REF!,#REF!)</f>
        <v/>
      </c>
      <c r="L447" s="91" t="inlineStr">
        <is>
          <t>4G</t>
        </is>
      </c>
      <c r="M447" s="91" t="n">
        <v>850</v>
      </c>
      <c r="N447" s="91" t="inlineStr">
        <is>
          <t>AQU4518R9v06</t>
        </is>
      </c>
      <c r="O447" s="92" t="n">
        <v>9</v>
      </c>
      <c r="P447" t="n">
        <v>120</v>
      </c>
      <c r="R447" s="92" t="n">
        <v>0</v>
      </c>
      <c r="Y447" t="inlineStr">
        <is>
          <t>2T2R</t>
        </is>
      </c>
      <c r="AB447" s="91" t="inlineStr">
        <is>
          <t>R9254E S8500</t>
        </is>
      </c>
      <c r="AC447" s="91" t="inlineStr">
        <is>
          <t>R9254E S1800*3+R9254E S8500*2+R9244 S9000*2</t>
        </is>
      </c>
      <c r="AD447" s="91">
        <f>_xlfn.XLOOKUP(AE447,[4]透视表!$G:$G,[4]透视表!$D:$D)</f>
        <v/>
      </c>
      <c r="AE447" s="91">
        <f>A447&amp;K447</f>
        <v/>
      </c>
      <c r="AL447" s="91" t="inlineStr">
        <is>
          <t>高优先级</t>
        </is>
      </c>
    </row>
    <row r="448" hidden="1" ht="15" customHeight="1" s="99">
      <c r="A448" t="inlineStr">
        <is>
          <t>GMKRW1</t>
        </is>
      </c>
      <c r="B448" t="inlineStr">
        <is>
          <t>GMKRW1_GUL00_Kirindiwita_IP_Gm</t>
        </is>
      </c>
      <c r="C448" s="89" t="inlineStr">
        <is>
          <t>Huawei</t>
        </is>
      </c>
      <c r="F448" t="n">
        <v>7.09203</v>
      </c>
      <c r="G448" t="n">
        <v>79.9684</v>
      </c>
      <c r="H448" t="inlineStr">
        <is>
          <t>GMKRW1H</t>
        </is>
      </c>
      <c r="J448" s="91">
        <f>RIGHT(H448,1)</f>
        <v/>
      </c>
      <c r="K448" s="91">
        <f>_xlfn.XLOOKUP(J448,#REF!,#REF!)</f>
        <v/>
      </c>
      <c r="L448" s="91" t="inlineStr">
        <is>
          <t>4G</t>
        </is>
      </c>
      <c r="M448" s="91" t="n">
        <v>1800</v>
      </c>
      <c r="N448" s="91" t="inlineStr">
        <is>
          <t>AQU4518R9v06</t>
        </is>
      </c>
      <c r="O448" s="92" t="n">
        <v>9</v>
      </c>
      <c r="P448" t="n">
        <v>120</v>
      </c>
      <c r="R448" s="92" t="n">
        <v>0</v>
      </c>
      <c r="Y448" t="inlineStr">
        <is>
          <t>2T2R</t>
        </is>
      </c>
      <c r="AB448" s="91" t="inlineStr">
        <is>
          <t>R9254E S1800</t>
        </is>
      </c>
      <c r="AC448" s="91" t="inlineStr">
        <is>
          <t>R9254E S1800*3+R9254E S8500*2+R9244 S9000*2</t>
        </is>
      </c>
      <c r="AD448" s="91">
        <f>_xlfn.XLOOKUP(AE448,[4]透视表!$G:$G,[4]透视表!$E:$E)</f>
        <v/>
      </c>
      <c r="AE448" s="91">
        <f>A448&amp;K448</f>
        <v/>
      </c>
      <c r="AL448" s="91" t="inlineStr">
        <is>
          <t>高优先级</t>
        </is>
      </c>
    </row>
    <row r="449" hidden="1" ht="15" customHeight="1" s="99">
      <c r="A449" t="inlineStr">
        <is>
          <t>GMKRW1</t>
        </is>
      </c>
      <c r="C449" s="89" t="inlineStr">
        <is>
          <t>Huawei</t>
        </is>
      </c>
      <c r="F449" t="n">
        <v>7.09203</v>
      </c>
      <c r="G449" t="n">
        <v>79.9684</v>
      </c>
      <c r="H449" t="inlineStr">
        <is>
          <t>GMKRW1C</t>
        </is>
      </c>
      <c r="J449" s="91">
        <f>RIGHT(H449,1)</f>
        <v/>
      </c>
      <c r="K449" t="inlineStr">
        <is>
          <t>S3</t>
        </is>
      </c>
      <c r="L449" s="91" t="inlineStr">
        <is>
          <t>2G</t>
        </is>
      </c>
      <c r="M449" t="n">
        <v>900</v>
      </c>
      <c r="N449" s="91" t="inlineStr">
        <is>
          <t>AQU4518R9v06</t>
        </is>
      </c>
      <c r="P449" t="n">
        <v>240</v>
      </c>
      <c r="R449" s="92" t="n">
        <v>2</v>
      </c>
      <c r="AB449" s="91" t="inlineStr">
        <is>
          <t>R9244 S9000</t>
        </is>
      </c>
      <c r="AC449" s="91" t="inlineStr">
        <is>
          <t>R9254E S1800*3+R9254E S8500*2+R9244 S9000*2</t>
        </is>
      </c>
      <c r="AD449" s="91">
        <f>_xlfn.XLOOKUP(AE449,[4]透视表!$G:$G,[4]透视表!$D:$D)</f>
        <v/>
      </c>
      <c r="AE449" s="91">
        <f>A449&amp;K449</f>
        <v/>
      </c>
      <c r="AL449" s="91" t="inlineStr">
        <is>
          <t>高优先级</t>
        </is>
      </c>
    </row>
    <row r="450" hidden="1" ht="15" customHeight="1" s="99">
      <c r="A450" t="inlineStr">
        <is>
          <t>GMKRW1</t>
        </is>
      </c>
      <c r="C450" s="89" t="inlineStr">
        <is>
          <t>Huawei</t>
        </is>
      </c>
      <c r="F450" t="n">
        <v>7.09203</v>
      </c>
      <c r="G450" t="n">
        <v>79.9684</v>
      </c>
      <c r="H450" t="inlineStr">
        <is>
          <t>GMKRW1R</t>
        </is>
      </c>
      <c r="J450" s="91">
        <f>RIGHT(H450,1)</f>
        <v/>
      </c>
      <c r="K450" t="inlineStr">
        <is>
          <t>S3</t>
        </is>
      </c>
      <c r="L450" s="91" t="inlineStr">
        <is>
          <t>2G</t>
        </is>
      </c>
      <c r="M450" t="n">
        <v>1800</v>
      </c>
      <c r="N450" s="91" t="inlineStr">
        <is>
          <t>AQU4518R9v06</t>
        </is>
      </c>
      <c r="P450" t="n">
        <v>240</v>
      </c>
      <c r="R450" s="92" t="n">
        <v>2</v>
      </c>
      <c r="AB450" s="91" t="inlineStr">
        <is>
          <t>R9254E S1800</t>
        </is>
      </c>
      <c r="AC450" s="91" t="inlineStr">
        <is>
          <t>R9254E S1800*3+R9254E S8500*2+R9244 S9000*2</t>
        </is>
      </c>
      <c r="AD450" s="91">
        <f>_xlfn.XLOOKUP(AE450,[4]透视表!$G:$G,[4]透视表!$E:$E)</f>
        <v/>
      </c>
      <c r="AE450" s="91">
        <f>A450&amp;K450</f>
        <v/>
      </c>
      <c r="AL450" s="91" t="inlineStr">
        <is>
          <t>高优先级</t>
        </is>
      </c>
    </row>
    <row r="451" hidden="1" ht="15" customHeight="1" s="99">
      <c r="A451" t="inlineStr">
        <is>
          <t>GMKRW1</t>
        </is>
      </c>
      <c r="B451" t="inlineStr">
        <is>
          <t>GMKRW1_GUL00_Kirindiwita_IP_Gm</t>
        </is>
      </c>
      <c r="C451" s="89" t="inlineStr">
        <is>
          <t>Huawei</t>
        </is>
      </c>
      <c r="F451" t="n">
        <v>7.09203</v>
      </c>
      <c r="G451" t="n">
        <v>79.9684</v>
      </c>
      <c r="H451" t="inlineStr">
        <is>
          <t>GMKRW1-M-L85-C1</t>
        </is>
      </c>
      <c r="J451" s="91">
        <f>LEFT(RIGHT(H451,2),1)</f>
        <v/>
      </c>
      <c r="K451" s="91">
        <f>_xlfn.XLOOKUP(J451,#REF!,#REF!)</f>
        <v/>
      </c>
      <c r="L451" s="91" t="inlineStr">
        <is>
          <t>4G</t>
        </is>
      </c>
      <c r="M451" s="91" t="n">
        <v>850</v>
      </c>
      <c r="N451" s="91" t="inlineStr">
        <is>
          <t>AQU4518R9v06</t>
        </is>
      </c>
      <c r="O451" s="92" t="n">
        <v>9</v>
      </c>
      <c r="P451" t="n">
        <v>240</v>
      </c>
      <c r="R451" s="92" t="n">
        <v>0</v>
      </c>
      <c r="Y451" t="inlineStr">
        <is>
          <t>2T2R</t>
        </is>
      </c>
      <c r="AB451" s="91" t="inlineStr">
        <is>
          <t>R9254E S8500</t>
        </is>
      </c>
      <c r="AC451" s="91" t="inlineStr">
        <is>
          <t>R9254E S1800*3+R9254E S8500*2+R9244 S9000*2</t>
        </is>
      </c>
      <c r="AD451" s="91">
        <f>_xlfn.XLOOKUP(AE451,[4]透视表!$G:$G,[4]透视表!$D:$D)</f>
        <v/>
      </c>
      <c r="AE451" s="91">
        <f>A451&amp;K451</f>
        <v/>
      </c>
      <c r="AL451" s="91" t="inlineStr">
        <is>
          <t>高优先级</t>
        </is>
      </c>
    </row>
    <row r="452" hidden="1" ht="15" customHeight="1" s="99">
      <c r="A452" t="inlineStr">
        <is>
          <t>GMKRW1</t>
        </is>
      </c>
      <c r="B452" t="inlineStr">
        <is>
          <t>GMKRW1_GUL00_Kirindiwita_IP_Gm</t>
        </is>
      </c>
      <c r="C452" s="89" t="inlineStr">
        <is>
          <t>Huawei</t>
        </is>
      </c>
      <c r="F452" t="n">
        <v>7.09203</v>
      </c>
      <c r="G452" t="n">
        <v>79.9684</v>
      </c>
      <c r="H452" t="inlineStr">
        <is>
          <t>GMKRW1I</t>
        </is>
      </c>
      <c r="J452" s="91">
        <f>RIGHT(H452,1)</f>
        <v/>
      </c>
      <c r="K452" s="91">
        <f>_xlfn.XLOOKUP(J452,#REF!,#REF!)</f>
        <v/>
      </c>
      <c r="L452" s="91" t="inlineStr">
        <is>
          <t>4G</t>
        </is>
      </c>
      <c r="M452" s="91" t="n">
        <v>1800</v>
      </c>
      <c r="N452" s="91" t="inlineStr">
        <is>
          <t>AQU4518R9v06</t>
        </is>
      </c>
      <c r="O452" s="92" t="n">
        <v>9</v>
      </c>
      <c r="P452" t="n">
        <v>240</v>
      </c>
      <c r="R452" s="92" t="n">
        <v>0</v>
      </c>
      <c r="Y452" t="inlineStr">
        <is>
          <t>2T2R</t>
        </is>
      </c>
      <c r="AB452" s="91" t="inlineStr">
        <is>
          <t>R9254E S1800</t>
        </is>
      </c>
      <c r="AC452" s="91" t="inlineStr">
        <is>
          <t>R9254E S1800*3+R9254E S8500*2+R9244 S9000*2</t>
        </is>
      </c>
      <c r="AD452" s="91">
        <f>_xlfn.XLOOKUP(AE452,[4]透视表!$G:$G,[4]透视表!$E:$E)</f>
        <v/>
      </c>
      <c r="AE452" s="91">
        <f>A452&amp;K452</f>
        <v/>
      </c>
      <c r="AL452" s="91" t="inlineStr">
        <is>
          <t>高优先级</t>
        </is>
      </c>
    </row>
    <row r="453" hidden="1" ht="15" customHeight="1" s="99">
      <c r="A453" t="inlineStr">
        <is>
          <t>GMKRW2</t>
        </is>
      </c>
      <c r="C453" s="89" t="inlineStr">
        <is>
          <t>Huawei</t>
        </is>
      </c>
      <c r="F453" t="n">
        <v>7.082</v>
      </c>
      <c r="G453" t="n">
        <v>79.9726</v>
      </c>
      <c r="H453" t="inlineStr">
        <is>
          <t>GMKRW2A</t>
        </is>
      </c>
      <c r="J453" s="91">
        <f>RIGHT(H453,1)</f>
        <v/>
      </c>
      <c r="K453" t="inlineStr">
        <is>
          <t>S1</t>
        </is>
      </c>
      <c r="L453" s="91" t="inlineStr">
        <is>
          <t>2G</t>
        </is>
      </c>
      <c r="M453" t="n">
        <v>900</v>
      </c>
      <c r="N453" s="91" t="inlineStr">
        <is>
          <t>AQU4518R9v06</t>
        </is>
      </c>
      <c r="P453" t="n">
        <v>115</v>
      </c>
      <c r="R453" s="92" t="n">
        <v>2</v>
      </c>
      <c r="AB453" s="91" t="inlineStr">
        <is>
          <t>R9264H M901821</t>
        </is>
      </c>
      <c r="AC453" s="91" t="inlineStr">
        <is>
          <t>R9264H M901821*3+R9254E S8500*2</t>
        </is>
      </c>
      <c r="AD453" s="91">
        <f>_xlfn.XLOOKUP(AE453,[4]透视表!$G:$G,[4]透视表!$D:$D)</f>
        <v/>
      </c>
      <c r="AE453" s="91">
        <f>A453&amp;K453</f>
        <v/>
      </c>
      <c r="AL453" s="91" t="inlineStr">
        <is>
          <t>高优先级</t>
        </is>
      </c>
    </row>
    <row r="454" hidden="1" ht="15" customHeight="1" s="99">
      <c r="A454" t="inlineStr">
        <is>
          <t>GMKRW2</t>
        </is>
      </c>
      <c r="C454" s="89" t="inlineStr">
        <is>
          <t>Huawei</t>
        </is>
      </c>
      <c r="F454" t="n">
        <v>7.082</v>
      </c>
      <c r="G454" t="n">
        <v>79.9726</v>
      </c>
      <c r="H454" t="inlineStr">
        <is>
          <t>GMKRW2P</t>
        </is>
      </c>
      <c r="J454" s="91">
        <f>RIGHT(H454,1)</f>
        <v/>
      </c>
      <c r="K454" t="inlineStr">
        <is>
          <t>S1</t>
        </is>
      </c>
      <c r="L454" s="91" t="inlineStr">
        <is>
          <t>2G</t>
        </is>
      </c>
      <c r="M454" t="n">
        <v>1800</v>
      </c>
      <c r="N454" s="91" t="inlineStr">
        <is>
          <t>AQU4518R9v06</t>
        </is>
      </c>
      <c r="P454" t="n">
        <v>115</v>
      </c>
      <c r="R454" s="92" t="n">
        <v>2</v>
      </c>
      <c r="AB454" s="91" t="inlineStr">
        <is>
          <t>R9264H M901821</t>
        </is>
      </c>
      <c r="AC454" s="91" t="inlineStr">
        <is>
          <t>R9264H M901821*3+R9254E S8500*2</t>
        </is>
      </c>
      <c r="AD454" s="91">
        <f>_xlfn.XLOOKUP(AE454,[4]透视表!$G:$G,[4]透视表!$E:$E)</f>
        <v/>
      </c>
      <c r="AE454" s="91">
        <f>A454&amp;K454</f>
        <v/>
      </c>
      <c r="AL454" s="91" t="inlineStr">
        <is>
          <t>高优先级</t>
        </is>
      </c>
    </row>
    <row r="455" hidden="1" ht="15" customHeight="1" s="99">
      <c r="A455" t="inlineStr">
        <is>
          <t>GMKRW2</t>
        </is>
      </c>
      <c r="B455" t="inlineStr">
        <is>
          <t>GMKRW2_GUL00_Kirindiwita2_IP_Gm</t>
        </is>
      </c>
      <c r="C455" s="89" t="inlineStr">
        <is>
          <t>Huawei</t>
        </is>
      </c>
      <c r="F455" t="n">
        <v>7.082</v>
      </c>
      <c r="G455" t="n">
        <v>79.9726</v>
      </c>
      <c r="H455" t="inlineStr">
        <is>
          <t>GMKRW2-M-L85-A1</t>
        </is>
      </c>
      <c r="J455" s="91">
        <f>LEFT(RIGHT(H455,2),1)</f>
        <v/>
      </c>
      <c r="K455" s="91">
        <f>_xlfn.XLOOKUP(J455,#REF!,#REF!)</f>
        <v/>
      </c>
      <c r="L455" s="91" t="inlineStr">
        <is>
          <t>4G</t>
        </is>
      </c>
      <c r="M455" s="91" t="n">
        <v>850</v>
      </c>
      <c r="N455" s="91" t="inlineStr">
        <is>
          <t>AQU4518R9v06</t>
        </is>
      </c>
      <c r="O455" s="92" t="n">
        <v>50</v>
      </c>
      <c r="P455" t="n">
        <v>115</v>
      </c>
      <c r="R455" s="92" t="n">
        <v>0</v>
      </c>
      <c r="Y455" t="inlineStr">
        <is>
          <t>2T2R</t>
        </is>
      </c>
      <c r="AB455" s="91" t="inlineStr">
        <is>
          <t>R9254E S8500</t>
        </is>
      </c>
      <c r="AC455" s="91" t="inlineStr">
        <is>
          <t>R9264H M901821*3+R9254E S8500*2</t>
        </is>
      </c>
      <c r="AD455" s="91">
        <f>_xlfn.XLOOKUP(AE455,[4]透视表!$G:$G,[4]透视表!$D:$D)</f>
        <v/>
      </c>
      <c r="AE455" s="91">
        <f>A455&amp;K455</f>
        <v/>
      </c>
      <c r="AL455" s="91" t="inlineStr">
        <is>
          <t>高优先级</t>
        </is>
      </c>
    </row>
    <row r="456" hidden="1" ht="15" customHeight="1" s="99">
      <c r="A456" t="inlineStr">
        <is>
          <t>GMKRW2</t>
        </is>
      </c>
      <c r="B456" t="inlineStr">
        <is>
          <t>GMKRW2_GUL00_Kirindiwita2_IP_Gm</t>
        </is>
      </c>
      <c r="C456" s="89" t="inlineStr">
        <is>
          <t>Huawei</t>
        </is>
      </c>
      <c r="F456" t="n">
        <v>7.082</v>
      </c>
      <c r="G456" t="n">
        <v>79.9726</v>
      </c>
      <c r="H456" t="inlineStr">
        <is>
          <t>GMKRW2G</t>
        </is>
      </c>
      <c r="J456" s="91">
        <f>RIGHT(H456,1)</f>
        <v/>
      </c>
      <c r="K456" s="91">
        <f>_xlfn.XLOOKUP(J456,#REF!,#REF!)</f>
        <v/>
      </c>
      <c r="L456" s="91" t="inlineStr">
        <is>
          <t>4G</t>
        </is>
      </c>
      <c r="M456" s="91" t="n">
        <v>1800</v>
      </c>
      <c r="N456" s="91" t="inlineStr">
        <is>
          <t>AQU4518R9v06</t>
        </is>
      </c>
      <c r="O456" s="92" t="n">
        <v>50</v>
      </c>
      <c r="P456" t="n">
        <v>115</v>
      </c>
      <c r="R456" s="92" t="n">
        <v>0</v>
      </c>
      <c r="Y456" t="inlineStr">
        <is>
          <t>4T4R</t>
        </is>
      </c>
      <c r="AB456" s="91" t="inlineStr">
        <is>
          <t>R9264H M901821</t>
        </is>
      </c>
      <c r="AC456" s="91" t="inlineStr">
        <is>
          <t>R9264H M901821*3+R9254E S8500*2</t>
        </is>
      </c>
      <c r="AD456" s="91">
        <f>_xlfn.XLOOKUP(AE456,[4]透视表!$G:$G,[4]透视表!$E:$E)</f>
        <v/>
      </c>
      <c r="AE456" s="91">
        <f>A456&amp;K456</f>
        <v/>
      </c>
      <c r="AL456" s="91" t="inlineStr">
        <is>
          <t>高优先级</t>
        </is>
      </c>
    </row>
    <row r="457" hidden="1" ht="15" customHeight="1" s="99">
      <c r="A457" t="inlineStr">
        <is>
          <t>GMKRW2</t>
        </is>
      </c>
      <c r="C457" s="89" t="inlineStr">
        <is>
          <t>Huawei</t>
        </is>
      </c>
      <c r="F457" t="n">
        <v>7.082</v>
      </c>
      <c r="G457" t="n">
        <v>79.9726</v>
      </c>
      <c r="H457" t="inlineStr">
        <is>
          <t>GMKRW2B</t>
        </is>
      </c>
      <c r="J457" s="91">
        <f>RIGHT(H457,1)</f>
        <v/>
      </c>
      <c r="K457" t="inlineStr">
        <is>
          <t>S2</t>
        </is>
      </c>
      <c r="L457" s="91" t="inlineStr">
        <is>
          <t>2G</t>
        </is>
      </c>
      <c r="M457" t="n">
        <v>900</v>
      </c>
      <c r="N457" s="91" t="inlineStr">
        <is>
          <t>AQU4518R9v06</t>
        </is>
      </c>
      <c r="P457" t="n">
        <v>220</v>
      </c>
      <c r="R457" s="92" t="n">
        <v>2</v>
      </c>
      <c r="AB457" s="91" t="inlineStr">
        <is>
          <t>R9264H M901821</t>
        </is>
      </c>
      <c r="AC457" s="91" t="inlineStr">
        <is>
          <t>R9264H M901821*3+R9254E S8500*2</t>
        </is>
      </c>
      <c r="AD457" s="91">
        <f>_xlfn.XLOOKUP(AE457,[4]透视表!$G:$G,[4]透视表!$D:$D)</f>
        <v/>
      </c>
      <c r="AE457" s="91">
        <f>A457&amp;K457</f>
        <v/>
      </c>
      <c r="AL457" s="91" t="inlineStr">
        <is>
          <t>高优先级</t>
        </is>
      </c>
    </row>
    <row r="458" hidden="1" ht="15" customHeight="1" s="99">
      <c r="A458" t="inlineStr">
        <is>
          <t>GMKRW2</t>
        </is>
      </c>
      <c r="C458" s="89" t="inlineStr">
        <is>
          <t>Huawei</t>
        </is>
      </c>
      <c r="F458" t="n">
        <v>7.082</v>
      </c>
      <c r="G458" t="n">
        <v>79.9726</v>
      </c>
      <c r="H458" t="inlineStr">
        <is>
          <t>GMKRW2Q</t>
        </is>
      </c>
      <c r="J458" s="91">
        <f>RIGHT(H458,1)</f>
        <v/>
      </c>
      <c r="K458" t="inlineStr">
        <is>
          <t>S2</t>
        </is>
      </c>
      <c r="L458" s="91" t="inlineStr">
        <is>
          <t>2G</t>
        </is>
      </c>
      <c r="M458" t="n">
        <v>1800</v>
      </c>
      <c r="N458" s="91" t="inlineStr">
        <is>
          <t>AQU4518R9v06</t>
        </is>
      </c>
      <c r="P458" t="n">
        <v>220</v>
      </c>
      <c r="R458" s="92" t="n">
        <v>2</v>
      </c>
      <c r="AB458" s="91" t="inlineStr">
        <is>
          <t>R9264H M901821</t>
        </is>
      </c>
      <c r="AC458" s="91" t="inlineStr">
        <is>
          <t>R9264H M901821*3+R9254E S8500*2</t>
        </is>
      </c>
      <c r="AD458" s="91">
        <f>_xlfn.XLOOKUP(AE458,[4]透视表!$G:$G,[4]透视表!$E:$E)</f>
        <v/>
      </c>
      <c r="AE458" s="91">
        <f>A458&amp;K458</f>
        <v/>
      </c>
      <c r="AL458" s="91" t="inlineStr">
        <is>
          <t>高优先级</t>
        </is>
      </c>
    </row>
    <row r="459" hidden="1" ht="15" customHeight="1" s="99">
      <c r="A459" t="inlineStr">
        <is>
          <t>GMKRW2</t>
        </is>
      </c>
      <c r="B459" t="inlineStr">
        <is>
          <t>GMKRW2_GUL00_Kirindiwita2_IP_Gm</t>
        </is>
      </c>
      <c r="C459" s="89" t="inlineStr">
        <is>
          <t>Huawei</t>
        </is>
      </c>
      <c r="F459" t="n">
        <v>7.082</v>
      </c>
      <c r="G459" t="n">
        <v>79.9726</v>
      </c>
      <c r="H459" t="inlineStr">
        <is>
          <t>GMKRW2-M-L85-B1</t>
        </is>
      </c>
      <c r="J459" s="91">
        <f>LEFT(RIGHT(H459,2),1)</f>
        <v/>
      </c>
      <c r="K459" s="91">
        <f>_xlfn.XLOOKUP(J459,#REF!,#REF!)</f>
        <v/>
      </c>
      <c r="L459" s="91" t="inlineStr">
        <is>
          <t>4G</t>
        </is>
      </c>
      <c r="M459" s="91" t="n">
        <v>850</v>
      </c>
      <c r="N459" s="91" t="inlineStr">
        <is>
          <t>AQU4518R9v06</t>
        </is>
      </c>
      <c r="O459" s="92" t="n">
        <v>50</v>
      </c>
      <c r="P459" t="n">
        <v>220</v>
      </c>
      <c r="R459" s="92" t="n">
        <v>0</v>
      </c>
      <c r="Y459" t="inlineStr">
        <is>
          <t>2T2R</t>
        </is>
      </c>
      <c r="AB459" s="91" t="inlineStr">
        <is>
          <t>R9254E S8500</t>
        </is>
      </c>
      <c r="AC459" s="91" t="inlineStr">
        <is>
          <t>R9264H M901821*3+R9254E S8500*2</t>
        </is>
      </c>
      <c r="AD459" s="91">
        <f>_xlfn.XLOOKUP(AE459,[4]透视表!$G:$G,[4]透视表!$D:$D)</f>
        <v/>
      </c>
      <c r="AE459" s="91">
        <f>A459&amp;K459</f>
        <v/>
      </c>
      <c r="AL459" s="91" t="inlineStr">
        <is>
          <t>高优先级</t>
        </is>
      </c>
    </row>
    <row r="460" hidden="1" ht="15" customHeight="1" s="99">
      <c r="A460" t="inlineStr">
        <is>
          <t>GMKRW2</t>
        </is>
      </c>
      <c r="B460" t="inlineStr">
        <is>
          <t>GMKRW2_GUL00_Kirindiwita2_IP_Gm</t>
        </is>
      </c>
      <c r="C460" s="89" t="inlineStr">
        <is>
          <t>Huawei</t>
        </is>
      </c>
      <c r="F460" t="n">
        <v>7.082</v>
      </c>
      <c r="G460" t="n">
        <v>79.9726</v>
      </c>
      <c r="H460" t="inlineStr">
        <is>
          <t>GMKRW2H</t>
        </is>
      </c>
      <c r="J460" s="91">
        <f>RIGHT(H460,1)</f>
        <v/>
      </c>
      <c r="K460" s="91">
        <f>_xlfn.XLOOKUP(J460,#REF!,#REF!)</f>
        <v/>
      </c>
      <c r="L460" s="91" t="inlineStr">
        <is>
          <t>4G</t>
        </is>
      </c>
      <c r="M460" s="91" t="n">
        <v>1800</v>
      </c>
      <c r="N460" s="91" t="inlineStr">
        <is>
          <t>AQU4518R9v06</t>
        </is>
      </c>
      <c r="O460" s="92" t="n">
        <v>50</v>
      </c>
      <c r="P460" t="n">
        <v>220</v>
      </c>
      <c r="R460" s="92" t="n">
        <v>0</v>
      </c>
      <c r="Y460" t="inlineStr">
        <is>
          <t>4T4R</t>
        </is>
      </c>
      <c r="AB460" s="91" t="inlineStr">
        <is>
          <t>R9264H M901821</t>
        </is>
      </c>
      <c r="AC460" s="91" t="inlineStr">
        <is>
          <t>R9264H M901821*3+R9254E S8500*2</t>
        </is>
      </c>
      <c r="AD460" s="91">
        <f>_xlfn.XLOOKUP(AE460,[4]透视表!$G:$G,[4]透视表!$E:$E)</f>
        <v/>
      </c>
      <c r="AE460" s="91">
        <f>A460&amp;K460</f>
        <v/>
      </c>
      <c r="AL460" s="91" t="inlineStr">
        <is>
          <t>高优先级</t>
        </is>
      </c>
    </row>
    <row r="461" hidden="1" ht="15" customHeight="1" s="99">
      <c r="A461" t="inlineStr">
        <is>
          <t>GMKRW2</t>
        </is>
      </c>
      <c r="B461" t="inlineStr">
        <is>
          <t>GMKRW2_GUL00_Kirindiwita2_IP_Gm</t>
        </is>
      </c>
      <c r="C461" s="89" t="inlineStr">
        <is>
          <t>Huawei</t>
        </is>
      </c>
      <c r="F461" t="n">
        <v>7.082</v>
      </c>
      <c r="G461" t="n">
        <v>79.9726</v>
      </c>
      <c r="H461" t="inlineStr">
        <is>
          <t>GMKRW2-M-L21-B2</t>
        </is>
      </c>
      <c r="J461" s="91">
        <f>LEFT(RIGHT(H461,2),1)</f>
        <v/>
      </c>
      <c r="K461" s="91">
        <f>_xlfn.XLOOKUP(J461,#REF!,#REF!)</f>
        <v/>
      </c>
      <c r="L461" s="91" t="inlineStr">
        <is>
          <t>4G</t>
        </is>
      </c>
      <c r="M461" s="91" t="n">
        <v>2100</v>
      </c>
      <c r="N461" s="91" t="inlineStr">
        <is>
          <t>AQU4518R9v06</t>
        </is>
      </c>
      <c r="O461" s="92" t="n">
        <v>50</v>
      </c>
      <c r="P461" t="n">
        <v>220</v>
      </c>
      <c r="R461" s="92" t="n">
        <v>0</v>
      </c>
      <c r="Y461" t="inlineStr">
        <is>
          <t>2T2R</t>
        </is>
      </c>
      <c r="AB461" s="91" t="inlineStr">
        <is>
          <t>R9264H M901821</t>
        </is>
      </c>
      <c r="AC461" s="91" t="inlineStr">
        <is>
          <t>R9264H M901821*3+R9254E S8500*2</t>
        </is>
      </c>
      <c r="AD461" s="91">
        <f>_xlfn.XLOOKUP(AE461,[4]透视表!$G:$G,[4]透视表!$F:$F)</f>
        <v/>
      </c>
      <c r="AE461" s="91">
        <f>A461&amp;K461</f>
        <v/>
      </c>
      <c r="AL461" s="91" t="inlineStr">
        <is>
          <t>高优先级</t>
        </is>
      </c>
    </row>
    <row r="462" hidden="1" ht="15" customHeight="1" s="99">
      <c r="A462" t="inlineStr">
        <is>
          <t>GMKRW2</t>
        </is>
      </c>
      <c r="C462" s="89" t="inlineStr">
        <is>
          <t>Huawei</t>
        </is>
      </c>
      <c r="F462" t="n">
        <v>7.082</v>
      </c>
      <c r="G462" t="n">
        <v>79.9726</v>
      </c>
      <c r="H462" t="inlineStr">
        <is>
          <t>GMKRW2C</t>
        </is>
      </c>
      <c r="J462" s="91">
        <f>RIGHT(H462,1)</f>
        <v/>
      </c>
      <c r="K462" t="inlineStr">
        <is>
          <t>S3</t>
        </is>
      </c>
      <c r="L462" s="91" t="inlineStr">
        <is>
          <t>2G</t>
        </is>
      </c>
      <c r="M462" t="n">
        <v>900</v>
      </c>
      <c r="N462" s="91" t="inlineStr">
        <is>
          <t>AQU4518R9v06</t>
        </is>
      </c>
      <c r="P462" t="n">
        <v>310</v>
      </c>
      <c r="R462" s="92" t="n">
        <v>2</v>
      </c>
      <c r="AB462" s="91" t="inlineStr">
        <is>
          <t>R9264H M901821</t>
        </is>
      </c>
      <c r="AC462" s="91" t="inlineStr">
        <is>
          <t>R9264H M901821*3+R9254E S8500*2</t>
        </is>
      </c>
      <c r="AD462" s="91">
        <f>_xlfn.XLOOKUP(AE462,[4]透视表!$G:$G,[4]透视表!$D:$D)</f>
        <v/>
      </c>
      <c r="AE462" s="91">
        <f>A462&amp;K462</f>
        <v/>
      </c>
      <c r="AL462" s="91" t="inlineStr">
        <is>
          <t>高优先级</t>
        </is>
      </c>
    </row>
    <row r="463" hidden="1" ht="15" customHeight="1" s="99">
      <c r="A463" t="inlineStr">
        <is>
          <t>GMKRW2</t>
        </is>
      </c>
      <c r="C463" s="89" t="inlineStr">
        <is>
          <t>Huawei</t>
        </is>
      </c>
      <c r="F463" t="n">
        <v>7.082</v>
      </c>
      <c r="G463" t="n">
        <v>79.9726</v>
      </c>
      <c r="H463" t="inlineStr">
        <is>
          <t>GMKRW2R</t>
        </is>
      </c>
      <c r="J463" s="91">
        <f>RIGHT(H463,1)</f>
        <v/>
      </c>
      <c r="K463" t="inlineStr">
        <is>
          <t>S3</t>
        </is>
      </c>
      <c r="L463" s="91" t="inlineStr">
        <is>
          <t>2G</t>
        </is>
      </c>
      <c r="M463" t="n">
        <v>1800</v>
      </c>
      <c r="N463" s="91" t="inlineStr">
        <is>
          <t>AQU4518R9v06</t>
        </is>
      </c>
      <c r="P463" t="n">
        <v>310</v>
      </c>
      <c r="R463" s="92" t="n">
        <v>2</v>
      </c>
      <c r="AB463" s="91" t="inlineStr">
        <is>
          <t>R9264H M901821</t>
        </is>
      </c>
      <c r="AC463" s="91" t="inlineStr">
        <is>
          <t>R9264H M901821*3+R9254E S8500*2</t>
        </is>
      </c>
      <c r="AD463" s="91">
        <f>_xlfn.XLOOKUP(AE463,[4]透视表!$G:$G,[4]透视表!$E:$E)</f>
        <v/>
      </c>
      <c r="AE463" s="91">
        <f>A463&amp;K463</f>
        <v/>
      </c>
      <c r="AL463" s="91" t="inlineStr">
        <is>
          <t>高优先级</t>
        </is>
      </c>
    </row>
    <row r="464" hidden="1" ht="15" customHeight="1" s="99">
      <c r="A464" t="inlineStr">
        <is>
          <t>GMKRW2</t>
        </is>
      </c>
      <c r="B464" t="inlineStr">
        <is>
          <t>GMKRW2_GUL00_Kirindiwita2_IP_Gm</t>
        </is>
      </c>
      <c r="C464" s="89" t="inlineStr">
        <is>
          <t>Huawei</t>
        </is>
      </c>
      <c r="F464" t="n">
        <v>7.082</v>
      </c>
      <c r="G464" t="n">
        <v>79.9726</v>
      </c>
      <c r="H464" t="inlineStr">
        <is>
          <t>GMKRW2-M-L85-C1</t>
        </is>
      </c>
      <c r="J464" s="91">
        <f>LEFT(RIGHT(H464,2),1)</f>
        <v/>
      </c>
      <c r="K464" s="91">
        <f>_xlfn.XLOOKUP(J464,#REF!,#REF!)</f>
        <v/>
      </c>
      <c r="L464" s="91" t="inlineStr">
        <is>
          <t>4G</t>
        </is>
      </c>
      <c r="M464" s="91" t="n">
        <v>850</v>
      </c>
      <c r="N464" s="91" t="inlineStr">
        <is>
          <t>AQU4518R9v06</t>
        </is>
      </c>
      <c r="O464" s="92" t="n">
        <v>50</v>
      </c>
      <c r="P464" t="n">
        <v>310</v>
      </c>
      <c r="R464" s="92" t="n">
        <v>0</v>
      </c>
      <c r="Y464" t="inlineStr">
        <is>
          <t>2T2R</t>
        </is>
      </c>
      <c r="AB464" s="91" t="inlineStr">
        <is>
          <t>R9254E S8500</t>
        </is>
      </c>
      <c r="AC464" s="91" t="inlineStr">
        <is>
          <t>R9264H M901821*3+R9254E S8500*2</t>
        </is>
      </c>
      <c r="AD464" s="91">
        <f>_xlfn.XLOOKUP(AE464,[4]透视表!$G:$G,[4]透视表!$D:$D)</f>
        <v/>
      </c>
      <c r="AE464" s="91">
        <f>A464&amp;K464</f>
        <v/>
      </c>
      <c r="AL464" s="91" t="inlineStr">
        <is>
          <t>高优先级</t>
        </is>
      </c>
    </row>
    <row r="465" hidden="1" ht="15" customHeight="1" s="99">
      <c r="A465" t="inlineStr">
        <is>
          <t>GMKRW2</t>
        </is>
      </c>
      <c r="B465" t="inlineStr">
        <is>
          <t>GMKRW2_GUL00_Kirindiwita2_IP_Gm</t>
        </is>
      </c>
      <c r="C465" s="89" t="inlineStr">
        <is>
          <t>Huawei</t>
        </is>
      </c>
      <c r="F465" t="n">
        <v>7.082</v>
      </c>
      <c r="G465" t="n">
        <v>79.9726</v>
      </c>
      <c r="H465" t="inlineStr">
        <is>
          <t>GMKRW2I</t>
        </is>
      </c>
      <c r="J465" s="91">
        <f>RIGHT(H465,1)</f>
        <v/>
      </c>
      <c r="K465" s="91">
        <f>_xlfn.XLOOKUP(J465,#REF!,#REF!)</f>
        <v/>
      </c>
      <c r="L465" s="91" t="inlineStr">
        <is>
          <t>4G</t>
        </is>
      </c>
      <c r="M465" s="91" t="n">
        <v>1800</v>
      </c>
      <c r="N465" s="91" t="inlineStr">
        <is>
          <t>AQU4518R9v06</t>
        </is>
      </c>
      <c r="O465" s="92" t="n">
        <v>50</v>
      </c>
      <c r="P465" t="n">
        <v>310</v>
      </c>
      <c r="R465" s="92" t="n">
        <v>0</v>
      </c>
      <c r="Y465" t="inlineStr">
        <is>
          <t>4T4R</t>
        </is>
      </c>
      <c r="AB465" s="91" t="inlineStr">
        <is>
          <t>R9264H M901821</t>
        </is>
      </c>
      <c r="AC465" s="91" t="inlineStr">
        <is>
          <t>R9264H M901821*3+R9254E S8500*2</t>
        </is>
      </c>
      <c r="AD465" s="91">
        <f>_xlfn.XLOOKUP(AE465,[4]透视表!$G:$G,[4]透视表!$E:$E)</f>
        <v/>
      </c>
      <c r="AE465" s="91">
        <f>A465&amp;K465</f>
        <v/>
      </c>
      <c r="AL465" s="91" t="inlineStr">
        <is>
          <t>高优先级</t>
        </is>
      </c>
    </row>
    <row r="466" hidden="1" ht="15" customHeight="1" s="99">
      <c r="A466" t="inlineStr">
        <is>
          <t>GMKRW2</t>
        </is>
      </c>
      <c r="B466" t="inlineStr">
        <is>
          <t>GMKRW2_GUL00_Kirindiwita2_IP_Gm</t>
        </is>
      </c>
      <c r="C466" s="89" t="inlineStr">
        <is>
          <t>Huawei</t>
        </is>
      </c>
      <c r="F466" t="n">
        <v>7.082</v>
      </c>
      <c r="G466" t="n">
        <v>79.9726</v>
      </c>
      <c r="H466" t="inlineStr">
        <is>
          <t>GMKRW2-M-L21-C2</t>
        </is>
      </c>
      <c r="J466" s="91">
        <f>LEFT(RIGHT(H466,2),1)</f>
        <v/>
      </c>
      <c r="K466" s="91">
        <f>_xlfn.XLOOKUP(J466,#REF!,#REF!)</f>
        <v/>
      </c>
      <c r="L466" s="91" t="inlineStr">
        <is>
          <t>4G</t>
        </is>
      </c>
      <c r="M466" s="91" t="n">
        <v>2100</v>
      </c>
      <c r="N466" s="91" t="inlineStr">
        <is>
          <t>AQU4518R9v06</t>
        </is>
      </c>
      <c r="O466" s="92" t="n">
        <v>50</v>
      </c>
      <c r="P466" t="n">
        <v>310</v>
      </c>
      <c r="R466" s="92" t="n">
        <v>0</v>
      </c>
      <c r="Y466" t="inlineStr">
        <is>
          <t>2T2R</t>
        </is>
      </c>
      <c r="AB466" s="91" t="inlineStr">
        <is>
          <t>R9264H M901821</t>
        </is>
      </c>
      <c r="AC466" s="91" t="inlineStr">
        <is>
          <t>R9264H M901821*3+R9254E S8500*2</t>
        </is>
      </c>
      <c r="AD466" s="91">
        <f>_xlfn.XLOOKUP(AE466,[4]透视表!$G:$G,[4]透视表!$F:$F)</f>
        <v/>
      </c>
      <c r="AE466" s="91">
        <f>A466&amp;K466</f>
        <v/>
      </c>
      <c r="AL466" s="91" t="inlineStr">
        <is>
          <t>高优先级</t>
        </is>
      </c>
    </row>
    <row r="467" hidden="1" ht="15" customHeight="1" s="99">
      <c r="A467" t="inlineStr">
        <is>
          <t>GMMAN1</t>
        </is>
      </c>
      <c r="C467" s="89" t="inlineStr">
        <is>
          <t>Huawei</t>
        </is>
      </c>
      <c r="F467" t="n">
        <v>7.10315</v>
      </c>
      <c r="G467" t="n">
        <v>80.0707</v>
      </c>
      <c r="H467" t="inlineStr">
        <is>
          <t>GMMAN1A</t>
        </is>
      </c>
      <c r="J467" s="91">
        <f>RIGHT(H467,1)</f>
        <v/>
      </c>
      <c r="K467" t="inlineStr">
        <is>
          <t>S1</t>
        </is>
      </c>
      <c r="L467" s="91" t="inlineStr">
        <is>
          <t>2G</t>
        </is>
      </c>
      <c r="M467" t="n">
        <v>900</v>
      </c>
      <c r="N467" s="91" t="e">
        <v>#N/A</v>
      </c>
      <c r="P467" t="n">
        <v>30</v>
      </c>
      <c r="R467" s="92" t="n">
        <v>2</v>
      </c>
      <c r="AB467" s="91" t="inlineStr">
        <is>
          <t>R9264H M901821</t>
        </is>
      </c>
      <c r="AC467" s="91" t="inlineStr">
        <is>
          <t>R9264H M901821*3+R9254E S8500*2</t>
        </is>
      </c>
      <c r="AD467" s="91">
        <f>_xlfn.XLOOKUP(AE467,[4]透视表!$G:$G,[4]透视表!$D:$D)</f>
        <v/>
      </c>
      <c r="AE467" s="91">
        <f>A467&amp;K467</f>
        <v/>
      </c>
      <c r="AL467" s="91" t="inlineStr">
        <is>
          <t>高优先级</t>
        </is>
      </c>
    </row>
    <row r="468" hidden="1" ht="15" customHeight="1" s="99">
      <c r="A468" t="inlineStr">
        <is>
          <t>GMMAN1</t>
        </is>
      </c>
      <c r="C468" s="89" t="inlineStr">
        <is>
          <t>Huawei</t>
        </is>
      </c>
      <c r="F468" t="n">
        <v>7.10315</v>
      </c>
      <c r="G468" t="n">
        <v>80.0707</v>
      </c>
      <c r="H468" t="inlineStr">
        <is>
          <t>GMMAN1P</t>
        </is>
      </c>
      <c r="J468" s="91">
        <f>RIGHT(H468,1)</f>
        <v/>
      </c>
      <c r="K468" t="inlineStr">
        <is>
          <t>S1</t>
        </is>
      </c>
      <c r="L468" s="91" t="inlineStr">
        <is>
          <t>2G</t>
        </is>
      </c>
      <c r="M468" t="n">
        <v>1800</v>
      </c>
      <c r="N468" s="91" t="e">
        <v>#N/A</v>
      </c>
      <c r="P468" t="n">
        <v>30</v>
      </c>
      <c r="R468" s="92" t="n">
        <v>2</v>
      </c>
      <c r="AB468" s="91" t="inlineStr">
        <is>
          <t>R9264H M901821</t>
        </is>
      </c>
      <c r="AC468" s="91" t="inlineStr">
        <is>
          <t>R9264H M901821*3+R9254E S8500*2</t>
        </is>
      </c>
      <c r="AD468" s="91">
        <f>_xlfn.XLOOKUP(AE468,[4]透视表!$G:$G,[4]透视表!$E:$E)</f>
        <v/>
      </c>
      <c r="AE468" s="91">
        <f>A468&amp;K468</f>
        <v/>
      </c>
      <c r="AL468" s="91" t="inlineStr">
        <is>
          <t>高优先级</t>
        </is>
      </c>
    </row>
    <row r="469" hidden="1" ht="15" customHeight="1" s="99">
      <c r="A469" t="inlineStr">
        <is>
          <t>GMMAN1</t>
        </is>
      </c>
      <c r="B469" t="inlineStr">
        <is>
          <t>GMMAN1_GUL00_Mangalathiriya_Gm</t>
        </is>
      </c>
      <c r="C469" s="89" t="inlineStr">
        <is>
          <t>Huawei</t>
        </is>
      </c>
      <c r="F469" t="n">
        <v>7.10315</v>
      </c>
      <c r="G469" t="n">
        <v>80.0707</v>
      </c>
      <c r="H469" t="inlineStr">
        <is>
          <t>GMMAN1-M-L85-A1</t>
        </is>
      </c>
      <c r="J469" s="91">
        <f>LEFT(RIGHT(H469,2),1)</f>
        <v/>
      </c>
      <c r="K469" s="91">
        <f>_xlfn.XLOOKUP(J469,#REF!,#REF!)</f>
        <v/>
      </c>
      <c r="L469" s="91" t="inlineStr">
        <is>
          <t>4G</t>
        </is>
      </c>
      <c r="M469" s="91" t="n">
        <v>850</v>
      </c>
      <c r="N469" s="91" t="e">
        <v>#N/A</v>
      </c>
      <c r="O469" s="92" t="n">
        <v>60</v>
      </c>
      <c r="P469" t="n">
        <v>30</v>
      </c>
      <c r="R469" s="92" t="n">
        <v>0</v>
      </c>
      <c r="Y469" t="inlineStr">
        <is>
          <t>2T2R</t>
        </is>
      </c>
      <c r="AB469" s="91" t="inlineStr">
        <is>
          <t>R9254E S8500</t>
        </is>
      </c>
      <c r="AC469" s="91" t="inlineStr">
        <is>
          <t>R9264H M901821*3+R9254E S8500*2</t>
        </is>
      </c>
      <c r="AD469" s="91">
        <f>_xlfn.XLOOKUP(AE469,[4]透视表!$G:$G,[4]透视表!$D:$D)</f>
        <v/>
      </c>
      <c r="AE469" s="91">
        <f>A469&amp;K469</f>
        <v/>
      </c>
      <c r="AL469" s="91" t="inlineStr">
        <is>
          <t>高优先级</t>
        </is>
      </c>
    </row>
    <row r="470" hidden="1" ht="15" customHeight="1" s="99">
      <c r="A470" t="inlineStr">
        <is>
          <t>GMMAN1</t>
        </is>
      </c>
      <c r="B470" t="inlineStr">
        <is>
          <t>GMMAN1_GUL00_Mangalathiriya_Gm</t>
        </is>
      </c>
      <c r="C470" s="89" t="inlineStr">
        <is>
          <t>Huawei</t>
        </is>
      </c>
      <c r="F470" t="n">
        <v>7.10315</v>
      </c>
      <c r="G470" t="n">
        <v>80.0707</v>
      </c>
      <c r="H470" t="inlineStr">
        <is>
          <t>GMMAN1G</t>
        </is>
      </c>
      <c r="J470" s="91">
        <f>RIGHT(H470,1)</f>
        <v/>
      </c>
      <c r="K470" s="91">
        <f>_xlfn.XLOOKUP(J470,#REF!,#REF!)</f>
        <v/>
      </c>
      <c r="L470" s="91" t="inlineStr">
        <is>
          <t>4G</t>
        </is>
      </c>
      <c r="M470" s="91" t="n">
        <v>1800</v>
      </c>
      <c r="N470" s="91" t="e">
        <v>#N/A</v>
      </c>
      <c r="O470" s="92" t="n">
        <v>60</v>
      </c>
      <c r="P470" t="n">
        <v>30</v>
      </c>
      <c r="R470" s="92" t="n">
        <v>0</v>
      </c>
      <c r="Y470" t="inlineStr">
        <is>
          <t>2T2R</t>
        </is>
      </c>
      <c r="AB470" s="91" t="inlineStr">
        <is>
          <t>R9264H M901821</t>
        </is>
      </c>
      <c r="AC470" s="91" t="inlineStr">
        <is>
          <t>R9264H M901821*3+R9254E S8500*2</t>
        </is>
      </c>
      <c r="AD470" s="91">
        <f>_xlfn.XLOOKUP(AE470,[4]透视表!$G:$G,[4]透视表!$E:$E)</f>
        <v/>
      </c>
      <c r="AE470" s="91">
        <f>A470&amp;K470</f>
        <v/>
      </c>
      <c r="AL470" s="91" t="inlineStr">
        <is>
          <t>高优先级</t>
        </is>
      </c>
    </row>
    <row r="471" hidden="1" ht="15" customHeight="1" s="99">
      <c r="A471" t="inlineStr">
        <is>
          <t>GMMAN1</t>
        </is>
      </c>
      <c r="B471" t="inlineStr">
        <is>
          <t>GMMAN1_GUL00_Mangalathiriya_Gm</t>
        </is>
      </c>
      <c r="C471" s="89" t="inlineStr">
        <is>
          <t>Huawei</t>
        </is>
      </c>
      <c r="F471" t="n">
        <v>7.10315</v>
      </c>
      <c r="G471" t="n">
        <v>80.0707</v>
      </c>
      <c r="H471" t="inlineStr">
        <is>
          <t>GMMAN1-M-L21-A2</t>
        </is>
      </c>
      <c r="J471" s="91">
        <f>LEFT(RIGHT(H471,2),1)</f>
        <v/>
      </c>
      <c r="K471" s="91">
        <f>_xlfn.XLOOKUP(J471,#REF!,#REF!)</f>
        <v/>
      </c>
      <c r="L471" s="91" t="inlineStr">
        <is>
          <t>4G</t>
        </is>
      </c>
      <c r="M471" s="91" t="n">
        <v>2100</v>
      </c>
      <c r="N471" s="91" t="e">
        <v>#N/A</v>
      </c>
      <c r="O471" s="92" t="n">
        <v>60</v>
      </c>
      <c r="P471" t="n">
        <v>30</v>
      </c>
      <c r="R471" s="92" t="n">
        <v>0</v>
      </c>
      <c r="Y471" t="inlineStr">
        <is>
          <t>2T2R</t>
        </is>
      </c>
      <c r="AB471" s="91" t="inlineStr">
        <is>
          <t>R9264H M901821</t>
        </is>
      </c>
      <c r="AC471" s="91" t="inlineStr">
        <is>
          <t>R9264H M901821*3+R9254E S8500*2</t>
        </is>
      </c>
      <c r="AD471" s="91">
        <f>_xlfn.XLOOKUP(AE471,[4]透视表!$G:$G,[4]透视表!$F:$F)</f>
        <v/>
      </c>
      <c r="AE471" s="91">
        <f>A471&amp;K471</f>
        <v/>
      </c>
      <c r="AL471" s="91" t="inlineStr">
        <is>
          <t>高优先级</t>
        </is>
      </c>
    </row>
    <row r="472" hidden="1" ht="15" customHeight="1" s="99">
      <c r="A472" t="inlineStr">
        <is>
          <t>GMMAN1</t>
        </is>
      </c>
      <c r="C472" s="89" t="inlineStr">
        <is>
          <t>Huawei</t>
        </is>
      </c>
      <c r="F472" t="n">
        <v>7.10315</v>
      </c>
      <c r="G472" t="n">
        <v>80.0707</v>
      </c>
      <c r="H472" t="inlineStr">
        <is>
          <t>GMMAN1B</t>
        </is>
      </c>
      <c r="J472" s="91">
        <f>RIGHT(H472,1)</f>
        <v/>
      </c>
      <c r="K472" t="inlineStr">
        <is>
          <t>S2</t>
        </is>
      </c>
      <c r="L472" s="91" t="inlineStr">
        <is>
          <t>2G</t>
        </is>
      </c>
      <c r="M472" t="n">
        <v>900</v>
      </c>
      <c r="N472" s="91" t="e">
        <v>#N/A</v>
      </c>
      <c r="P472" t="n">
        <v>210</v>
      </c>
      <c r="R472" s="92" t="n">
        <v>2</v>
      </c>
      <c r="AB472" s="91" t="inlineStr">
        <is>
          <t>R9264H M901821</t>
        </is>
      </c>
      <c r="AC472" s="91" t="inlineStr">
        <is>
          <t>R9264H M901821*3+R9254E S8500*2</t>
        </is>
      </c>
      <c r="AD472" s="91">
        <f>_xlfn.XLOOKUP(AE472,[4]透视表!$G:$G,[4]透视表!$D:$D)</f>
        <v/>
      </c>
      <c r="AE472" s="91">
        <f>A472&amp;K472</f>
        <v/>
      </c>
      <c r="AL472" s="91" t="inlineStr">
        <is>
          <t>高优先级</t>
        </is>
      </c>
    </row>
    <row r="473" hidden="1" ht="15" customHeight="1" s="99">
      <c r="A473" t="inlineStr">
        <is>
          <t>GMMAN1</t>
        </is>
      </c>
      <c r="C473" s="89" t="inlineStr">
        <is>
          <t>Huawei</t>
        </is>
      </c>
      <c r="F473" t="n">
        <v>7.10315</v>
      </c>
      <c r="G473" t="n">
        <v>80.0707</v>
      </c>
      <c r="H473" t="inlineStr">
        <is>
          <t>GMMAN1Q</t>
        </is>
      </c>
      <c r="J473" s="91">
        <f>RIGHT(H473,1)</f>
        <v/>
      </c>
      <c r="K473" t="inlineStr">
        <is>
          <t>S2</t>
        </is>
      </c>
      <c r="L473" s="91" t="inlineStr">
        <is>
          <t>2G</t>
        </is>
      </c>
      <c r="M473" t="n">
        <v>1800</v>
      </c>
      <c r="N473" s="91" t="e">
        <v>#N/A</v>
      </c>
      <c r="P473" t="n">
        <v>210</v>
      </c>
      <c r="R473" s="92" t="n">
        <v>2</v>
      </c>
      <c r="AB473" s="91" t="inlineStr">
        <is>
          <t>R9264H M901821</t>
        </is>
      </c>
      <c r="AC473" s="91" t="inlineStr">
        <is>
          <t>R9264H M901821*3+R9254E S8500*2</t>
        </is>
      </c>
      <c r="AD473" s="91">
        <f>_xlfn.XLOOKUP(AE473,[4]透视表!$G:$G,[4]透视表!$E:$E)</f>
        <v/>
      </c>
      <c r="AE473" s="91">
        <f>A473&amp;K473</f>
        <v/>
      </c>
      <c r="AL473" s="91" t="inlineStr">
        <is>
          <t>高优先级</t>
        </is>
      </c>
    </row>
    <row r="474" hidden="1" ht="15" customHeight="1" s="99">
      <c r="A474" t="inlineStr">
        <is>
          <t>GMMAN1</t>
        </is>
      </c>
      <c r="B474" t="inlineStr">
        <is>
          <t>GMMAN1_GUL00_Mangalathiriya_Gm</t>
        </is>
      </c>
      <c r="C474" s="89" t="inlineStr">
        <is>
          <t>Huawei</t>
        </is>
      </c>
      <c r="F474" t="n">
        <v>7.10315</v>
      </c>
      <c r="G474" t="n">
        <v>80.0707</v>
      </c>
      <c r="H474" t="inlineStr">
        <is>
          <t>GMMAN1-M-L85-B1</t>
        </is>
      </c>
      <c r="J474" s="91">
        <f>LEFT(RIGHT(H474,2),1)</f>
        <v/>
      </c>
      <c r="K474" s="91">
        <f>_xlfn.XLOOKUP(J474,#REF!,#REF!)</f>
        <v/>
      </c>
      <c r="L474" s="91" t="inlineStr">
        <is>
          <t>4G</t>
        </is>
      </c>
      <c r="M474" s="91" t="n">
        <v>850</v>
      </c>
      <c r="N474" s="91" t="e">
        <v>#N/A</v>
      </c>
      <c r="O474" s="92" t="n">
        <v>60</v>
      </c>
      <c r="P474" t="n">
        <v>210</v>
      </c>
      <c r="R474" s="92" t="n">
        <v>0</v>
      </c>
      <c r="Y474" t="inlineStr">
        <is>
          <t>2T2R</t>
        </is>
      </c>
      <c r="AB474" s="91" t="inlineStr">
        <is>
          <t>R9254E S8500</t>
        </is>
      </c>
      <c r="AC474" s="91" t="inlineStr">
        <is>
          <t>R9264H M901821*3+R9254E S8500*2</t>
        </is>
      </c>
      <c r="AD474" s="91">
        <f>_xlfn.XLOOKUP(AE474,[4]透视表!$G:$G,[4]透视表!$D:$D)</f>
        <v/>
      </c>
      <c r="AE474" s="91">
        <f>A474&amp;K474</f>
        <v/>
      </c>
      <c r="AL474" s="91" t="inlineStr">
        <is>
          <t>高优先级</t>
        </is>
      </c>
    </row>
    <row r="475" hidden="1" ht="15" customHeight="1" s="99">
      <c r="A475" t="inlineStr">
        <is>
          <t>GMMAN1</t>
        </is>
      </c>
      <c r="B475" t="inlineStr">
        <is>
          <t>GMMAN1_GUL00_Mangalathiriya_Gm</t>
        </is>
      </c>
      <c r="C475" s="89" t="inlineStr">
        <is>
          <t>Huawei</t>
        </is>
      </c>
      <c r="F475" t="n">
        <v>7.10315</v>
      </c>
      <c r="G475" t="n">
        <v>80.0707</v>
      </c>
      <c r="H475" t="inlineStr">
        <is>
          <t>GMMAN1H</t>
        </is>
      </c>
      <c r="J475" s="91">
        <f>RIGHT(H475,1)</f>
        <v/>
      </c>
      <c r="K475" s="91">
        <f>_xlfn.XLOOKUP(J475,#REF!,#REF!)</f>
        <v/>
      </c>
      <c r="L475" s="91" t="inlineStr">
        <is>
          <t>4G</t>
        </is>
      </c>
      <c r="M475" s="91" t="n">
        <v>1800</v>
      </c>
      <c r="N475" s="91" t="e">
        <v>#N/A</v>
      </c>
      <c r="O475" s="92" t="n">
        <v>60</v>
      </c>
      <c r="P475" t="n">
        <v>210</v>
      </c>
      <c r="R475" s="92" t="n">
        <v>0</v>
      </c>
      <c r="Y475" t="inlineStr">
        <is>
          <t>2T2R</t>
        </is>
      </c>
      <c r="AB475" s="91" t="inlineStr">
        <is>
          <t>R9264H M901821</t>
        </is>
      </c>
      <c r="AC475" s="91" t="inlineStr">
        <is>
          <t>R9264H M901821*3+R9254E S8500*2</t>
        </is>
      </c>
      <c r="AD475" s="91">
        <f>_xlfn.XLOOKUP(AE475,[4]透视表!$G:$G,[4]透视表!$E:$E)</f>
        <v/>
      </c>
      <c r="AE475" s="91">
        <f>A475&amp;K475</f>
        <v/>
      </c>
      <c r="AL475" s="91" t="inlineStr">
        <is>
          <t>高优先级</t>
        </is>
      </c>
    </row>
    <row r="476" hidden="1" ht="15" customHeight="1" s="99">
      <c r="A476" t="inlineStr">
        <is>
          <t>GMMAN1</t>
        </is>
      </c>
      <c r="B476" t="inlineStr">
        <is>
          <t>GMMAN1_GUL00_Mangalathiriya_Gm</t>
        </is>
      </c>
      <c r="C476" s="89" t="inlineStr">
        <is>
          <t>Huawei</t>
        </is>
      </c>
      <c r="F476" t="n">
        <v>7.10315</v>
      </c>
      <c r="G476" t="n">
        <v>80.0707</v>
      </c>
      <c r="H476" t="inlineStr">
        <is>
          <t>GMMAN1-M-L21-B2</t>
        </is>
      </c>
      <c r="J476" s="91">
        <f>LEFT(RIGHT(H476,2),1)</f>
        <v/>
      </c>
      <c r="K476" s="91">
        <f>_xlfn.XLOOKUP(J476,#REF!,#REF!)</f>
        <v/>
      </c>
      <c r="L476" s="91" t="inlineStr">
        <is>
          <t>4G</t>
        </is>
      </c>
      <c r="M476" s="91" t="n">
        <v>2100</v>
      </c>
      <c r="N476" s="91" t="e">
        <v>#N/A</v>
      </c>
      <c r="O476" s="92" t="n">
        <v>60</v>
      </c>
      <c r="P476" t="n">
        <v>210</v>
      </c>
      <c r="R476" s="92" t="n">
        <v>0</v>
      </c>
      <c r="Y476" t="inlineStr">
        <is>
          <t>2T2R</t>
        </is>
      </c>
      <c r="AB476" s="91" t="inlineStr">
        <is>
          <t>R9264H M901821</t>
        </is>
      </c>
      <c r="AC476" s="91" t="inlineStr">
        <is>
          <t>R9264H M901821*3+R9254E S8500*2</t>
        </is>
      </c>
      <c r="AD476" s="91">
        <f>_xlfn.XLOOKUP(AE476,[4]透视表!$G:$G,[4]透视表!$F:$F)</f>
        <v/>
      </c>
      <c r="AE476" s="91">
        <f>A476&amp;K476</f>
        <v/>
      </c>
      <c r="AL476" s="91" t="inlineStr">
        <is>
          <t>高优先级</t>
        </is>
      </c>
    </row>
    <row r="477" hidden="1" ht="15" customHeight="1" s="99">
      <c r="A477" t="inlineStr">
        <is>
          <t>GMMAN1</t>
        </is>
      </c>
      <c r="C477" s="89" t="inlineStr">
        <is>
          <t>Huawei</t>
        </is>
      </c>
      <c r="F477" t="n">
        <v>7.10315</v>
      </c>
      <c r="G477" t="n">
        <v>80.0707</v>
      </c>
      <c r="H477" t="inlineStr">
        <is>
          <t>GMMAN1C</t>
        </is>
      </c>
      <c r="J477" s="91">
        <f>RIGHT(H477,1)</f>
        <v/>
      </c>
      <c r="K477" t="inlineStr">
        <is>
          <t>S3</t>
        </is>
      </c>
      <c r="L477" s="91" t="inlineStr">
        <is>
          <t>2G</t>
        </is>
      </c>
      <c r="M477" t="n">
        <v>900</v>
      </c>
      <c r="N477" s="91" t="e">
        <v>#N/A</v>
      </c>
      <c r="P477" t="n">
        <v>280</v>
      </c>
      <c r="R477" s="92" t="n">
        <v>2</v>
      </c>
      <c r="AB477" s="91" t="inlineStr">
        <is>
          <t>R9264H M901821</t>
        </is>
      </c>
      <c r="AC477" s="91" t="inlineStr">
        <is>
          <t>R9264H M901821*3+R9254E S8500*2</t>
        </is>
      </c>
      <c r="AD477" s="91">
        <f>_xlfn.XLOOKUP(AE477,[4]透视表!$G:$G,[4]透视表!$D:$D)</f>
        <v/>
      </c>
      <c r="AE477" s="91">
        <f>A477&amp;K477</f>
        <v/>
      </c>
      <c r="AL477" s="91" t="inlineStr">
        <is>
          <t>高优先级</t>
        </is>
      </c>
    </row>
    <row r="478" hidden="1" ht="15" customHeight="1" s="99">
      <c r="A478" t="inlineStr">
        <is>
          <t>GMMAN1</t>
        </is>
      </c>
      <c r="C478" s="89" t="inlineStr">
        <is>
          <t>Huawei</t>
        </is>
      </c>
      <c r="F478" t="n">
        <v>7.10315</v>
      </c>
      <c r="G478" t="n">
        <v>80.0707</v>
      </c>
      <c r="H478" t="inlineStr">
        <is>
          <t>GMMAN1R</t>
        </is>
      </c>
      <c r="J478" s="91">
        <f>RIGHT(H478,1)</f>
        <v/>
      </c>
      <c r="K478" t="inlineStr">
        <is>
          <t>S3</t>
        </is>
      </c>
      <c r="L478" s="91" t="inlineStr">
        <is>
          <t>2G</t>
        </is>
      </c>
      <c r="M478" t="n">
        <v>1800</v>
      </c>
      <c r="N478" s="91" t="e">
        <v>#N/A</v>
      </c>
      <c r="P478" t="n">
        <v>280</v>
      </c>
      <c r="R478" s="92" t="n">
        <v>2</v>
      </c>
      <c r="AB478" s="91" t="inlineStr">
        <is>
          <t>R9264H M901821</t>
        </is>
      </c>
      <c r="AC478" s="91" t="inlineStr">
        <is>
          <t>R9264H M901821*3+R9254E S8500*2</t>
        </is>
      </c>
      <c r="AD478" s="91">
        <f>_xlfn.XLOOKUP(AE478,[4]透视表!$G:$G,[4]透视表!$E:$E)</f>
        <v/>
      </c>
      <c r="AE478" s="91">
        <f>A478&amp;K478</f>
        <v/>
      </c>
      <c r="AL478" s="91" t="inlineStr">
        <is>
          <t>高优先级</t>
        </is>
      </c>
    </row>
    <row r="479" hidden="1" ht="15" customHeight="1" s="99">
      <c r="A479" t="inlineStr">
        <is>
          <t>GMMAN1</t>
        </is>
      </c>
      <c r="B479" t="inlineStr">
        <is>
          <t>GMMAN1_GUL00_Mangalathiriya_Gm</t>
        </is>
      </c>
      <c r="C479" s="89" t="inlineStr">
        <is>
          <t>Huawei</t>
        </is>
      </c>
      <c r="F479" t="n">
        <v>7.10315</v>
      </c>
      <c r="G479" t="n">
        <v>80.0707</v>
      </c>
      <c r="H479" t="inlineStr">
        <is>
          <t>GMMAN1-M-L85-C1</t>
        </is>
      </c>
      <c r="J479" s="91">
        <f>LEFT(RIGHT(H479,2),1)</f>
        <v/>
      </c>
      <c r="K479" s="91">
        <f>_xlfn.XLOOKUP(J479,#REF!,#REF!)</f>
        <v/>
      </c>
      <c r="L479" s="91" t="inlineStr">
        <is>
          <t>4G</t>
        </is>
      </c>
      <c r="M479" s="91" t="n">
        <v>850</v>
      </c>
      <c r="N479" s="91" t="e">
        <v>#N/A</v>
      </c>
      <c r="O479" s="92" t="n">
        <v>60</v>
      </c>
      <c r="P479" t="n">
        <v>280</v>
      </c>
      <c r="R479" s="92" t="n">
        <v>0</v>
      </c>
      <c r="Y479" t="inlineStr">
        <is>
          <t>2T2R</t>
        </is>
      </c>
      <c r="AB479" s="91" t="inlineStr">
        <is>
          <t>R9254E S8500</t>
        </is>
      </c>
      <c r="AC479" s="91" t="inlineStr">
        <is>
          <t>R9264H M901821*3+R9254E S8500*2</t>
        </is>
      </c>
      <c r="AD479" s="91">
        <f>_xlfn.XLOOKUP(AE479,[4]透视表!$G:$G,[4]透视表!$D:$D)</f>
        <v/>
      </c>
      <c r="AE479" s="91">
        <f>A479&amp;K479</f>
        <v/>
      </c>
      <c r="AL479" s="91" t="inlineStr">
        <is>
          <t>高优先级</t>
        </is>
      </c>
    </row>
    <row r="480" hidden="1" ht="15" customHeight="1" s="99">
      <c r="A480" t="inlineStr">
        <is>
          <t>GMMAN1</t>
        </is>
      </c>
      <c r="B480" t="inlineStr">
        <is>
          <t>GMMAN1_GUL00_Mangalathiriya_Gm</t>
        </is>
      </c>
      <c r="C480" s="89" t="inlineStr">
        <is>
          <t>Huawei</t>
        </is>
      </c>
      <c r="F480" t="n">
        <v>7.10315</v>
      </c>
      <c r="G480" t="n">
        <v>80.0707</v>
      </c>
      <c r="H480" t="inlineStr">
        <is>
          <t>GMMAN1I</t>
        </is>
      </c>
      <c r="J480" s="91">
        <f>RIGHT(H480,1)</f>
        <v/>
      </c>
      <c r="K480" s="91">
        <f>_xlfn.XLOOKUP(J480,#REF!,#REF!)</f>
        <v/>
      </c>
      <c r="L480" s="91" t="inlineStr">
        <is>
          <t>4G</t>
        </is>
      </c>
      <c r="M480" s="91" t="n">
        <v>1800</v>
      </c>
      <c r="N480" s="91" t="e">
        <v>#N/A</v>
      </c>
      <c r="O480" s="92" t="n">
        <v>60</v>
      </c>
      <c r="P480" t="n">
        <v>280</v>
      </c>
      <c r="R480" s="92" t="n">
        <v>0</v>
      </c>
      <c r="Y480" t="inlineStr">
        <is>
          <t>2T2R</t>
        </is>
      </c>
      <c r="AB480" s="91" t="inlineStr">
        <is>
          <t>R9264H M901821</t>
        </is>
      </c>
      <c r="AC480" s="91" t="inlineStr">
        <is>
          <t>R9264H M901821*3+R9254E S8500*2</t>
        </is>
      </c>
      <c r="AD480" s="91">
        <f>_xlfn.XLOOKUP(AE480,[4]透视表!$G:$G,[4]透视表!$E:$E)</f>
        <v/>
      </c>
      <c r="AE480" s="91">
        <f>A480&amp;K480</f>
        <v/>
      </c>
      <c r="AL480" s="91" t="inlineStr">
        <is>
          <t>高优先级</t>
        </is>
      </c>
    </row>
    <row r="481" hidden="1" ht="15" customHeight="1" s="99">
      <c r="A481" t="inlineStr">
        <is>
          <t>GMMAN1</t>
        </is>
      </c>
      <c r="B481" t="inlineStr">
        <is>
          <t>GMMAN1_GUL00_Mangalathiriya_Gm</t>
        </is>
      </c>
      <c r="C481" s="89" t="inlineStr">
        <is>
          <t>Huawei</t>
        </is>
      </c>
      <c r="F481" t="n">
        <v>7.10315</v>
      </c>
      <c r="G481" t="n">
        <v>80.0707</v>
      </c>
      <c r="H481" t="inlineStr">
        <is>
          <t>GMMAN1-M-L21-C2</t>
        </is>
      </c>
      <c r="J481" s="91">
        <f>LEFT(RIGHT(H481,2),1)</f>
        <v/>
      </c>
      <c r="K481" s="91">
        <f>_xlfn.XLOOKUP(J481,#REF!,#REF!)</f>
        <v/>
      </c>
      <c r="L481" s="91" t="inlineStr">
        <is>
          <t>4G</t>
        </is>
      </c>
      <c r="M481" s="91" t="n">
        <v>2100</v>
      </c>
      <c r="N481" s="91" t="e">
        <v>#N/A</v>
      </c>
      <c r="O481" s="92" t="n">
        <v>60</v>
      </c>
      <c r="P481" t="n">
        <v>280</v>
      </c>
      <c r="R481" s="92" t="n">
        <v>0</v>
      </c>
      <c r="Y481" t="inlineStr">
        <is>
          <t>2T2R</t>
        </is>
      </c>
      <c r="AB481" s="91" t="inlineStr">
        <is>
          <t>R9264H M901821</t>
        </is>
      </c>
      <c r="AC481" s="91" t="inlineStr">
        <is>
          <t>R9264H M901821*3+R9254E S8500*2</t>
        </is>
      </c>
      <c r="AD481" s="91">
        <f>_xlfn.XLOOKUP(AE481,[4]透视表!$G:$G,[4]透视表!$F:$F)</f>
        <v/>
      </c>
      <c r="AE481" s="91">
        <f>A481&amp;K481</f>
        <v/>
      </c>
      <c r="AL481" s="91" t="inlineStr">
        <is>
          <t>高优先级</t>
        </is>
      </c>
    </row>
    <row r="482" hidden="1" ht="15" customHeight="1" s="99">
      <c r="A482" t="inlineStr">
        <is>
          <t>GMMOR1</t>
        </is>
      </c>
      <c r="C482" s="89" t="inlineStr">
        <is>
          <t>Huawei</t>
        </is>
      </c>
      <c r="F482" t="n">
        <v>7.09456</v>
      </c>
      <c r="G482" t="n">
        <v>80.0498</v>
      </c>
      <c r="H482" t="inlineStr">
        <is>
          <t>GMMOR1A</t>
        </is>
      </c>
      <c r="J482" s="91">
        <f>RIGHT(H482,1)</f>
        <v/>
      </c>
      <c r="K482" t="inlineStr">
        <is>
          <t>S1</t>
        </is>
      </c>
      <c r="L482" s="91" t="inlineStr">
        <is>
          <t>2G</t>
        </is>
      </c>
      <c r="M482" t="n">
        <v>900</v>
      </c>
      <c r="N482" s="91" t="e">
        <v>#N/A</v>
      </c>
      <c r="P482" t="n">
        <v>100</v>
      </c>
      <c r="R482" s="92" t="n">
        <v>2</v>
      </c>
      <c r="AB482" s="91" t="inlineStr">
        <is>
          <t>R9264H M901821</t>
        </is>
      </c>
      <c r="AC482" s="91" t="inlineStr">
        <is>
          <t>A9652 S35*3+R9264H M901821*3+R9254E S8500*2</t>
        </is>
      </c>
      <c r="AD482" s="91">
        <f>_xlfn.XLOOKUP(AE482,[4]透视表!$G:$G,[4]透视表!$D:$D)</f>
        <v/>
      </c>
      <c r="AE482" s="91">
        <f>A482&amp;K482</f>
        <v/>
      </c>
      <c r="AL482" s="91" t="inlineStr">
        <is>
          <t>高优先级</t>
        </is>
      </c>
    </row>
    <row r="483" hidden="1" ht="15" customHeight="1" s="99">
      <c r="A483" t="inlineStr">
        <is>
          <t>GMMOR1</t>
        </is>
      </c>
      <c r="C483" s="89" t="inlineStr">
        <is>
          <t>Huawei</t>
        </is>
      </c>
      <c r="F483" t="n">
        <v>7.09456</v>
      </c>
      <c r="G483" t="n">
        <v>80.0498</v>
      </c>
      <c r="H483" t="inlineStr">
        <is>
          <t>GMMOR1P</t>
        </is>
      </c>
      <c r="J483" s="91">
        <f>RIGHT(H483,1)</f>
        <v/>
      </c>
      <c r="K483" t="inlineStr">
        <is>
          <t>S1</t>
        </is>
      </c>
      <c r="L483" s="91" t="inlineStr">
        <is>
          <t>2G</t>
        </is>
      </c>
      <c r="M483" t="n">
        <v>1800</v>
      </c>
      <c r="N483" s="91" t="e">
        <v>#N/A</v>
      </c>
      <c r="P483" t="n">
        <v>100</v>
      </c>
      <c r="R483" s="92" t="n">
        <v>2</v>
      </c>
      <c r="AB483" s="91" t="inlineStr">
        <is>
          <t>R9264H M901821</t>
        </is>
      </c>
      <c r="AC483" s="91" t="inlineStr">
        <is>
          <t>A9652 S35*3+R9264H M901821*3+R9254E S8500*2</t>
        </is>
      </c>
      <c r="AD483" s="91">
        <f>_xlfn.XLOOKUP(AE483,[4]透视表!$G:$G,[4]透视表!$E:$E)</f>
        <v/>
      </c>
      <c r="AE483" s="91">
        <f>A483&amp;K483</f>
        <v/>
      </c>
      <c r="AL483" s="91" t="inlineStr">
        <is>
          <t>高优先级</t>
        </is>
      </c>
    </row>
    <row r="484" hidden="1" ht="15" customHeight="1" s="99">
      <c r="A484" t="inlineStr">
        <is>
          <t>GMMOR1</t>
        </is>
      </c>
      <c r="B484" t="inlineStr">
        <is>
          <t>GMMOR1_0UL00_Morenna_Gm</t>
        </is>
      </c>
      <c r="C484" s="89" t="inlineStr">
        <is>
          <t>Huawei</t>
        </is>
      </c>
      <c r="F484" t="n">
        <v>7.09456</v>
      </c>
      <c r="G484" t="n">
        <v>80.0498</v>
      </c>
      <c r="H484" t="inlineStr">
        <is>
          <t>GMMOR1-M-L85-A1</t>
        </is>
      </c>
      <c r="J484" s="91">
        <f>LEFT(RIGHT(H484,2),1)</f>
        <v/>
      </c>
      <c r="K484" s="91">
        <f>_xlfn.XLOOKUP(J484,#REF!,#REF!)</f>
        <v/>
      </c>
      <c r="L484" s="91" t="inlineStr">
        <is>
          <t>4G</t>
        </is>
      </c>
      <c r="M484" s="91" t="n">
        <v>850</v>
      </c>
      <c r="N484" s="91" t="e">
        <v>#N/A</v>
      </c>
      <c r="O484" s="92" t="n">
        <v>60</v>
      </c>
      <c r="P484" t="n">
        <v>100</v>
      </c>
      <c r="R484" s="92" t="n">
        <v>0</v>
      </c>
      <c r="Y484" t="inlineStr">
        <is>
          <t>2T2R</t>
        </is>
      </c>
      <c r="AB484" s="91" t="inlineStr">
        <is>
          <t>R9254E S8500</t>
        </is>
      </c>
      <c r="AC484" s="91" t="inlineStr">
        <is>
          <t>A9652 S35*3+R9264H M901821*3+R9254E S8500*2</t>
        </is>
      </c>
      <c r="AD484" s="91">
        <f>_xlfn.XLOOKUP(AE484,[4]透视表!$G:$G,[4]透视表!$D:$D)</f>
        <v/>
      </c>
      <c r="AE484" s="91">
        <f>A484&amp;K484</f>
        <v/>
      </c>
      <c r="AL484" s="91" t="inlineStr">
        <is>
          <t>高优先级</t>
        </is>
      </c>
    </row>
    <row r="485" hidden="1" ht="15" customHeight="1" s="99">
      <c r="A485" t="inlineStr">
        <is>
          <t>GMMOR1</t>
        </is>
      </c>
      <c r="B485" t="inlineStr">
        <is>
          <t>GMMOR1_0UL00_Morenna_Gm</t>
        </is>
      </c>
      <c r="C485" s="89" t="inlineStr">
        <is>
          <t>Huawei</t>
        </is>
      </c>
      <c r="F485" t="n">
        <v>7.09456</v>
      </c>
      <c r="G485" t="n">
        <v>80.0498</v>
      </c>
      <c r="H485" t="inlineStr">
        <is>
          <t>GMMOR1G</t>
        </is>
      </c>
      <c r="J485" s="91">
        <f>RIGHT(H485,1)</f>
        <v/>
      </c>
      <c r="K485" s="91">
        <f>_xlfn.XLOOKUP(J485,#REF!,#REF!)</f>
        <v/>
      </c>
      <c r="L485" s="91" t="inlineStr">
        <is>
          <t>4G</t>
        </is>
      </c>
      <c r="M485" s="91" t="n">
        <v>1800</v>
      </c>
      <c r="N485" s="91" t="e">
        <v>#N/A</v>
      </c>
      <c r="O485" s="92" t="n">
        <v>60</v>
      </c>
      <c r="P485" t="n">
        <v>100</v>
      </c>
      <c r="R485" s="92" t="n">
        <v>0</v>
      </c>
      <c r="Y485" t="inlineStr">
        <is>
          <t>2T2R</t>
        </is>
      </c>
      <c r="AB485" s="91" t="inlineStr">
        <is>
          <t>R9264H M901821</t>
        </is>
      </c>
      <c r="AC485" s="91" t="inlineStr">
        <is>
          <t>A9652 S35*3+R9264H M901821*3+R9254E S8500*2</t>
        </is>
      </c>
      <c r="AD485" s="91">
        <f>_xlfn.XLOOKUP(AE485,[4]透视表!$G:$G,[4]透视表!$E:$E)</f>
        <v/>
      </c>
      <c r="AE485" s="91">
        <f>A485&amp;K485</f>
        <v/>
      </c>
      <c r="AL485" s="91" t="inlineStr">
        <is>
          <t>高优先级</t>
        </is>
      </c>
    </row>
    <row r="486" hidden="1" ht="15" customHeight="1" s="99">
      <c r="A486" t="inlineStr">
        <is>
          <t>GMMOR1</t>
        </is>
      </c>
      <c r="B486" t="inlineStr">
        <is>
          <t>GMMOR1_0UL00_Morenna_Gm</t>
        </is>
      </c>
      <c r="C486" s="89" t="inlineStr">
        <is>
          <t>Huawei</t>
        </is>
      </c>
      <c r="F486" t="n">
        <v>7.09456</v>
      </c>
      <c r="G486" t="n">
        <v>80.0498</v>
      </c>
      <c r="H486" t="inlineStr">
        <is>
          <t>GMMOR1-M-L21-A2</t>
        </is>
      </c>
      <c r="J486" s="91">
        <f>LEFT(RIGHT(H486,2),1)</f>
        <v/>
      </c>
      <c r="K486" s="91">
        <f>_xlfn.XLOOKUP(J486,#REF!,#REF!)</f>
        <v/>
      </c>
      <c r="L486" s="91" t="inlineStr">
        <is>
          <t>4G</t>
        </is>
      </c>
      <c r="M486" s="91" t="n">
        <v>2100</v>
      </c>
      <c r="N486" s="91" t="e">
        <v>#N/A</v>
      </c>
      <c r="O486" s="92" t="n">
        <v>60</v>
      </c>
      <c r="P486" t="n">
        <v>100</v>
      </c>
      <c r="R486" s="92" t="n">
        <v>0</v>
      </c>
      <c r="Y486" t="inlineStr">
        <is>
          <t>2T2R</t>
        </is>
      </c>
      <c r="AB486" s="91" t="inlineStr">
        <is>
          <t>R9264H M901821</t>
        </is>
      </c>
      <c r="AC486" s="91" t="inlineStr">
        <is>
          <t>A9652 S35*3+R9264H M901821*3+R9254E S8500*2</t>
        </is>
      </c>
      <c r="AD486" s="91">
        <f>_xlfn.XLOOKUP(AE486,[4]透视表!$G:$G,[4]透视表!$F:$F)</f>
        <v/>
      </c>
      <c r="AE486" s="91">
        <f>A486&amp;K486</f>
        <v/>
      </c>
      <c r="AL486" s="91" t="inlineStr">
        <is>
          <t>高优先级</t>
        </is>
      </c>
    </row>
    <row r="487" hidden="1" ht="15" customHeight="1" s="99">
      <c r="A487" t="inlineStr">
        <is>
          <t>GMMOR1</t>
        </is>
      </c>
      <c r="C487" s="89" t="inlineStr">
        <is>
          <t>Huawei</t>
        </is>
      </c>
      <c r="F487" t="n">
        <v>7.09456</v>
      </c>
      <c r="G487" t="n">
        <v>80.0498</v>
      </c>
      <c r="H487" t="inlineStr">
        <is>
          <t>GMMOR1B</t>
        </is>
      </c>
      <c r="J487" s="91">
        <f>RIGHT(H487,1)</f>
        <v/>
      </c>
      <c r="K487" t="inlineStr">
        <is>
          <t>S2</t>
        </is>
      </c>
      <c r="L487" s="91" t="inlineStr">
        <is>
          <t>2G</t>
        </is>
      </c>
      <c r="M487" t="n">
        <v>900</v>
      </c>
      <c r="N487" s="91" t="e">
        <v>#N/A</v>
      </c>
      <c r="P487" t="n">
        <v>190</v>
      </c>
      <c r="R487" s="92" t="n">
        <v>2</v>
      </c>
      <c r="AB487" s="91" t="inlineStr">
        <is>
          <t>R9264H M901821</t>
        </is>
      </c>
      <c r="AC487" s="91" t="inlineStr">
        <is>
          <t>A9652 S35*3+R9264H M901821*3+R9254E S8500*2</t>
        </is>
      </c>
      <c r="AD487" s="91">
        <f>_xlfn.XLOOKUP(AE487,[4]透视表!$G:$G,[4]透视表!$D:$D)</f>
        <v/>
      </c>
      <c r="AE487" s="91">
        <f>A487&amp;K487</f>
        <v/>
      </c>
      <c r="AL487" s="91" t="inlineStr">
        <is>
          <t>高优先级</t>
        </is>
      </c>
    </row>
    <row r="488" hidden="1" ht="15" customHeight="1" s="99">
      <c r="A488" t="inlineStr">
        <is>
          <t>GMMOR1</t>
        </is>
      </c>
      <c r="C488" s="89" t="inlineStr">
        <is>
          <t>Huawei</t>
        </is>
      </c>
      <c r="F488" t="n">
        <v>7.09456</v>
      </c>
      <c r="G488" t="n">
        <v>80.0498</v>
      </c>
      <c r="H488" t="inlineStr">
        <is>
          <t>GMMOR1Q</t>
        </is>
      </c>
      <c r="J488" s="91">
        <f>RIGHT(H488,1)</f>
        <v/>
      </c>
      <c r="K488" t="inlineStr">
        <is>
          <t>S2</t>
        </is>
      </c>
      <c r="L488" s="91" t="inlineStr">
        <is>
          <t>2G</t>
        </is>
      </c>
      <c r="M488" t="n">
        <v>1800</v>
      </c>
      <c r="N488" s="91" t="e">
        <v>#N/A</v>
      </c>
      <c r="P488" t="n">
        <v>190</v>
      </c>
      <c r="R488" s="92" t="n">
        <v>2</v>
      </c>
      <c r="AB488" s="91" t="inlineStr">
        <is>
          <t>R9264H M901821</t>
        </is>
      </c>
      <c r="AC488" s="91" t="inlineStr">
        <is>
          <t>A9652 S35*3+R9264H M901821*3+R9254E S8500*2</t>
        </is>
      </c>
      <c r="AD488" s="91">
        <f>_xlfn.XLOOKUP(AE488,[4]透视表!$G:$G,[4]透视表!$E:$E)</f>
        <v/>
      </c>
      <c r="AE488" s="91">
        <f>A488&amp;K488</f>
        <v/>
      </c>
      <c r="AL488" s="91" t="inlineStr">
        <is>
          <t>高优先级</t>
        </is>
      </c>
    </row>
    <row r="489" hidden="1" ht="15" customHeight="1" s="99">
      <c r="A489" t="inlineStr">
        <is>
          <t>GMMOR1</t>
        </is>
      </c>
      <c r="B489" t="inlineStr">
        <is>
          <t>GMMOR1_0UL00_Morenna_Gm</t>
        </is>
      </c>
      <c r="C489" s="89" t="inlineStr">
        <is>
          <t>Huawei</t>
        </is>
      </c>
      <c r="F489" t="n">
        <v>7.09456</v>
      </c>
      <c r="G489" t="n">
        <v>80.0498</v>
      </c>
      <c r="H489" t="inlineStr">
        <is>
          <t>GMMOR1-M-L85-B1</t>
        </is>
      </c>
      <c r="J489" s="91">
        <f>LEFT(RIGHT(H489,2),1)</f>
        <v/>
      </c>
      <c r="K489" s="91">
        <f>_xlfn.XLOOKUP(J489,#REF!,#REF!)</f>
        <v/>
      </c>
      <c r="L489" s="91" t="inlineStr">
        <is>
          <t>4G</t>
        </is>
      </c>
      <c r="M489" s="91" t="n">
        <v>850</v>
      </c>
      <c r="N489" s="91" t="e">
        <v>#N/A</v>
      </c>
      <c r="O489" s="92" t="n">
        <v>60</v>
      </c>
      <c r="P489" t="n">
        <v>190</v>
      </c>
      <c r="R489" s="92" t="n">
        <v>0</v>
      </c>
      <c r="Y489" t="inlineStr">
        <is>
          <t>2T2R</t>
        </is>
      </c>
      <c r="AB489" s="91" t="inlineStr">
        <is>
          <t>R9254E S8500</t>
        </is>
      </c>
      <c r="AC489" s="91" t="inlineStr">
        <is>
          <t>A9652 S35*3+R9264H M901821*3+R9254E S8500*2</t>
        </is>
      </c>
      <c r="AD489" s="91">
        <f>_xlfn.XLOOKUP(AE489,[4]透视表!$G:$G,[4]透视表!$D:$D)</f>
        <v/>
      </c>
      <c r="AE489" s="91">
        <f>A489&amp;K489</f>
        <v/>
      </c>
      <c r="AL489" s="91" t="inlineStr">
        <is>
          <t>高优先级</t>
        </is>
      </c>
    </row>
    <row r="490" hidden="1" ht="15" customHeight="1" s="99">
      <c r="A490" t="inlineStr">
        <is>
          <t>GMMOR1</t>
        </is>
      </c>
      <c r="B490" t="inlineStr">
        <is>
          <t>GMMOR1_0UL00_Morenna_Gm</t>
        </is>
      </c>
      <c r="C490" s="89" t="inlineStr">
        <is>
          <t>Huawei</t>
        </is>
      </c>
      <c r="F490" t="n">
        <v>7.09456</v>
      </c>
      <c r="G490" t="n">
        <v>80.0498</v>
      </c>
      <c r="H490" t="inlineStr">
        <is>
          <t>GMMOR1H</t>
        </is>
      </c>
      <c r="J490" s="91">
        <f>RIGHT(H490,1)</f>
        <v/>
      </c>
      <c r="K490" s="91">
        <f>_xlfn.XLOOKUP(J490,#REF!,#REF!)</f>
        <v/>
      </c>
      <c r="L490" s="91" t="inlineStr">
        <is>
          <t>4G</t>
        </is>
      </c>
      <c r="M490" s="91" t="n">
        <v>1800</v>
      </c>
      <c r="N490" s="91" t="e">
        <v>#N/A</v>
      </c>
      <c r="O490" s="92" t="n">
        <v>60</v>
      </c>
      <c r="P490" t="n">
        <v>190</v>
      </c>
      <c r="R490" s="92" t="n">
        <v>0</v>
      </c>
      <c r="Y490" t="inlineStr">
        <is>
          <t>2T2R</t>
        </is>
      </c>
      <c r="AB490" s="91" t="inlineStr">
        <is>
          <t>R9264H M901821</t>
        </is>
      </c>
      <c r="AC490" s="91" t="inlineStr">
        <is>
          <t>A9652 S35*3+R9264H M901821*3+R9254E S8500*2</t>
        </is>
      </c>
      <c r="AD490" s="91">
        <f>_xlfn.XLOOKUP(AE490,[4]透视表!$G:$G,[4]透视表!$E:$E)</f>
        <v/>
      </c>
      <c r="AE490" s="91">
        <f>A490&amp;K490</f>
        <v/>
      </c>
      <c r="AL490" s="91" t="inlineStr">
        <is>
          <t>高优先级</t>
        </is>
      </c>
    </row>
    <row r="491" hidden="1" ht="15" customHeight="1" s="99">
      <c r="A491" t="inlineStr">
        <is>
          <t>GMMOR1</t>
        </is>
      </c>
      <c r="B491" t="inlineStr">
        <is>
          <t>GMMOR1_0UL00_Morenna_Gm</t>
        </is>
      </c>
      <c r="C491" s="89" t="inlineStr">
        <is>
          <t>Huawei</t>
        </is>
      </c>
      <c r="F491" t="n">
        <v>7.09456</v>
      </c>
      <c r="G491" t="n">
        <v>80.0498</v>
      </c>
      <c r="H491" t="inlineStr">
        <is>
          <t>GMMOR1-M-L21-B2</t>
        </is>
      </c>
      <c r="J491" s="91">
        <f>LEFT(RIGHT(H491,2),1)</f>
        <v/>
      </c>
      <c r="K491" s="91">
        <f>_xlfn.XLOOKUP(J491,#REF!,#REF!)</f>
        <v/>
      </c>
      <c r="L491" s="91" t="inlineStr">
        <is>
          <t>4G</t>
        </is>
      </c>
      <c r="M491" s="91" t="n">
        <v>2100</v>
      </c>
      <c r="N491" s="91" t="e">
        <v>#N/A</v>
      </c>
      <c r="O491" s="92" t="n">
        <v>60</v>
      </c>
      <c r="P491" t="n">
        <v>190</v>
      </c>
      <c r="R491" s="92" t="n">
        <v>0</v>
      </c>
      <c r="Y491" t="inlineStr">
        <is>
          <t>2T2R</t>
        </is>
      </c>
      <c r="AB491" s="91" t="inlineStr">
        <is>
          <t>R9264H M901821</t>
        </is>
      </c>
      <c r="AC491" s="91" t="inlineStr">
        <is>
          <t>A9652 S35*3+R9264H M901821*3+R9254E S8500*2</t>
        </is>
      </c>
      <c r="AD491" s="91">
        <f>_xlfn.XLOOKUP(AE491,[4]透视表!$G:$G,[4]透视表!$F:$F)</f>
        <v/>
      </c>
      <c r="AE491" s="91">
        <f>A491&amp;K491</f>
        <v/>
      </c>
      <c r="AL491" s="91" t="inlineStr">
        <is>
          <t>高优先级</t>
        </is>
      </c>
    </row>
    <row r="492" hidden="1" ht="15" customHeight="1" s="99">
      <c r="A492" t="inlineStr">
        <is>
          <t>GMMOR1</t>
        </is>
      </c>
      <c r="C492" s="89" t="inlineStr">
        <is>
          <t>Huawei</t>
        </is>
      </c>
      <c r="F492" t="n">
        <v>7.09456</v>
      </c>
      <c r="G492" t="n">
        <v>80.0498</v>
      </c>
      <c r="H492" t="inlineStr">
        <is>
          <t>GMMOR1C</t>
        </is>
      </c>
      <c r="J492" s="91">
        <f>RIGHT(H492,1)</f>
        <v/>
      </c>
      <c r="K492" t="inlineStr">
        <is>
          <t>S3</t>
        </is>
      </c>
      <c r="L492" s="91" t="inlineStr">
        <is>
          <t>2G</t>
        </is>
      </c>
      <c r="M492" t="n">
        <v>900</v>
      </c>
      <c r="N492" s="91" t="e">
        <v>#N/A</v>
      </c>
      <c r="P492" t="n">
        <v>310</v>
      </c>
      <c r="R492" s="92" t="n">
        <v>2</v>
      </c>
      <c r="AB492" s="91" t="inlineStr">
        <is>
          <t>R9264H M901821</t>
        </is>
      </c>
      <c r="AC492" s="91" t="inlineStr">
        <is>
          <t>A9652 S35*3+R9264H M901821*3+R9254E S8500*2</t>
        </is>
      </c>
      <c r="AD492" s="91">
        <f>_xlfn.XLOOKUP(AE492,[4]透视表!$G:$G,[4]透视表!$D:$D)</f>
        <v/>
      </c>
      <c r="AE492" s="91">
        <f>A492&amp;K492</f>
        <v/>
      </c>
      <c r="AL492" s="91" t="inlineStr">
        <is>
          <t>高优先级</t>
        </is>
      </c>
    </row>
    <row r="493" hidden="1" ht="15" customHeight="1" s="99">
      <c r="A493" t="inlineStr">
        <is>
          <t>GMMOR1</t>
        </is>
      </c>
      <c r="C493" s="89" t="inlineStr">
        <is>
          <t>Huawei</t>
        </is>
      </c>
      <c r="F493" t="n">
        <v>7.09456</v>
      </c>
      <c r="G493" t="n">
        <v>80.0498</v>
      </c>
      <c r="H493" t="inlineStr">
        <is>
          <t>GMMOR1R</t>
        </is>
      </c>
      <c r="J493" s="91">
        <f>RIGHT(H493,1)</f>
        <v/>
      </c>
      <c r="K493" t="inlineStr">
        <is>
          <t>S3</t>
        </is>
      </c>
      <c r="L493" s="91" t="inlineStr">
        <is>
          <t>2G</t>
        </is>
      </c>
      <c r="M493" t="n">
        <v>1800</v>
      </c>
      <c r="N493" s="91" t="e">
        <v>#N/A</v>
      </c>
      <c r="P493" t="n">
        <v>310</v>
      </c>
      <c r="R493" s="92" t="n">
        <v>2</v>
      </c>
      <c r="AB493" s="91" t="inlineStr">
        <is>
          <t>R9264H M901821</t>
        </is>
      </c>
      <c r="AC493" s="91" t="inlineStr">
        <is>
          <t>A9652 S35*3+R9264H M901821*3+R9254E S8500*2</t>
        </is>
      </c>
      <c r="AD493" s="91">
        <f>_xlfn.XLOOKUP(AE493,[4]透视表!$G:$G,[4]透视表!$E:$E)</f>
        <v/>
      </c>
      <c r="AE493" s="91">
        <f>A493&amp;K493</f>
        <v/>
      </c>
      <c r="AL493" s="91" t="inlineStr">
        <is>
          <t>高优先级</t>
        </is>
      </c>
    </row>
    <row r="494" hidden="1" ht="15" customHeight="1" s="99">
      <c r="A494" t="inlineStr">
        <is>
          <t>GMMOR1</t>
        </is>
      </c>
      <c r="B494" t="inlineStr">
        <is>
          <t>GMMOR1_0UL00_Morenna_Gm</t>
        </is>
      </c>
      <c r="C494" s="89" t="inlineStr">
        <is>
          <t>Huawei</t>
        </is>
      </c>
      <c r="F494" t="n">
        <v>7.09456</v>
      </c>
      <c r="G494" t="n">
        <v>80.0498</v>
      </c>
      <c r="H494" t="inlineStr">
        <is>
          <t>GMMOR1-M-L85-C1</t>
        </is>
      </c>
      <c r="J494" s="91">
        <f>LEFT(RIGHT(H494,2),1)</f>
        <v/>
      </c>
      <c r="K494" s="91">
        <f>_xlfn.XLOOKUP(J494,#REF!,#REF!)</f>
        <v/>
      </c>
      <c r="L494" s="91" t="inlineStr">
        <is>
          <t>4G</t>
        </is>
      </c>
      <c r="M494" s="91" t="n">
        <v>850</v>
      </c>
      <c r="N494" s="91" t="e">
        <v>#N/A</v>
      </c>
      <c r="O494" s="92" t="n">
        <v>60</v>
      </c>
      <c r="P494" t="n">
        <v>310</v>
      </c>
      <c r="R494" s="92" t="n">
        <v>0</v>
      </c>
      <c r="Y494" t="inlineStr">
        <is>
          <t>2T2R</t>
        </is>
      </c>
      <c r="AB494" s="91" t="inlineStr">
        <is>
          <t>R9254E S8500</t>
        </is>
      </c>
      <c r="AC494" s="91" t="inlineStr">
        <is>
          <t>A9652 S35*3+R9264H M901821*3+R9254E S8500*2</t>
        </is>
      </c>
      <c r="AD494" s="91">
        <f>_xlfn.XLOOKUP(AE494,[4]透视表!$G:$G,[4]透视表!$D:$D)</f>
        <v/>
      </c>
      <c r="AE494" s="91">
        <f>A494&amp;K494</f>
        <v/>
      </c>
      <c r="AL494" s="91" t="inlineStr">
        <is>
          <t>高优先级</t>
        </is>
      </c>
    </row>
    <row r="495" hidden="1" ht="15" customHeight="1" s="99">
      <c r="A495" t="inlineStr">
        <is>
          <t>GMMOR1</t>
        </is>
      </c>
      <c r="B495" t="inlineStr">
        <is>
          <t>GMMOR1_0UL00_Morenna_Gm</t>
        </is>
      </c>
      <c r="C495" s="89" t="inlineStr">
        <is>
          <t>Huawei</t>
        </is>
      </c>
      <c r="F495" t="n">
        <v>7.09456</v>
      </c>
      <c r="G495" t="n">
        <v>80.0498</v>
      </c>
      <c r="H495" t="inlineStr">
        <is>
          <t>GMMOR1I</t>
        </is>
      </c>
      <c r="J495" s="91">
        <f>RIGHT(H495,1)</f>
        <v/>
      </c>
      <c r="K495" s="91">
        <f>_xlfn.XLOOKUP(J495,#REF!,#REF!)</f>
        <v/>
      </c>
      <c r="L495" s="91" t="inlineStr">
        <is>
          <t>4G</t>
        </is>
      </c>
      <c r="M495" s="91" t="n">
        <v>1800</v>
      </c>
      <c r="N495" s="91" t="e">
        <v>#N/A</v>
      </c>
      <c r="O495" s="92" t="n">
        <v>60</v>
      </c>
      <c r="P495" t="n">
        <v>310</v>
      </c>
      <c r="R495" s="92" t="n">
        <v>0</v>
      </c>
      <c r="Y495" t="inlineStr">
        <is>
          <t>2T2R</t>
        </is>
      </c>
      <c r="AB495" s="91" t="inlineStr">
        <is>
          <t>R9264H M901821</t>
        </is>
      </c>
      <c r="AC495" s="91" t="inlineStr">
        <is>
          <t>A9652 S35*3+R9264H M901821*3+R9254E S8500*2</t>
        </is>
      </c>
      <c r="AD495" s="91">
        <f>_xlfn.XLOOKUP(AE495,[4]透视表!$G:$G,[4]透视表!$E:$E)</f>
        <v/>
      </c>
      <c r="AE495" s="91">
        <f>A495&amp;K495</f>
        <v/>
      </c>
      <c r="AL495" s="91" t="inlineStr">
        <is>
          <t>高优先级</t>
        </is>
      </c>
    </row>
    <row r="496" hidden="1" ht="15" customHeight="1" s="99">
      <c r="A496" t="inlineStr">
        <is>
          <t>GMMOR1</t>
        </is>
      </c>
      <c r="B496" t="inlineStr">
        <is>
          <t>GMMOR1_0UL00_Morenna_Gm</t>
        </is>
      </c>
      <c r="C496" s="89" t="inlineStr">
        <is>
          <t>Huawei</t>
        </is>
      </c>
      <c r="F496" t="n">
        <v>7.09456</v>
      </c>
      <c r="G496" t="n">
        <v>80.0498</v>
      </c>
      <c r="H496" t="inlineStr">
        <is>
          <t>GMMOR1-M-L21-C2</t>
        </is>
      </c>
      <c r="J496" s="91">
        <f>LEFT(RIGHT(H496,2),1)</f>
        <v/>
      </c>
      <c r="K496" s="91">
        <f>_xlfn.XLOOKUP(J496,#REF!,#REF!)</f>
        <v/>
      </c>
      <c r="L496" s="91" t="inlineStr">
        <is>
          <t>4G</t>
        </is>
      </c>
      <c r="M496" s="91" t="n">
        <v>2100</v>
      </c>
      <c r="N496" s="91" t="e">
        <v>#N/A</v>
      </c>
      <c r="O496" s="92" t="n">
        <v>60</v>
      </c>
      <c r="P496" t="n">
        <v>310</v>
      </c>
      <c r="R496" s="92" t="n">
        <v>0</v>
      </c>
      <c r="Y496" t="inlineStr">
        <is>
          <t>2T2R</t>
        </is>
      </c>
      <c r="AB496" s="91" t="inlineStr">
        <is>
          <t>R9264H M901821</t>
        </is>
      </c>
      <c r="AC496" s="91" t="inlineStr">
        <is>
          <t>A9652 S35*3+R9264H M901821*3+R9254E S8500*2</t>
        </is>
      </c>
      <c r="AD496" s="91">
        <f>_xlfn.XLOOKUP(AE496,[4]透视表!$G:$G,[4]透视表!$F:$F)</f>
        <v/>
      </c>
      <c r="AE496" s="91">
        <f>A496&amp;K496</f>
        <v/>
      </c>
      <c r="AL496" s="91" t="inlineStr">
        <is>
          <t>高优先级</t>
        </is>
      </c>
    </row>
    <row r="497" hidden="1" ht="15" customHeight="1" s="99">
      <c r="A497" t="inlineStr">
        <is>
          <t>GMMSW1</t>
        </is>
      </c>
      <c r="C497" s="89" t="inlineStr">
        <is>
          <t>Huawei</t>
        </is>
      </c>
      <c r="F497" t="n">
        <v>7.07465</v>
      </c>
      <c r="G497" t="n">
        <v>80.01730000000001</v>
      </c>
      <c r="H497" t="inlineStr">
        <is>
          <t>GMMSW1A</t>
        </is>
      </c>
      <c r="J497" s="91">
        <f>RIGHT(H497,1)</f>
        <v/>
      </c>
      <c r="K497" t="inlineStr">
        <is>
          <t>S1</t>
        </is>
      </c>
      <c r="L497" s="91" t="inlineStr">
        <is>
          <t>2G</t>
        </is>
      </c>
      <c r="M497" t="n">
        <v>900</v>
      </c>
      <c r="N497" s="91" t="e">
        <v>#N/A</v>
      </c>
      <c r="P497" t="n">
        <v>60</v>
      </c>
      <c r="R497" s="92" t="n">
        <v>2</v>
      </c>
      <c r="AB497" s="91" t="inlineStr">
        <is>
          <t>R9264H M901821</t>
        </is>
      </c>
      <c r="AC497" s="91" t="inlineStr">
        <is>
          <t>A9652 S35*3+R9264H M901821*3+R9254E S8500*2</t>
        </is>
      </c>
      <c r="AD497" s="91">
        <f>_xlfn.XLOOKUP(AE497,[4]透视表!$G:$G,[4]透视表!$D:$D)</f>
        <v/>
      </c>
      <c r="AE497" s="91">
        <f>A497&amp;K497</f>
        <v/>
      </c>
      <c r="AL497" s="91" t="inlineStr">
        <is>
          <t>高优先级</t>
        </is>
      </c>
    </row>
    <row r="498" hidden="1" ht="15" customHeight="1" s="99">
      <c r="A498" t="inlineStr">
        <is>
          <t>GMMSW1</t>
        </is>
      </c>
      <c r="C498" s="89" t="inlineStr">
        <is>
          <t>Huawei</t>
        </is>
      </c>
      <c r="F498" t="n">
        <v>7.07465</v>
      </c>
      <c r="G498" t="n">
        <v>80.01730000000001</v>
      </c>
      <c r="H498" t="inlineStr">
        <is>
          <t>GMMSW1P</t>
        </is>
      </c>
      <c r="J498" s="91">
        <f>RIGHT(H498,1)</f>
        <v/>
      </c>
      <c r="K498" t="inlineStr">
        <is>
          <t>S1</t>
        </is>
      </c>
      <c r="L498" s="91" t="inlineStr">
        <is>
          <t>2G</t>
        </is>
      </c>
      <c r="M498" t="n">
        <v>1800</v>
      </c>
      <c r="N498" s="91" t="e">
        <v>#N/A</v>
      </c>
      <c r="P498" t="n">
        <v>60</v>
      </c>
      <c r="R498" s="92" t="n">
        <v>2</v>
      </c>
      <c r="AB498" s="91" t="inlineStr">
        <is>
          <t>R9264H M901821</t>
        </is>
      </c>
      <c r="AC498" s="91" t="inlineStr">
        <is>
          <t>A9652 S35*3+R9264H M901821*3+R9254E S8500*2</t>
        </is>
      </c>
      <c r="AD498" s="91">
        <f>_xlfn.XLOOKUP(AE498,[4]透视表!$G:$G,[4]透视表!$E:$E)</f>
        <v/>
      </c>
      <c r="AE498" s="91">
        <f>A498&amp;K498</f>
        <v/>
      </c>
      <c r="AL498" s="91" t="inlineStr">
        <is>
          <t>高优先级</t>
        </is>
      </c>
    </row>
    <row r="499" hidden="1" ht="15" customHeight="1" s="99">
      <c r="A499" t="inlineStr">
        <is>
          <t>GMMSW1</t>
        </is>
      </c>
      <c r="B499" t="inlineStr">
        <is>
          <t>GMMSW1_0UL00_Miriswatta_Junction_Gm</t>
        </is>
      </c>
      <c r="C499" s="89" t="inlineStr">
        <is>
          <t>Huawei</t>
        </is>
      </c>
      <c r="F499" t="n">
        <v>7.07465</v>
      </c>
      <c r="G499" t="n">
        <v>80.01730000000001</v>
      </c>
      <c r="H499" t="inlineStr">
        <is>
          <t>GMMSW1-M-L85-A1</t>
        </is>
      </c>
      <c r="J499" s="91">
        <f>LEFT(RIGHT(H499,2),1)</f>
        <v/>
      </c>
      <c r="K499" s="91">
        <f>_xlfn.XLOOKUP(J499,#REF!,#REF!)</f>
        <v/>
      </c>
      <c r="L499" s="91" t="inlineStr">
        <is>
          <t>4G</t>
        </is>
      </c>
      <c r="M499" s="91" t="n">
        <v>850</v>
      </c>
      <c r="N499" s="91" t="e">
        <v>#N/A</v>
      </c>
      <c r="O499" s="92" t="n">
        <v>6</v>
      </c>
      <c r="P499" t="n">
        <v>60</v>
      </c>
      <c r="R499" s="92" t="n">
        <v>0</v>
      </c>
      <c r="Y499" t="inlineStr">
        <is>
          <t>2T2R</t>
        </is>
      </c>
      <c r="AB499" s="91" t="inlineStr">
        <is>
          <t>R9254E S8500</t>
        </is>
      </c>
      <c r="AC499" s="91" t="inlineStr">
        <is>
          <t>A9652 S35*3+R9264H M901821*3+R9254E S8500*2</t>
        </is>
      </c>
      <c r="AD499" s="91">
        <f>_xlfn.XLOOKUP(AE499,[4]透视表!$G:$G,[4]透视表!$D:$D)</f>
        <v/>
      </c>
      <c r="AE499" s="91">
        <f>A499&amp;K499</f>
        <v/>
      </c>
      <c r="AL499" s="91" t="inlineStr">
        <is>
          <t>高优先级</t>
        </is>
      </c>
    </row>
    <row r="500" hidden="1" ht="15" customHeight="1" s="99">
      <c r="A500" t="inlineStr">
        <is>
          <t>GMMSW1</t>
        </is>
      </c>
      <c r="B500" t="inlineStr">
        <is>
          <t>GMMSW1_0UL00_Miriswatta_Junction_Gm</t>
        </is>
      </c>
      <c r="C500" s="89" t="inlineStr">
        <is>
          <t>Huawei</t>
        </is>
      </c>
      <c r="F500" t="n">
        <v>7.07465</v>
      </c>
      <c r="G500" t="n">
        <v>80.01730000000001</v>
      </c>
      <c r="H500" t="inlineStr">
        <is>
          <t>GMMSW1G</t>
        </is>
      </c>
      <c r="J500" s="91">
        <f>RIGHT(H500,1)</f>
        <v/>
      </c>
      <c r="K500" s="91">
        <f>_xlfn.XLOOKUP(J500,#REF!,#REF!)</f>
        <v/>
      </c>
      <c r="L500" s="91" t="inlineStr">
        <is>
          <t>4G</t>
        </is>
      </c>
      <c r="M500" s="91" t="n">
        <v>1800</v>
      </c>
      <c r="N500" s="91" t="e">
        <v>#N/A</v>
      </c>
      <c r="O500" s="92" t="n">
        <v>6</v>
      </c>
      <c r="P500" t="n">
        <v>60</v>
      </c>
      <c r="R500" s="92" t="n">
        <v>0</v>
      </c>
      <c r="Y500" t="inlineStr">
        <is>
          <t>2T2R</t>
        </is>
      </c>
      <c r="AB500" s="91" t="inlineStr">
        <is>
          <t>R9264H M901821</t>
        </is>
      </c>
      <c r="AC500" s="91" t="inlineStr">
        <is>
          <t>A9652 S35*3+R9264H M901821*3+R9254E S8500*2</t>
        </is>
      </c>
      <c r="AD500" s="91">
        <f>_xlfn.XLOOKUP(AE500,[4]透视表!$G:$G,[4]透视表!$E:$E)</f>
        <v/>
      </c>
      <c r="AE500" s="91">
        <f>A500&amp;K500</f>
        <v/>
      </c>
      <c r="AL500" s="91" t="inlineStr">
        <is>
          <t>高优先级</t>
        </is>
      </c>
    </row>
    <row r="501" hidden="1" ht="15" customHeight="1" s="99">
      <c r="A501" t="inlineStr">
        <is>
          <t>GMMSW1</t>
        </is>
      </c>
      <c r="C501" s="89" t="inlineStr">
        <is>
          <t>Huawei</t>
        </is>
      </c>
      <c r="F501" t="n">
        <v>7.07465</v>
      </c>
      <c r="G501" t="n">
        <v>80.01730000000001</v>
      </c>
      <c r="H501" t="inlineStr">
        <is>
          <t>GMMSW1B</t>
        </is>
      </c>
      <c r="J501" s="91">
        <f>RIGHT(H501,1)</f>
        <v/>
      </c>
      <c r="K501" t="inlineStr">
        <is>
          <t>S2</t>
        </is>
      </c>
      <c r="L501" s="91" t="inlineStr">
        <is>
          <t>2G</t>
        </is>
      </c>
      <c r="M501" t="n">
        <v>900</v>
      </c>
      <c r="N501" s="91" t="inlineStr">
        <is>
          <t>AQU4518R9v06</t>
        </is>
      </c>
      <c r="P501" t="n">
        <v>130</v>
      </c>
      <c r="R501" s="92" t="n">
        <v>2</v>
      </c>
      <c r="AB501" s="91" t="inlineStr">
        <is>
          <t>R9264H M901821</t>
        </is>
      </c>
      <c r="AC501" s="91" t="inlineStr">
        <is>
          <t>A9652 S35*3+R9264H M901821*3+R9254E S8500*2</t>
        </is>
      </c>
      <c r="AD501" s="91">
        <f>_xlfn.XLOOKUP(AE501,[4]透视表!$G:$G,[4]透视表!$D:$D)</f>
        <v/>
      </c>
      <c r="AE501" s="91">
        <f>A501&amp;K501</f>
        <v/>
      </c>
      <c r="AL501" s="91" t="inlineStr">
        <is>
          <t>高优先级</t>
        </is>
      </c>
    </row>
    <row r="502" hidden="1" ht="15" customHeight="1" s="99">
      <c r="A502" t="inlineStr">
        <is>
          <t>GMMSW1</t>
        </is>
      </c>
      <c r="C502" s="89" t="inlineStr">
        <is>
          <t>Huawei</t>
        </is>
      </c>
      <c r="F502" t="n">
        <v>7.07465</v>
      </c>
      <c r="G502" t="n">
        <v>80.01730000000001</v>
      </c>
      <c r="H502" t="inlineStr">
        <is>
          <t>GMMSW1Q</t>
        </is>
      </c>
      <c r="J502" s="91">
        <f>RIGHT(H502,1)</f>
        <v/>
      </c>
      <c r="K502" t="inlineStr">
        <is>
          <t>S2</t>
        </is>
      </c>
      <c r="L502" s="91" t="inlineStr">
        <is>
          <t>2G</t>
        </is>
      </c>
      <c r="M502" t="n">
        <v>1800</v>
      </c>
      <c r="N502" s="91" t="inlineStr">
        <is>
          <t>AQU4518R9v06</t>
        </is>
      </c>
      <c r="P502" t="n">
        <v>130</v>
      </c>
      <c r="R502" s="92" t="n">
        <v>2</v>
      </c>
      <c r="AB502" s="91" t="inlineStr">
        <is>
          <t>R9264H M901821</t>
        </is>
      </c>
      <c r="AC502" s="91" t="inlineStr">
        <is>
          <t>A9652 S35*3+R9264H M901821*3+R9254E S8500*2</t>
        </is>
      </c>
      <c r="AD502" s="91">
        <f>_xlfn.XLOOKUP(AE502,[4]透视表!$G:$G,[4]透视表!$E:$E)</f>
        <v/>
      </c>
      <c r="AE502" s="91">
        <f>A502&amp;K502</f>
        <v/>
      </c>
      <c r="AL502" s="91" t="inlineStr">
        <is>
          <t>高优先级</t>
        </is>
      </c>
    </row>
    <row r="503" hidden="1" ht="15" customHeight="1" s="99">
      <c r="A503" t="inlineStr">
        <is>
          <t>GMMSW1</t>
        </is>
      </c>
      <c r="B503" t="inlineStr">
        <is>
          <t>GMMSW1_0UL00_Miriswatta_Junction_Gm</t>
        </is>
      </c>
      <c r="C503" s="89" t="inlineStr">
        <is>
          <t>Huawei</t>
        </is>
      </c>
      <c r="F503" t="n">
        <v>7.07465</v>
      </c>
      <c r="G503" t="n">
        <v>80.01730000000001</v>
      </c>
      <c r="H503" t="inlineStr">
        <is>
          <t>GMMSW1-M-L85-B1</t>
        </is>
      </c>
      <c r="J503" s="91">
        <f>LEFT(RIGHT(H503,2),1)</f>
        <v/>
      </c>
      <c r="K503" s="91">
        <f>_xlfn.XLOOKUP(J503,#REF!,#REF!)</f>
        <v/>
      </c>
      <c r="L503" s="91" t="inlineStr">
        <is>
          <t>4G</t>
        </is>
      </c>
      <c r="M503" s="91" t="n">
        <v>850</v>
      </c>
      <c r="N503" s="91" t="inlineStr">
        <is>
          <t>AQU4518R9v06</t>
        </is>
      </c>
      <c r="O503" s="92" t="n">
        <v>6</v>
      </c>
      <c r="P503" t="n">
        <v>130</v>
      </c>
      <c r="R503" s="92" t="n">
        <v>0</v>
      </c>
      <c r="Y503" t="inlineStr">
        <is>
          <t>2T2R</t>
        </is>
      </c>
      <c r="AB503" s="91" t="inlineStr">
        <is>
          <t>R9254E S8500</t>
        </is>
      </c>
      <c r="AC503" s="91" t="inlineStr">
        <is>
          <t>A9652 S35*3+R9264H M901821*3+R9254E S8500*2</t>
        </is>
      </c>
      <c r="AD503" s="91">
        <f>_xlfn.XLOOKUP(AE503,[4]透视表!$G:$G,[4]透视表!$D:$D)</f>
        <v/>
      </c>
      <c r="AE503" s="91">
        <f>A503&amp;K503</f>
        <v/>
      </c>
      <c r="AL503" s="91" t="inlineStr">
        <is>
          <t>高优先级</t>
        </is>
      </c>
    </row>
    <row r="504" hidden="1" ht="15" customHeight="1" s="99">
      <c r="A504" t="inlineStr">
        <is>
          <t>GMMSW1</t>
        </is>
      </c>
      <c r="B504" t="inlineStr">
        <is>
          <t>GMMSW1_0UL00_Miriswatta_Junction_Gm</t>
        </is>
      </c>
      <c r="C504" s="89" t="inlineStr">
        <is>
          <t>Huawei</t>
        </is>
      </c>
      <c r="F504" t="n">
        <v>7.07465</v>
      </c>
      <c r="G504" t="n">
        <v>80.01730000000001</v>
      </c>
      <c r="H504" t="inlineStr">
        <is>
          <t>GMMSW1H</t>
        </is>
      </c>
      <c r="J504" s="91">
        <f>RIGHT(H504,1)</f>
        <v/>
      </c>
      <c r="K504" s="91">
        <f>_xlfn.XLOOKUP(J504,#REF!,#REF!)</f>
        <v/>
      </c>
      <c r="L504" s="91" t="inlineStr">
        <is>
          <t>4G</t>
        </is>
      </c>
      <c r="M504" s="91" t="n">
        <v>1800</v>
      </c>
      <c r="N504" s="91" t="inlineStr">
        <is>
          <t>AQU4518R9v06</t>
        </is>
      </c>
      <c r="O504" s="92" t="n">
        <v>6</v>
      </c>
      <c r="P504" t="n">
        <v>130</v>
      </c>
      <c r="R504" s="92" t="n">
        <v>0</v>
      </c>
      <c r="Y504" t="inlineStr">
        <is>
          <t>2T2R</t>
        </is>
      </c>
      <c r="AB504" s="91" t="inlineStr">
        <is>
          <t>R9264H M901821</t>
        </is>
      </c>
      <c r="AC504" s="91" t="inlineStr">
        <is>
          <t>A9652 S35*3+R9264H M901821*3+R9254E S8500*2</t>
        </is>
      </c>
      <c r="AD504" s="91">
        <f>_xlfn.XLOOKUP(AE504,[4]透视表!$G:$G,[4]透视表!$E:$E)</f>
        <v/>
      </c>
      <c r="AE504" s="91">
        <f>A504&amp;K504</f>
        <v/>
      </c>
      <c r="AL504" s="91" t="inlineStr">
        <is>
          <t>高优先级</t>
        </is>
      </c>
    </row>
    <row r="505" hidden="1" ht="15" customHeight="1" s="99">
      <c r="A505" t="inlineStr">
        <is>
          <t>GMMSW1</t>
        </is>
      </c>
      <c r="C505" s="89" t="inlineStr">
        <is>
          <t>Huawei</t>
        </is>
      </c>
      <c r="F505" t="n">
        <v>7.07465</v>
      </c>
      <c r="G505" t="n">
        <v>80.01730000000001</v>
      </c>
      <c r="H505" t="inlineStr">
        <is>
          <t>GMMSW1C</t>
        </is>
      </c>
      <c r="J505" s="91">
        <f>RIGHT(H505,1)</f>
        <v/>
      </c>
      <c r="K505" t="inlineStr">
        <is>
          <t>S3</t>
        </is>
      </c>
      <c r="L505" s="91" t="inlineStr">
        <is>
          <t>2G</t>
        </is>
      </c>
      <c r="M505" t="n">
        <v>900</v>
      </c>
      <c r="N505" s="91" t="inlineStr">
        <is>
          <t>AQU4518R9v06</t>
        </is>
      </c>
      <c r="P505" t="n">
        <v>260</v>
      </c>
      <c r="R505" s="92" t="n">
        <v>2</v>
      </c>
      <c r="AB505" s="91" t="inlineStr">
        <is>
          <t>R9264H M901821</t>
        </is>
      </c>
      <c r="AC505" s="91" t="inlineStr">
        <is>
          <t>A9652 S35*3+R9264H M901821*3+R9254E S8500*2</t>
        </is>
      </c>
      <c r="AD505" s="91">
        <f>_xlfn.XLOOKUP(AE505,[4]透视表!$G:$G,[4]透视表!$D:$D)</f>
        <v/>
      </c>
      <c r="AE505" s="91">
        <f>A505&amp;K505</f>
        <v/>
      </c>
      <c r="AL505" s="91" t="inlineStr">
        <is>
          <t>高优先级</t>
        </is>
      </c>
    </row>
    <row r="506" hidden="1" ht="15" customHeight="1" s="99">
      <c r="A506" t="inlineStr">
        <is>
          <t>GMMSW1</t>
        </is>
      </c>
      <c r="C506" s="89" t="inlineStr">
        <is>
          <t>Huawei</t>
        </is>
      </c>
      <c r="F506" t="n">
        <v>7.07465</v>
      </c>
      <c r="G506" t="n">
        <v>80.01730000000001</v>
      </c>
      <c r="H506" t="inlineStr">
        <is>
          <t>GMMSW1R</t>
        </is>
      </c>
      <c r="J506" s="91">
        <f>RIGHT(H506,1)</f>
        <v/>
      </c>
      <c r="K506" t="inlineStr">
        <is>
          <t>S3</t>
        </is>
      </c>
      <c r="L506" s="91" t="inlineStr">
        <is>
          <t>2G</t>
        </is>
      </c>
      <c r="M506" t="n">
        <v>1800</v>
      </c>
      <c r="N506" s="91" t="inlineStr">
        <is>
          <t>AQU4518R9v06</t>
        </is>
      </c>
      <c r="P506" t="n">
        <v>260</v>
      </c>
      <c r="R506" s="92" t="n">
        <v>2</v>
      </c>
      <c r="AB506" s="91" t="inlineStr">
        <is>
          <t>R9264H M901821</t>
        </is>
      </c>
      <c r="AC506" s="91" t="inlineStr">
        <is>
          <t>A9652 S35*3+R9264H M901821*3+R9254E S8500*2</t>
        </is>
      </c>
      <c r="AD506" s="91">
        <f>_xlfn.XLOOKUP(AE506,[4]透视表!$G:$G,[4]透视表!$E:$E)</f>
        <v/>
      </c>
      <c r="AE506" s="91">
        <f>A506&amp;K506</f>
        <v/>
      </c>
      <c r="AL506" s="91" t="inlineStr">
        <is>
          <t>高优先级</t>
        </is>
      </c>
    </row>
    <row r="507" hidden="1" ht="15" customHeight="1" s="99">
      <c r="A507" t="inlineStr">
        <is>
          <t>GMMSW1</t>
        </is>
      </c>
      <c r="B507" t="inlineStr">
        <is>
          <t>GMMSW1_0UL00_Miriswatta_Junction_Gm</t>
        </is>
      </c>
      <c r="C507" s="89" t="inlineStr">
        <is>
          <t>Huawei</t>
        </is>
      </c>
      <c r="F507" t="n">
        <v>7.07465</v>
      </c>
      <c r="G507" t="n">
        <v>80.01730000000001</v>
      </c>
      <c r="H507" t="inlineStr">
        <is>
          <t>GMMSW1-M-L85-C1</t>
        </is>
      </c>
      <c r="J507" s="91">
        <f>LEFT(RIGHT(H507,2),1)</f>
        <v/>
      </c>
      <c r="K507" s="91">
        <f>_xlfn.XLOOKUP(J507,#REF!,#REF!)</f>
        <v/>
      </c>
      <c r="L507" s="91" t="inlineStr">
        <is>
          <t>4G</t>
        </is>
      </c>
      <c r="M507" s="91" t="n">
        <v>850</v>
      </c>
      <c r="N507" s="91" t="inlineStr">
        <is>
          <t>AQU4518R9v06</t>
        </is>
      </c>
      <c r="O507" s="92" t="n">
        <v>6</v>
      </c>
      <c r="P507" t="n">
        <v>260</v>
      </c>
      <c r="R507" s="92" t="n">
        <v>0</v>
      </c>
      <c r="Y507" t="inlineStr">
        <is>
          <t>2T2R</t>
        </is>
      </c>
      <c r="AB507" s="91" t="inlineStr">
        <is>
          <t>R9254E S8500</t>
        </is>
      </c>
      <c r="AC507" s="91" t="inlineStr">
        <is>
          <t>A9652 S35*3+R9264H M901821*3+R9254E S8500*2</t>
        </is>
      </c>
      <c r="AD507" s="91">
        <f>_xlfn.XLOOKUP(AE507,[4]透视表!$G:$G,[4]透视表!$D:$D)</f>
        <v/>
      </c>
      <c r="AE507" s="91">
        <f>A507&amp;K507</f>
        <v/>
      </c>
      <c r="AL507" s="91" t="inlineStr">
        <is>
          <t>高优先级</t>
        </is>
      </c>
    </row>
    <row r="508" hidden="1" ht="15" customHeight="1" s="99">
      <c r="A508" t="inlineStr">
        <is>
          <t>GMMSW1</t>
        </is>
      </c>
      <c r="B508" t="inlineStr">
        <is>
          <t>GMMSW1_0UL00_Miriswatta_Junction_Gm</t>
        </is>
      </c>
      <c r="C508" s="89" t="inlineStr">
        <is>
          <t>Huawei</t>
        </is>
      </c>
      <c r="F508" t="n">
        <v>7.07465</v>
      </c>
      <c r="G508" t="n">
        <v>80.01730000000001</v>
      </c>
      <c r="H508" t="inlineStr">
        <is>
          <t>GMMSW1I</t>
        </is>
      </c>
      <c r="J508" s="91">
        <f>RIGHT(H508,1)</f>
        <v/>
      </c>
      <c r="K508" s="91">
        <f>_xlfn.XLOOKUP(J508,#REF!,#REF!)</f>
        <v/>
      </c>
      <c r="L508" s="91" t="inlineStr">
        <is>
          <t>4G</t>
        </is>
      </c>
      <c r="M508" s="91" t="n">
        <v>1800</v>
      </c>
      <c r="N508" s="91" t="inlineStr">
        <is>
          <t>AQU4518R9v06</t>
        </is>
      </c>
      <c r="O508" s="92" t="n">
        <v>6</v>
      </c>
      <c r="P508" t="n">
        <v>260</v>
      </c>
      <c r="R508" s="92" t="n">
        <v>0</v>
      </c>
      <c r="Y508" t="inlineStr">
        <is>
          <t>2T2R</t>
        </is>
      </c>
      <c r="AB508" s="91" t="inlineStr">
        <is>
          <t>R9264H M901821</t>
        </is>
      </c>
      <c r="AC508" s="91" t="inlineStr">
        <is>
          <t>A9652 S35*3+R9264H M901821*3+R9254E S8500*2</t>
        </is>
      </c>
      <c r="AD508" s="91">
        <f>_xlfn.XLOOKUP(AE508,[4]透视表!$G:$G,[4]透视表!$E:$E)</f>
        <v/>
      </c>
      <c r="AE508" s="91">
        <f>A508&amp;K508</f>
        <v/>
      </c>
      <c r="AL508" s="91" t="inlineStr">
        <is>
          <t>高优先级</t>
        </is>
      </c>
    </row>
    <row r="509" hidden="1" ht="15" customHeight="1" s="99">
      <c r="A509" t="inlineStr">
        <is>
          <t>GMMSW1</t>
        </is>
      </c>
      <c r="B509" t="inlineStr">
        <is>
          <t>GMMSW1_0UL00_Miriswatta_Junction_Gm</t>
        </is>
      </c>
      <c r="C509" s="89" t="inlineStr">
        <is>
          <t>Huawei</t>
        </is>
      </c>
      <c r="F509" t="n">
        <v>7.07465</v>
      </c>
      <c r="G509" t="n">
        <v>80.01730000000001</v>
      </c>
      <c r="H509" t="inlineStr">
        <is>
          <t>GMMSW1-M-L21-C2</t>
        </is>
      </c>
      <c r="J509" s="91">
        <f>LEFT(RIGHT(H509,2),1)</f>
        <v/>
      </c>
      <c r="K509" s="91">
        <f>_xlfn.XLOOKUP(J509,#REF!,#REF!)</f>
        <v/>
      </c>
      <c r="L509" s="91" t="inlineStr">
        <is>
          <t>4G</t>
        </is>
      </c>
      <c r="M509" s="91" t="n">
        <v>2100</v>
      </c>
      <c r="N509" s="91" t="inlineStr">
        <is>
          <t>AQU4518R9v06</t>
        </is>
      </c>
      <c r="O509" s="92" t="n">
        <v>6</v>
      </c>
      <c r="P509" t="n">
        <v>260</v>
      </c>
      <c r="R509" s="92" t="n">
        <v>0</v>
      </c>
      <c r="Y509" t="inlineStr">
        <is>
          <t>2T2R</t>
        </is>
      </c>
      <c r="AB509" s="91" t="inlineStr">
        <is>
          <t>R9264H M901821</t>
        </is>
      </c>
      <c r="AC509" s="91" t="inlineStr">
        <is>
          <t>A9652 S35*3+R9264H M901821*3+R9254E S8500*2</t>
        </is>
      </c>
      <c r="AD509" s="91">
        <f>_xlfn.XLOOKUP(AE509,[4]透视表!$G:$G,[4]透视表!$F:$F)</f>
        <v/>
      </c>
      <c r="AE509" s="91">
        <f>A509&amp;K509</f>
        <v/>
      </c>
      <c r="AL509" s="91" t="inlineStr">
        <is>
          <t>高优先级</t>
        </is>
      </c>
    </row>
    <row r="510" hidden="1" ht="15" customHeight="1" s="99">
      <c r="A510" t="inlineStr">
        <is>
          <t>GMORU1</t>
        </is>
      </c>
      <c r="C510" s="89" t="inlineStr">
        <is>
          <t>Huawei</t>
        </is>
      </c>
      <c r="F510" t="n">
        <v>7.07303</v>
      </c>
      <c r="G510" t="n">
        <v>79.996</v>
      </c>
      <c r="H510" t="inlineStr">
        <is>
          <t>GMORU1A</t>
        </is>
      </c>
      <c r="J510" s="91">
        <f>RIGHT(H510,1)</f>
        <v/>
      </c>
      <c r="K510" t="inlineStr">
        <is>
          <t>S1</t>
        </is>
      </c>
      <c r="L510" s="91" t="inlineStr">
        <is>
          <t>2G</t>
        </is>
      </c>
      <c r="M510" t="n">
        <v>900</v>
      </c>
      <c r="N510" s="91" t="e">
        <v>#N/A</v>
      </c>
      <c r="P510" t="n">
        <v>105</v>
      </c>
      <c r="R510" s="92" t="n">
        <v>2</v>
      </c>
      <c r="AB510" s="91" t="inlineStr">
        <is>
          <t>R9264H M901821</t>
        </is>
      </c>
      <c r="AC510" s="91" t="inlineStr">
        <is>
          <t>A9652 S35*3+R9264H M901821*3+R9254E S8500*2</t>
        </is>
      </c>
      <c r="AD510" s="91">
        <f>_xlfn.XLOOKUP(AE510,[4]透视表!$G:$G,[4]透视表!$D:$D)</f>
        <v/>
      </c>
      <c r="AE510" s="91">
        <f>A510&amp;K510</f>
        <v/>
      </c>
      <c r="AL510" s="91" t="inlineStr">
        <is>
          <t>高优先级</t>
        </is>
      </c>
    </row>
    <row r="511" hidden="1" ht="15" customHeight="1" s="99">
      <c r="A511" t="inlineStr">
        <is>
          <t>GMORU1</t>
        </is>
      </c>
      <c r="B511" t="inlineStr">
        <is>
          <t>GMORU1_00L00_Oruthota_Gm</t>
        </is>
      </c>
      <c r="C511" s="89" t="inlineStr">
        <is>
          <t>Huawei</t>
        </is>
      </c>
      <c r="F511" t="n">
        <v>7.07303</v>
      </c>
      <c r="G511" t="n">
        <v>79.996</v>
      </c>
      <c r="H511" t="inlineStr">
        <is>
          <t>GMORU1-M-L85-A1</t>
        </is>
      </c>
      <c r="J511" s="91">
        <f>LEFT(RIGHT(H511,2),1)</f>
        <v/>
      </c>
      <c r="K511" s="91">
        <f>_xlfn.XLOOKUP(J511,#REF!,#REF!)</f>
        <v/>
      </c>
      <c r="L511" s="91" t="inlineStr">
        <is>
          <t>4G</t>
        </is>
      </c>
      <c r="M511" s="91" t="n">
        <v>850</v>
      </c>
      <c r="N511" s="91" t="e">
        <v>#N/A</v>
      </c>
      <c r="O511" s="92" t="n">
        <v>60</v>
      </c>
      <c r="P511" t="n">
        <v>105</v>
      </c>
      <c r="R511" s="92" t="n">
        <v>0</v>
      </c>
      <c r="Y511" t="inlineStr">
        <is>
          <t>2T2R</t>
        </is>
      </c>
      <c r="AB511" s="91" t="inlineStr">
        <is>
          <t>R9254E S8500</t>
        </is>
      </c>
      <c r="AC511" s="91" t="inlineStr">
        <is>
          <t>A9652 S35*3+R9264H M901821*3+R9254E S8500*2</t>
        </is>
      </c>
      <c r="AD511" s="91">
        <f>_xlfn.XLOOKUP(AE511,[4]透视表!$G:$G,[4]透视表!$D:$D)</f>
        <v/>
      </c>
      <c r="AE511" s="91">
        <f>A511&amp;K511</f>
        <v/>
      </c>
      <c r="AL511" s="91" t="inlineStr">
        <is>
          <t>高优先级</t>
        </is>
      </c>
    </row>
    <row r="512" hidden="1" ht="15" customHeight="1" s="99">
      <c r="A512" t="inlineStr">
        <is>
          <t>GMORU1</t>
        </is>
      </c>
      <c r="B512" t="inlineStr">
        <is>
          <t>GMORU1_00L00_Oruthota_Gm</t>
        </is>
      </c>
      <c r="C512" s="89" t="inlineStr">
        <is>
          <t>Huawei</t>
        </is>
      </c>
      <c r="F512" t="n">
        <v>7.07303</v>
      </c>
      <c r="G512" t="n">
        <v>79.996</v>
      </c>
      <c r="H512" t="inlineStr">
        <is>
          <t>GMORU1G</t>
        </is>
      </c>
      <c r="J512" s="91">
        <f>RIGHT(H512,1)</f>
        <v/>
      </c>
      <c r="K512" s="91">
        <f>_xlfn.XLOOKUP(J512,#REF!,#REF!)</f>
        <v/>
      </c>
      <c r="L512" s="91" t="inlineStr">
        <is>
          <t>4G</t>
        </is>
      </c>
      <c r="M512" s="91" t="n">
        <v>1800</v>
      </c>
      <c r="N512" s="91" t="e">
        <v>#N/A</v>
      </c>
      <c r="O512" s="92" t="n">
        <v>60</v>
      </c>
      <c r="P512" t="n">
        <v>105</v>
      </c>
      <c r="R512" s="92" t="n">
        <v>0</v>
      </c>
      <c r="Y512" t="inlineStr">
        <is>
          <t>4T4R</t>
        </is>
      </c>
      <c r="AB512" s="91" t="inlineStr">
        <is>
          <t>R9264H M901821</t>
        </is>
      </c>
      <c r="AC512" s="91" t="inlineStr">
        <is>
          <t>A9652 S35*3+R9264H M901821*3+R9254E S8500*2</t>
        </is>
      </c>
      <c r="AD512" s="91">
        <f>_xlfn.XLOOKUP(AE512,[4]透视表!$G:$G,[4]透视表!$E:$E)</f>
        <v/>
      </c>
      <c r="AE512" s="91">
        <f>A512&amp;K512</f>
        <v/>
      </c>
      <c r="AL512" s="91" t="inlineStr">
        <is>
          <t>高优先级</t>
        </is>
      </c>
    </row>
    <row r="513" hidden="1" ht="15" customHeight="1" s="99">
      <c r="A513" t="inlineStr">
        <is>
          <t>GMORU1</t>
        </is>
      </c>
      <c r="C513" s="89" t="inlineStr">
        <is>
          <t>Huawei</t>
        </is>
      </c>
      <c r="F513" t="n">
        <v>7.07303</v>
      </c>
      <c r="G513" t="n">
        <v>79.996</v>
      </c>
      <c r="H513" t="inlineStr">
        <is>
          <t>GMORU1B</t>
        </is>
      </c>
      <c r="J513" s="91">
        <f>RIGHT(H513,1)</f>
        <v/>
      </c>
      <c r="K513" t="inlineStr">
        <is>
          <t>S2</t>
        </is>
      </c>
      <c r="L513" s="91" t="inlineStr">
        <is>
          <t>2G</t>
        </is>
      </c>
      <c r="M513" t="n">
        <v>900</v>
      </c>
      <c r="N513" s="91" t="inlineStr">
        <is>
          <t>APE4517R0v06</t>
        </is>
      </c>
      <c r="P513" t="n">
        <v>200</v>
      </c>
      <c r="R513" s="92" t="n">
        <v>2</v>
      </c>
      <c r="AB513" s="91" t="inlineStr">
        <is>
          <t>R9264H M901821</t>
        </is>
      </c>
      <c r="AC513" s="91" t="inlineStr">
        <is>
          <t>A9652 S35*3+R9264H M901821*3+R9254E S8500*2</t>
        </is>
      </c>
      <c r="AD513" s="91">
        <f>_xlfn.XLOOKUP(AE513,[4]透视表!$G:$G,[4]透视表!$D:$D)</f>
        <v/>
      </c>
      <c r="AE513" s="91">
        <f>A513&amp;K513</f>
        <v/>
      </c>
      <c r="AL513" s="91" t="inlineStr">
        <is>
          <t>高优先级</t>
        </is>
      </c>
    </row>
    <row r="514" hidden="1" ht="15" customHeight="1" s="99">
      <c r="A514" t="inlineStr">
        <is>
          <t>GMORU1</t>
        </is>
      </c>
      <c r="C514" s="89" t="inlineStr">
        <is>
          <t>Huawei</t>
        </is>
      </c>
      <c r="F514" t="n">
        <v>7.07303</v>
      </c>
      <c r="G514" t="n">
        <v>79.996</v>
      </c>
      <c r="H514" t="inlineStr">
        <is>
          <t>GMORU1Q</t>
        </is>
      </c>
      <c r="J514" s="91">
        <f>RIGHT(H514,1)</f>
        <v/>
      </c>
      <c r="K514" t="inlineStr">
        <is>
          <t>S2</t>
        </is>
      </c>
      <c r="L514" s="91" t="inlineStr">
        <is>
          <t>2G</t>
        </is>
      </c>
      <c r="M514" t="n">
        <v>1800</v>
      </c>
      <c r="N514" s="91" t="inlineStr">
        <is>
          <t>APE4517R0v06</t>
        </is>
      </c>
      <c r="P514" t="n">
        <v>200</v>
      </c>
      <c r="R514" s="92" t="n">
        <v>2</v>
      </c>
      <c r="AB514" s="91" t="inlineStr">
        <is>
          <t>R9264H M901821</t>
        </is>
      </c>
      <c r="AC514" s="91" t="inlineStr">
        <is>
          <t>A9652 S35*3+R9264H M901821*3+R9254E S8500*2</t>
        </is>
      </c>
      <c r="AD514" s="91">
        <f>_xlfn.XLOOKUP(AE514,[4]透视表!$G:$G,[4]透视表!$E:$E)</f>
        <v/>
      </c>
      <c r="AE514" s="91">
        <f>A514&amp;K514</f>
        <v/>
      </c>
      <c r="AL514" s="91" t="inlineStr">
        <is>
          <t>高优先级</t>
        </is>
      </c>
    </row>
    <row r="515" hidden="1" ht="15" customHeight="1" s="99">
      <c r="A515" t="inlineStr">
        <is>
          <t>GMORU1</t>
        </is>
      </c>
      <c r="B515" t="inlineStr">
        <is>
          <t>GMORU1_00L00_Oruthota_Gm</t>
        </is>
      </c>
      <c r="C515" s="89" t="inlineStr">
        <is>
          <t>Huawei</t>
        </is>
      </c>
      <c r="F515" t="n">
        <v>7.07303</v>
      </c>
      <c r="G515" t="n">
        <v>79.996</v>
      </c>
      <c r="H515" t="inlineStr">
        <is>
          <t>GMORU1-M-L85-B1</t>
        </is>
      </c>
      <c r="J515" s="91">
        <f>LEFT(RIGHT(H515,2),1)</f>
        <v/>
      </c>
      <c r="K515" s="91">
        <f>_xlfn.XLOOKUP(J515,#REF!,#REF!)</f>
        <v/>
      </c>
      <c r="L515" s="91" t="inlineStr">
        <is>
          <t>4G</t>
        </is>
      </c>
      <c r="M515" s="91" t="n">
        <v>850</v>
      </c>
      <c r="N515" s="91" t="inlineStr">
        <is>
          <t>APE4517R0v06</t>
        </is>
      </c>
      <c r="O515" s="92" t="n">
        <v>60</v>
      </c>
      <c r="P515" t="n">
        <v>200</v>
      </c>
      <c r="R515" s="92" t="n">
        <v>0</v>
      </c>
      <c r="Y515" t="inlineStr">
        <is>
          <t>2T2R</t>
        </is>
      </c>
      <c r="AB515" s="91" t="inlineStr">
        <is>
          <t>R9254E S8500</t>
        </is>
      </c>
      <c r="AC515" s="91" t="inlineStr">
        <is>
          <t>A9652 S35*3+R9264H M901821*3+R9254E S8500*2</t>
        </is>
      </c>
      <c r="AD515" s="91">
        <f>_xlfn.XLOOKUP(AE515,[4]透视表!$G:$G,[4]透视表!$D:$D)</f>
        <v/>
      </c>
      <c r="AE515" s="91">
        <f>A515&amp;K515</f>
        <v/>
      </c>
      <c r="AL515" s="91" t="inlineStr">
        <is>
          <t>高优先级</t>
        </is>
      </c>
    </row>
    <row r="516" hidden="1" ht="15" customHeight="1" s="99">
      <c r="A516" t="inlineStr">
        <is>
          <t>GMORU1</t>
        </is>
      </c>
      <c r="B516" t="inlineStr">
        <is>
          <t>GMORU1_00L00_Oruthota_Gm</t>
        </is>
      </c>
      <c r="C516" s="89" t="inlineStr">
        <is>
          <t>Huawei</t>
        </is>
      </c>
      <c r="F516" t="n">
        <v>7.07303</v>
      </c>
      <c r="G516" t="n">
        <v>79.996</v>
      </c>
      <c r="H516" t="inlineStr">
        <is>
          <t>GMORU1H</t>
        </is>
      </c>
      <c r="J516" s="91">
        <f>RIGHT(H516,1)</f>
        <v/>
      </c>
      <c r="K516" s="91">
        <f>_xlfn.XLOOKUP(J516,#REF!,#REF!)</f>
        <v/>
      </c>
      <c r="L516" s="91" t="inlineStr">
        <is>
          <t>4G</t>
        </is>
      </c>
      <c r="M516" s="91" t="n">
        <v>1800</v>
      </c>
      <c r="N516" s="91" t="inlineStr">
        <is>
          <t>APE4517R0v06</t>
        </is>
      </c>
      <c r="O516" s="92" t="n">
        <v>60</v>
      </c>
      <c r="P516" t="n">
        <v>200</v>
      </c>
      <c r="R516" s="92" t="n">
        <v>0</v>
      </c>
      <c r="Y516" t="inlineStr">
        <is>
          <t>4T4R</t>
        </is>
      </c>
      <c r="AB516" s="91" t="inlineStr">
        <is>
          <t>R9264H M901821</t>
        </is>
      </c>
      <c r="AC516" s="91" t="inlineStr">
        <is>
          <t>A9652 S35*3+R9264H M901821*3+R9254E S8500*2</t>
        </is>
      </c>
      <c r="AD516" s="91">
        <f>_xlfn.XLOOKUP(AE516,[4]透视表!$G:$G,[4]透视表!$E:$E)</f>
        <v/>
      </c>
      <c r="AE516" s="91">
        <f>A516&amp;K516</f>
        <v/>
      </c>
      <c r="AL516" s="91" t="inlineStr">
        <is>
          <t>高优先级</t>
        </is>
      </c>
    </row>
    <row r="517" hidden="1" ht="15" customHeight="1" s="99">
      <c r="A517" t="inlineStr">
        <is>
          <t>GMORU1</t>
        </is>
      </c>
      <c r="B517" t="inlineStr">
        <is>
          <t>GMORU1_00L00_Oruthota_Gm</t>
        </is>
      </c>
      <c r="C517" s="89" t="inlineStr">
        <is>
          <t>Huawei</t>
        </is>
      </c>
      <c r="F517" t="n">
        <v>7.07303</v>
      </c>
      <c r="G517" t="n">
        <v>79.996</v>
      </c>
      <c r="H517" t="inlineStr">
        <is>
          <t>GMORU1-M-L21-B2</t>
        </is>
      </c>
      <c r="J517" s="91">
        <f>LEFT(RIGHT(H517,2),1)</f>
        <v/>
      </c>
      <c r="K517" s="91">
        <f>_xlfn.XLOOKUP(J517,#REF!,#REF!)</f>
        <v/>
      </c>
      <c r="L517" s="91" t="inlineStr">
        <is>
          <t>4G</t>
        </is>
      </c>
      <c r="M517" s="91" t="n">
        <v>2100</v>
      </c>
      <c r="N517" s="91" t="inlineStr">
        <is>
          <t>APE4517R0v06</t>
        </is>
      </c>
      <c r="O517" s="92" t="n">
        <v>60</v>
      </c>
      <c r="P517" t="n">
        <v>200</v>
      </c>
      <c r="R517" s="92" t="n">
        <v>0</v>
      </c>
      <c r="Y517" t="inlineStr">
        <is>
          <t>4T4R</t>
        </is>
      </c>
      <c r="AB517" s="91" t="inlineStr">
        <is>
          <t>R9264H M901821</t>
        </is>
      </c>
      <c r="AC517" s="91" t="inlineStr">
        <is>
          <t>A9652 S35*3+R9264H M901821*3+R9254E S8500*2</t>
        </is>
      </c>
      <c r="AD517" s="91">
        <f>_xlfn.XLOOKUP(AE517,[4]透视表!$G:$G,[4]透视表!$F:$F)</f>
        <v/>
      </c>
      <c r="AE517" s="91">
        <f>A517&amp;K517</f>
        <v/>
      </c>
      <c r="AL517" s="91" t="inlineStr">
        <is>
          <t>高优先级</t>
        </is>
      </c>
    </row>
    <row r="518" hidden="1" ht="15" customHeight="1" s="99">
      <c r="A518" t="inlineStr">
        <is>
          <t>GMORU1</t>
        </is>
      </c>
      <c r="C518" s="89" t="inlineStr">
        <is>
          <t>Huawei</t>
        </is>
      </c>
      <c r="F518" t="n">
        <v>7.07303</v>
      </c>
      <c r="G518" t="n">
        <v>79.996</v>
      </c>
      <c r="H518" t="inlineStr">
        <is>
          <t>GMORU1C</t>
        </is>
      </c>
      <c r="J518" s="91">
        <f>RIGHT(H518,1)</f>
        <v/>
      </c>
      <c r="K518" t="inlineStr">
        <is>
          <t>S3</t>
        </is>
      </c>
      <c r="L518" s="91" t="inlineStr">
        <is>
          <t>2G</t>
        </is>
      </c>
      <c r="M518" t="n">
        <v>900</v>
      </c>
      <c r="N518" s="91" t="e">
        <v>#N/A</v>
      </c>
      <c r="P518" t="n">
        <v>305</v>
      </c>
      <c r="R518" s="92" t="n">
        <v>2</v>
      </c>
      <c r="AB518" s="91" t="inlineStr">
        <is>
          <t>R9264H M901821</t>
        </is>
      </c>
      <c r="AC518" s="91" t="inlineStr">
        <is>
          <t>A9652 S35*3+R9264H M901821*3+R9254E S8500*2</t>
        </is>
      </c>
      <c r="AD518" s="91">
        <f>_xlfn.XLOOKUP(AE518,[4]透视表!$G:$G,[4]透视表!$D:$D)</f>
        <v/>
      </c>
      <c r="AE518" s="91">
        <f>A518&amp;K518</f>
        <v/>
      </c>
      <c r="AL518" s="91" t="inlineStr">
        <is>
          <t>高优先级</t>
        </is>
      </c>
    </row>
    <row r="519" hidden="1" ht="15" customHeight="1" s="99">
      <c r="A519" t="inlineStr">
        <is>
          <t>GMORU1</t>
        </is>
      </c>
      <c r="B519" t="inlineStr">
        <is>
          <t>GMORU1_00L00_Oruthota_Gm</t>
        </is>
      </c>
      <c r="C519" s="89" t="inlineStr">
        <is>
          <t>Huawei</t>
        </is>
      </c>
      <c r="F519" t="n">
        <v>7.07303</v>
      </c>
      <c r="G519" t="n">
        <v>79.996</v>
      </c>
      <c r="H519" t="inlineStr">
        <is>
          <t>GMORU1-M-L85-C1</t>
        </is>
      </c>
      <c r="J519" s="91">
        <f>LEFT(RIGHT(H519,2),1)</f>
        <v/>
      </c>
      <c r="K519" s="91">
        <f>_xlfn.XLOOKUP(J519,#REF!,#REF!)</f>
        <v/>
      </c>
      <c r="L519" s="91" t="inlineStr">
        <is>
          <t>4G</t>
        </is>
      </c>
      <c r="M519" s="91" t="n">
        <v>850</v>
      </c>
      <c r="N519" s="91" t="e">
        <v>#N/A</v>
      </c>
      <c r="O519" s="92" t="n">
        <v>60</v>
      </c>
      <c r="P519" t="n">
        <v>305</v>
      </c>
      <c r="R519" s="92" t="n">
        <v>0</v>
      </c>
      <c r="Y519" t="inlineStr">
        <is>
          <t>2T2R</t>
        </is>
      </c>
      <c r="AB519" s="91" t="inlineStr">
        <is>
          <t>R9254E S8500</t>
        </is>
      </c>
      <c r="AC519" s="91" t="inlineStr">
        <is>
          <t>A9652 S35*3+R9264H M901821*3+R9254E S8500*2</t>
        </is>
      </c>
      <c r="AD519" s="91">
        <f>_xlfn.XLOOKUP(AE519,[4]透视表!$G:$G,[4]透视表!$D:$D)</f>
        <v/>
      </c>
      <c r="AE519" s="91">
        <f>A519&amp;K519</f>
        <v/>
      </c>
      <c r="AL519" s="91" t="inlineStr">
        <is>
          <t>高优先级</t>
        </is>
      </c>
    </row>
    <row r="520" hidden="1" ht="15" customHeight="1" s="99">
      <c r="A520" t="inlineStr">
        <is>
          <t>GMORU1</t>
        </is>
      </c>
      <c r="B520" t="inlineStr">
        <is>
          <t>GMORU1_00L00_Oruthota_Gm</t>
        </is>
      </c>
      <c r="C520" s="89" t="inlineStr">
        <is>
          <t>Huawei</t>
        </is>
      </c>
      <c r="F520" t="n">
        <v>7.07303</v>
      </c>
      <c r="G520" t="n">
        <v>79.996</v>
      </c>
      <c r="H520" t="inlineStr">
        <is>
          <t>GMORU1I</t>
        </is>
      </c>
      <c r="J520" s="91">
        <f>RIGHT(H520,1)</f>
        <v/>
      </c>
      <c r="K520" s="91">
        <f>_xlfn.XLOOKUP(J520,#REF!,#REF!)</f>
        <v/>
      </c>
      <c r="L520" s="91" t="inlineStr">
        <is>
          <t>4G</t>
        </is>
      </c>
      <c r="M520" s="91" t="n">
        <v>1800</v>
      </c>
      <c r="N520" s="91" t="e">
        <v>#N/A</v>
      </c>
      <c r="O520" s="92" t="n">
        <v>60</v>
      </c>
      <c r="P520" t="n">
        <v>305</v>
      </c>
      <c r="R520" s="92" t="n">
        <v>0</v>
      </c>
      <c r="Y520" t="inlineStr">
        <is>
          <t>4T4R</t>
        </is>
      </c>
      <c r="AB520" s="91" t="inlineStr">
        <is>
          <t>R9264H M901821</t>
        </is>
      </c>
      <c r="AC520" s="91" t="inlineStr">
        <is>
          <t>A9652 S35*3+R9264H M901821*3+R9254E S8500*2</t>
        </is>
      </c>
      <c r="AD520" s="91">
        <f>_xlfn.XLOOKUP(AE520,[4]透视表!$G:$G,[4]透视表!$E:$E)</f>
        <v/>
      </c>
      <c r="AE520" s="91">
        <f>A520&amp;K520</f>
        <v/>
      </c>
      <c r="AL520" s="91" t="inlineStr">
        <is>
          <t>高优先级</t>
        </is>
      </c>
    </row>
    <row r="521" hidden="1" ht="15" customHeight="1" s="99">
      <c r="A521" t="inlineStr">
        <is>
          <t>GMRAT1</t>
        </is>
      </c>
      <c r="C521" s="89" t="inlineStr">
        <is>
          <t>Huawei</t>
        </is>
      </c>
      <c r="F521" t="n">
        <v>7.0538</v>
      </c>
      <c r="G521" t="n">
        <v>80.018</v>
      </c>
      <c r="H521" t="inlineStr">
        <is>
          <t>GMRAT1A</t>
        </is>
      </c>
      <c r="J521" s="91">
        <f>RIGHT(H521,1)</f>
        <v/>
      </c>
      <c r="K521" t="inlineStr">
        <is>
          <t>S1</t>
        </is>
      </c>
      <c r="L521" s="91" t="inlineStr">
        <is>
          <t>2G</t>
        </is>
      </c>
      <c r="M521" t="n">
        <v>900</v>
      </c>
      <c r="N521" s="91" t="inlineStr"/>
      <c r="P521" t="n">
        <v>100</v>
      </c>
      <c r="R521" s="92" t="n">
        <v>2</v>
      </c>
      <c r="AB521" s="91" t="inlineStr">
        <is>
          <t>R9264H M901821</t>
        </is>
      </c>
      <c r="AC521" s="91" t="inlineStr">
        <is>
          <t>A9652 S35*3+R9264H M901821*3+R9254E S8500*2</t>
        </is>
      </c>
      <c r="AD521" s="91">
        <f>_xlfn.XLOOKUP(AE521,[4]透视表!$G:$G,[4]透视表!$D:$D)</f>
        <v/>
      </c>
      <c r="AE521" s="91">
        <f>A521&amp;K521</f>
        <v/>
      </c>
      <c r="AL521" s="91" t="inlineStr">
        <is>
          <t>高优先级</t>
        </is>
      </c>
    </row>
    <row r="522" hidden="1" ht="15" customHeight="1" s="99">
      <c r="A522" t="inlineStr">
        <is>
          <t>GMRAT1</t>
        </is>
      </c>
      <c r="C522" s="89" t="inlineStr">
        <is>
          <t>Huawei</t>
        </is>
      </c>
      <c r="F522" t="n">
        <v>7.0538</v>
      </c>
      <c r="G522" t="n">
        <v>80.018</v>
      </c>
      <c r="H522" t="inlineStr">
        <is>
          <t>GMRAT1P</t>
        </is>
      </c>
      <c r="J522" s="91">
        <f>RIGHT(H522,1)</f>
        <v/>
      </c>
      <c r="K522" t="inlineStr">
        <is>
          <t>S1</t>
        </is>
      </c>
      <c r="L522" s="91" t="inlineStr">
        <is>
          <t>2G</t>
        </is>
      </c>
      <c r="M522" t="n">
        <v>1800</v>
      </c>
      <c r="N522" s="91" t="inlineStr"/>
      <c r="P522" t="n">
        <v>100</v>
      </c>
      <c r="R522" s="92" t="n">
        <v>2</v>
      </c>
      <c r="AB522" s="91" t="inlineStr">
        <is>
          <t>R9264H M901821</t>
        </is>
      </c>
      <c r="AC522" s="91" t="inlineStr">
        <is>
          <t>A9652 S35*3+R9264H M901821*3+R9254E S8500*2</t>
        </is>
      </c>
      <c r="AD522" s="91">
        <f>_xlfn.XLOOKUP(AE522,[4]透视表!$G:$G,[4]透视表!$E:$E)</f>
        <v/>
      </c>
      <c r="AE522" s="91">
        <f>A522&amp;K522</f>
        <v/>
      </c>
      <c r="AL522" s="91" t="inlineStr">
        <is>
          <t>高优先级</t>
        </is>
      </c>
    </row>
    <row r="523" hidden="1" ht="15" customHeight="1" s="99">
      <c r="A523" t="inlineStr">
        <is>
          <t>GMRAT1</t>
        </is>
      </c>
      <c r="B523" t="inlineStr">
        <is>
          <t>GMRAT1_GUL00_Rathupaswala_Gm</t>
        </is>
      </c>
      <c r="C523" s="89" t="inlineStr">
        <is>
          <t>Huawei</t>
        </is>
      </c>
      <c r="F523" t="n">
        <v>7.0538</v>
      </c>
      <c r="G523" t="n">
        <v>80.018</v>
      </c>
      <c r="H523" t="inlineStr">
        <is>
          <t>GMRAT1-M-L85-A1</t>
        </is>
      </c>
      <c r="J523" s="91">
        <f>LEFT(RIGHT(H523,2),1)</f>
        <v/>
      </c>
      <c r="K523" s="91">
        <f>_xlfn.XLOOKUP(J523,#REF!,#REF!)</f>
        <v/>
      </c>
      <c r="L523" s="91" t="inlineStr">
        <is>
          <t>4G</t>
        </is>
      </c>
      <c r="M523" s="91" t="n">
        <v>850</v>
      </c>
      <c r="N523" s="91" t="inlineStr"/>
      <c r="O523" s="92" t="n">
        <v>60</v>
      </c>
      <c r="P523" t="n">
        <v>100</v>
      </c>
      <c r="R523" s="92" t="n">
        <v>0</v>
      </c>
      <c r="Y523" t="inlineStr">
        <is>
          <t>2T2R</t>
        </is>
      </c>
      <c r="AB523" s="91" t="inlineStr">
        <is>
          <t>R9254E S8500</t>
        </is>
      </c>
      <c r="AC523" s="91" t="inlineStr">
        <is>
          <t>A9652 S35*3+R9264H M901821*3+R9254E S8500*2</t>
        </is>
      </c>
      <c r="AD523" s="91">
        <f>_xlfn.XLOOKUP(AE523,[4]透视表!$G:$G,[4]透视表!$D:$D)</f>
        <v/>
      </c>
      <c r="AE523" s="91">
        <f>A523&amp;K523</f>
        <v/>
      </c>
      <c r="AL523" s="91" t="inlineStr">
        <is>
          <t>高优先级</t>
        </is>
      </c>
    </row>
    <row r="524" hidden="1" ht="15" customHeight="1" s="99">
      <c r="A524" t="inlineStr">
        <is>
          <t>GMRAT1</t>
        </is>
      </c>
      <c r="B524" t="inlineStr">
        <is>
          <t>GMRAT1_GUL00_Rathupaswala_Gm</t>
        </is>
      </c>
      <c r="C524" s="89" t="inlineStr">
        <is>
          <t>Huawei</t>
        </is>
      </c>
      <c r="F524" t="n">
        <v>7.0538</v>
      </c>
      <c r="G524" t="n">
        <v>80.018</v>
      </c>
      <c r="H524" t="inlineStr">
        <is>
          <t>GMRAT1G</t>
        </is>
      </c>
      <c r="J524" s="91">
        <f>RIGHT(H524,1)</f>
        <v/>
      </c>
      <c r="K524" s="91">
        <f>_xlfn.XLOOKUP(J524,#REF!,#REF!)</f>
        <v/>
      </c>
      <c r="L524" s="91" t="inlineStr">
        <is>
          <t>4G</t>
        </is>
      </c>
      <c r="M524" s="91" t="n">
        <v>1800</v>
      </c>
      <c r="N524" s="91" t="inlineStr"/>
      <c r="O524" s="92" t="n">
        <v>60</v>
      </c>
      <c r="P524" t="n">
        <v>100</v>
      </c>
      <c r="R524" s="92" t="n">
        <v>0</v>
      </c>
      <c r="Y524" t="inlineStr">
        <is>
          <t>4T4R</t>
        </is>
      </c>
      <c r="AB524" s="91" t="inlineStr">
        <is>
          <t>R9264H M901821</t>
        </is>
      </c>
      <c r="AC524" s="91" t="inlineStr">
        <is>
          <t>A9652 S35*3+R9264H M901821*3+R9254E S8500*2</t>
        </is>
      </c>
      <c r="AD524" s="91">
        <f>_xlfn.XLOOKUP(AE524,[4]透视表!$G:$G,[4]透视表!$E:$E)</f>
        <v/>
      </c>
      <c r="AE524" s="91">
        <f>A524&amp;K524</f>
        <v/>
      </c>
      <c r="AL524" s="91" t="inlineStr">
        <is>
          <t>高优先级</t>
        </is>
      </c>
    </row>
    <row r="525" hidden="1" ht="15" customHeight="1" s="99">
      <c r="A525" t="inlineStr">
        <is>
          <t>GMRAT1</t>
        </is>
      </c>
      <c r="B525" t="inlineStr">
        <is>
          <t>GMRAT1_GUL00_Rathupaswala_Gm</t>
        </is>
      </c>
      <c r="C525" s="89" t="inlineStr">
        <is>
          <t>Huawei</t>
        </is>
      </c>
      <c r="F525" t="n">
        <v>7.0538</v>
      </c>
      <c r="G525" t="n">
        <v>80.018</v>
      </c>
      <c r="H525" t="inlineStr">
        <is>
          <t>GMRAT1-M-L21-A2</t>
        </is>
      </c>
      <c r="J525" s="91">
        <f>LEFT(RIGHT(H525,2),1)</f>
        <v/>
      </c>
      <c r="K525" s="91">
        <f>_xlfn.XLOOKUP(J525,#REF!,#REF!)</f>
        <v/>
      </c>
      <c r="L525" s="91" t="inlineStr">
        <is>
          <t>4G</t>
        </is>
      </c>
      <c r="M525" s="91" t="n">
        <v>2100</v>
      </c>
      <c r="N525" s="91" t="inlineStr">
        <is>
          <t>AQU4518R9v06</t>
        </is>
      </c>
      <c r="O525" s="92" t="n">
        <v>60</v>
      </c>
      <c r="P525" t="n">
        <v>100</v>
      </c>
      <c r="R525" s="92" t="n">
        <v>0</v>
      </c>
      <c r="Y525" t="inlineStr">
        <is>
          <t>2T2R</t>
        </is>
      </c>
      <c r="AB525" s="91" t="inlineStr">
        <is>
          <t>R9264H M901821</t>
        </is>
      </c>
      <c r="AC525" s="91" t="inlineStr">
        <is>
          <t>A9652 S35*3+R9264H M901821*3+R9254E S8500*2</t>
        </is>
      </c>
      <c r="AD525" s="91">
        <f>_xlfn.XLOOKUP(AE525,[4]透视表!$G:$G,[4]透视表!$F:$F)</f>
        <v/>
      </c>
      <c r="AE525" s="91">
        <f>A525&amp;K525</f>
        <v/>
      </c>
      <c r="AL525" s="91" t="inlineStr">
        <is>
          <t>高优先级</t>
        </is>
      </c>
    </row>
    <row r="526" hidden="1" ht="15" customHeight="1" s="99">
      <c r="A526" t="inlineStr">
        <is>
          <t>GMRAT1</t>
        </is>
      </c>
      <c r="C526" s="89" t="inlineStr">
        <is>
          <t>Huawei</t>
        </is>
      </c>
      <c r="F526" t="n">
        <v>7.0538</v>
      </c>
      <c r="G526" t="n">
        <v>80.018</v>
      </c>
      <c r="H526" t="inlineStr">
        <is>
          <t>GMRAT1B</t>
        </is>
      </c>
      <c r="J526" s="91">
        <f>RIGHT(H526,1)</f>
        <v/>
      </c>
      <c r="K526" t="inlineStr">
        <is>
          <t>S2</t>
        </is>
      </c>
      <c r="L526" s="91" t="inlineStr">
        <is>
          <t>2G</t>
        </is>
      </c>
      <c r="M526" t="n">
        <v>900</v>
      </c>
      <c r="N526" s="91" t="e">
        <v>#N/A</v>
      </c>
      <c r="P526" t="n">
        <v>170</v>
      </c>
      <c r="R526" s="92" t="n">
        <v>2</v>
      </c>
      <c r="AB526" s="91" t="inlineStr">
        <is>
          <t>R9264H M901821</t>
        </is>
      </c>
      <c r="AC526" s="91" t="inlineStr">
        <is>
          <t>A9652 S35*3+R9264H M901821*3+R9254E S8500*2</t>
        </is>
      </c>
      <c r="AD526" s="91">
        <f>_xlfn.XLOOKUP(AE526,[4]透视表!$G:$G,[4]透视表!$D:$D)</f>
        <v/>
      </c>
      <c r="AE526" s="91">
        <f>A526&amp;K526</f>
        <v/>
      </c>
      <c r="AL526" s="91" t="inlineStr">
        <is>
          <t>高优先级</t>
        </is>
      </c>
    </row>
    <row r="527" hidden="1" ht="15" customHeight="1" s="99">
      <c r="A527" t="inlineStr">
        <is>
          <t>GMRAT1</t>
        </is>
      </c>
      <c r="C527" s="89" t="inlineStr">
        <is>
          <t>Huawei</t>
        </is>
      </c>
      <c r="F527" t="n">
        <v>7.0538</v>
      </c>
      <c r="G527" t="n">
        <v>80.018</v>
      </c>
      <c r="H527" t="inlineStr">
        <is>
          <t>GMRAT1Q</t>
        </is>
      </c>
      <c r="J527" s="91">
        <f>RIGHT(H527,1)</f>
        <v/>
      </c>
      <c r="K527" t="inlineStr">
        <is>
          <t>S2</t>
        </is>
      </c>
      <c r="L527" s="91" t="inlineStr">
        <is>
          <t>2G</t>
        </is>
      </c>
      <c r="M527" t="n">
        <v>1800</v>
      </c>
      <c r="N527" s="91" t="e">
        <v>#N/A</v>
      </c>
      <c r="P527" t="n">
        <v>170</v>
      </c>
      <c r="R527" s="92" t="n">
        <v>2</v>
      </c>
      <c r="AB527" s="91" t="inlineStr">
        <is>
          <t>R9264H M901821</t>
        </is>
      </c>
      <c r="AC527" s="91" t="inlineStr">
        <is>
          <t>A9652 S35*3+R9264H M901821*3+R9254E S8500*2</t>
        </is>
      </c>
      <c r="AD527" s="91">
        <f>_xlfn.XLOOKUP(AE527,[4]透视表!$G:$G,[4]透视表!$E:$E)</f>
        <v/>
      </c>
      <c r="AE527" s="91">
        <f>A527&amp;K527</f>
        <v/>
      </c>
      <c r="AL527" s="91" t="inlineStr">
        <is>
          <t>高优先级</t>
        </is>
      </c>
    </row>
    <row r="528" hidden="1" ht="15" customHeight="1" s="99">
      <c r="A528" t="inlineStr">
        <is>
          <t>GMRAT1</t>
        </is>
      </c>
      <c r="B528" t="inlineStr">
        <is>
          <t>GMRAT1_GUL00_Rathupaswala_Gm</t>
        </is>
      </c>
      <c r="C528" s="89" t="inlineStr">
        <is>
          <t>Huawei</t>
        </is>
      </c>
      <c r="F528" t="n">
        <v>7.0538</v>
      </c>
      <c r="G528" t="n">
        <v>80.018</v>
      </c>
      <c r="H528" t="inlineStr">
        <is>
          <t>GMRAT1-M-L85-B1</t>
        </is>
      </c>
      <c r="J528" s="91">
        <f>LEFT(RIGHT(H528,2),1)</f>
        <v/>
      </c>
      <c r="K528" s="91">
        <f>_xlfn.XLOOKUP(J528,#REF!,#REF!)</f>
        <v/>
      </c>
      <c r="L528" s="91" t="inlineStr">
        <is>
          <t>4G</t>
        </is>
      </c>
      <c r="M528" s="91" t="n">
        <v>850</v>
      </c>
      <c r="N528" s="91" t="e">
        <v>#N/A</v>
      </c>
      <c r="O528" s="92" t="n">
        <v>60</v>
      </c>
      <c r="P528" t="n">
        <v>170</v>
      </c>
      <c r="R528" s="92" t="n">
        <v>0</v>
      </c>
      <c r="Y528" t="inlineStr">
        <is>
          <t>2T2R</t>
        </is>
      </c>
      <c r="AB528" s="91" t="inlineStr">
        <is>
          <t>R9254E S8500</t>
        </is>
      </c>
      <c r="AC528" s="91" t="inlineStr">
        <is>
          <t>A9652 S35*3+R9264H M901821*3+R9254E S8500*2</t>
        </is>
      </c>
      <c r="AD528" s="91">
        <f>_xlfn.XLOOKUP(AE528,[4]透视表!$G:$G,[4]透视表!$D:$D)</f>
        <v/>
      </c>
      <c r="AE528" s="91">
        <f>A528&amp;K528</f>
        <v/>
      </c>
      <c r="AL528" s="91" t="inlineStr">
        <is>
          <t>高优先级</t>
        </is>
      </c>
    </row>
    <row r="529" hidden="1" ht="15" customHeight="1" s="99">
      <c r="A529" t="inlineStr">
        <is>
          <t>GMRAT1</t>
        </is>
      </c>
      <c r="B529" t="inlineStr">
        <is>
          <t>GMRAT1_GUL00_Rathupaswala_Gm</t>
        </is>
      </c>
      <c r="C529" s="89" t="inlineStr">
        <is>
          <t>Huawei</t>
        </is>
      </c>
      <c r="F529" t="n">
        <v>7.0538</v>
      </c>
      <c r="G529" t="n">
        <v>80.018</v>
      </c>
      <c r="H529" t="inlineStr">
        <is>
          <t>GMRAT1H</t>
        </is>
      </c>
      <c r="J529" s="91">
        <f>RIGHT(H529,1)</f>
        <v/>
      </c>
      <c r="K529" s="91">
        <f>_xlfn.XLOOKUP(J529,#REF!,#REF!)</f>
        <v/>
      </c>
      <c r="L529" s="91" t="inlineStr">
        <is>
          <t>4G</t>
        </is>
      </c>
      <c r="M529" s="91" t="n">
        <v>1800</v>
      </c>
      <c r="N529" s="91" t="e">
        <v>#N/A</v>
      </c>
      <c r="O529" s="92" t="n">
        <v>60</v>
      </c>
      <c r="P529" t="n">
        <v>170</v>
      </c>
      <c r="R529" s="92" t="n">
        <v>0</v>
      </c>
      <c r="Y529" t="inlineStr">
        <is>
          <t>2T2R</t>
        </is>
      </c>
      <c r="AB529" s="91" t="inlineStr">
        <is>
          <t>R9264H M901821</t>
        </is>
      </c>
      <c r="AC529" s="91" t="inlineStr">
        <is>
          <t>A9652 S35*3+R9264H M901821*3+R9254E S8500*2</t>
        </is>
      </c>
      <c r="AD529" s="91">
        <f>_xlfn.XLOOKUP(AE529,[4]透视表!$G:$G,[4]透视表!$E:$E)</f>
        <v/>
      </c>
      <c r="AE529" s="91">
        <f>A529&amp;K529</f>
        <v/>
      </c>
      <c r="AL529" s="91" t="inlineStr">
        <is>
          <t>高优先级</t>
        </is>
      </c>
    </row>
    <row r="530" hidden="1" ht="15" customHeight="1" s="99">
      <c r="A530" t="inlineStr">
        <is>
          <t>GMRAT1</t>
        </is>
      </c>
      <c r="B530" t="inlineStr">
        <is>
          <t>GMRAT1_GUL00_Rathupaswala_Gm</t>
        </is>
      </c>
      <c r="C530" s="89" t="inlineStr">
        <is>
          <t>Huawei</t>
        </is>
      </c>
      <c r="F530" t="n">
        <v>7.0538</v>
      </c>
      <c r="G530" t="n">
        <v>80.018</v>
      </c>
      <c r="H530" t="inlineStr">
        <is>
          <t>GMRAT1-M-L21-B2</t>
        </is>
      </c>
      <c r="J530" s="91">
        <f>LEFT(RIGHT(H530,2),1)</f>
        <v/>
      </c>
      <c r="K530" s="91">
        <f>_xlfn.XLOOKUP(J530,#REF!,#REF!)</f>
        <v/>
      </c>
      <c r="L530" s="91" t="inlineStr">
        <is>
          <t>4G</t>
        </is>
      </c>
      <c r="M530" s="91" t="n">
        <v>2100</v>
      </c>
      <c r="N530" s="91" t="e">
        <v>#N/A</v>
      </c>
      <c r="O530" s="92" t="n">
        <v>60</v>
      </c>
      <c r="P530" t="n">
        <v>170</v>
      </c>
      <c r="R530" s="92" t="n">
        <v>0</v>
      </c>
      <c r="Y530" t="inlineStr">
        <is>
          <t>2T2R</t>
        </is>
      </c>
      <c r="AB530" s="91" t="inlineStr">
        <is>
          <t>R9264H M901821</t>
        </is>
      </c>
      <c r="AC530" s="91" t="inlineStr">
        <is>
          <t>A9652 S35*3+R9264H M901821*3+R9254E S8500*2</t>
        </is>
      </c>
      <c r="AD530" s="91">
        <f>_xlfn.XLOOKUP(AE530,[4]透视表!$G:$G,[4]透视表!$F:$F)</f>
        <v/>
      </c>
      <c r="AE530" s="91">
        <f>A530&amp;K530</f>
        <v/>
      </c>
      <c r="AL530" s="91" t="inlineStr">
        <is>
          <t>高优先级</t>
        </is>
      </c>
    </row>
    <row r="531" hidden="1" ht="15" customHeight="1" s="99">
      <c r="A531" t="inlineStr">
        <is>
          <t>GMRAT1</t>
        </is>
      </c>
      <c r="C531" s="89" t="inlineStr">
        <is>
          <t>Huawei</t>
        </is>
      </c>
      <c r="F531" t="n">
        <v>7.0538</v>
      </c>
      <c r="G531" t="n">
        <v>80.018</v>
      </c>
      <c r="H531" t="inlineStr">
        <is>
          <t>GMRAT1C</t>
        </is>
      </c>
      <c r="J531" s="91">
        <f>RIGHT(H531,1)</f>
        <v/>
      </c>
      <c r="K531" t="inlineStr">
        <is>
          <t>S3</t>
        </is>
      </c>
      <c r="L531" s="91" t="inlineStr">
        <is>
          <t>2G</t>
        </is>
      </c>
      <c r="M531" t="n">
        <v>900</v>
      </c>
      <c r="N531" s="91" t="inlineStr">
        <is>
          <t>AQU4518R9v06</t>
        </is>
      </c>
      <c r="P531" t="n">
        <v>240</v>
      </c>
      <c r="R531" s="92" t="n">
        <v>2</v>
      </c>
      <c r="AB531" s="91" t="inlineStr">
        <is>
          <t>R9264H M901821</t>
        </is>
      </c>
      <c r="AC531" s="91" t="inlineStr">
        <is>
          <t>A9652 S35*3+R9264H M901821*3+R9254E S8500*2</t>
        </is>
      </c>
      <c r="AD531" s="91">
        <f>_xlfn.XLOOKUP(AE531,[4]透视表!$G:$G,[4]透视表!$D:$D)</f>
        <v/>
      </c>
      <c r="AE531" s="91">
        <f>A531&amp;K531</f>
        <v/>
      </c>
      <c r="AL531" s="91" t="inlineStr">
        <is>
          <t>高优先级</t>
        </is>
      </c>
    </row>
    <row r="532" hidden="1" ht="15" customHeight="1" s="99">
      <c r="A532" t="inlineStr">
        <is>
          <t>GMRAT1</t>
        </is>
      </c>
      <c r="C532" s="89" t="inlineStr">
        <is>
          <t>Huawei</t>
        </is>
      </c>
      <c r="F532" t="n">
        <v>7.0538</v>
      </c>
      <c r="G532" t="n">
        <v>80.018</v>
      </c>
      <c r="H532" t="inlineStr">
        <is>
          <t>GMRAT1R</t>
        </is>
      </c>
      <c r="J532" s="91">
        <f>RIGHT(H532,1)</f>
        <v/>
      </c>
      <c r="K532" t="inlineStr">
        <is>
          <t>S3</t>
        </is>
      </c>
      <c r="L532" s="91" t="inlineStr">
        <is>
          <t>2G</t>
        </is>
      </c>
      <c r="M532" t="n">
        <v>1800</v>
      </c>
      <c r="N532" s="91" t="inlineStr">
        <is>
          <t>AQU4518R9v06</t>
        </is>
      </c>
      <c r="P532" t="n">
        <v>240</v>
      </c>
      <c r="R532" s="92" t="n">
        <v>2</v>
      </c>
      <c r="AB532" s="91" t="inlineStr">
        <is>
          <t>R9264H M901821</t>
        </is>
      </c>
      <c r="AC532" s="91" t="inlineStr">
        <is>
          <t>A9652 S35*3+R9264H M901821*3+R9254E S8500*2</t>
        </is>
      </c>
      <c r="AD532" s="91">
        <f>_xlfn.XLOOKUP(AE532,[4]透视表!$G:$G,[4]透视表!$E:$E)</f>
        <v/>
      </c>
      <c r="AE532" s="91">
        <f>A532&amp;K532</f>
        <v/>
      </c>
      <c r="AL532" s="91" t="inlineStr">
        <is>
          <t>高优先级</t>
        </is>
      </c>
    </row>
    <row r="533" hidden="1" ht="15" customHeight="1" s="99">
      <c r="A533" t="inlineStr">
        <is>
          <t>GMRAT1</t>
        </is>
      </c>
      <c r="B533" t="inlineStr">
        <is>
          <t>GMRAT1_GUL00_Rathupaswala_Gm</t>
        </is>
      </c>
      <c r="C533" s="89" t="inlineStr">
        <is>
          <t>Huawei</t>
        </is>
      </c>
      <c r="F533" t="n">
        <v>7.0538</v>
      </c>
      <c r="G533" t="n">
        <v>80.018</v>
      </c>
      <c r="H533" t="inlineStr">
        <is>
          <t>GMRAT1-M-L85-C1</t>
        </is>
      </c>
      <c r="J533" s="91">
        <f>LEFT(RIGHT(H533,2),1)</f>
        <v/>
      </c>
      <c r="K533" s="91">
        <f>_xlfn.XLOOKUP(J533,#REF!,#REF!)</f>
        <v/>
      </c>
      <c r="L533" s="91" t="inlineStr">
        <is>
          <t>4G</t>
        </is>
      </c>
      <c r="M533" s="91" t="n">
        <v>850</v>
      </c>
      <c r="N533" s="91" t="inlineStr">
        <is>
          <t>AQU4518R9v06</t>
        </is>
      </c>
      <c r="O533" s="92" t="n">
        <v>60</v>
      </c>
      <c r="P533" t="n">
        <v>240</v>
      </c>
      <c r="R533" s="92" t="n">
        <v>0</v>
      </c>
      <c r="Y533" t="inlineStr">
        <is>
          <t>2T2R</t>
        </is>
      </c>
      <c r="AB533" s="91" t="inlineStr">
        <is>
          <t>R9254E S8500</t>
        </is>
      </c>
      <c r="AC533" s="91" t="inlineStr">
        <is>
          <t>A9652 S35*3+R9264H M901821*3+R9254E S8500*2</t>
        </is>
      </c>
      <c r="AD533" s="91">
        <f>_xlfn.XLOOKUP(AE533,[4]透视表!$G:$G,[4]透视表!$D:$D)</f>
        <v/>
      </c>
      <c r="AE533" s="91">
        <f>A533&amp;K533</f>
        <v/>
      </c>
      <c r="AL533" s="91" t="inlineStr">
        <is>
          <t>高优先级</t>
        </is>
      </c>
    </row>
    <row r="534" hidden="1" ht="15" customHeight="1" s="99">
      <c r="A534" t="inlineStr">
        <is>
          <t>GMRAT1</t>
        </is>
      </c>
      <c r="B534" t="inlineStr">
        <is>
          <t>GMRAT1_GUL00_Rathupaswala_Gm</t>
        </is>
      </c>
      <c r="C534" s="89" t="inlineStr">
        <is>
          <t>Huawei</t>
        </is>
      </c>
      <c r="F534" t="n">
        <v>7.0538</v>
      </c>
      <c r="G534" t="n">
        <v>80.018</v>
      </c>
      <c r="H534" t="inlineStr">
        <is>
          <t>GMRAT1I</t>
        </is>
      </c>
      <c r="J534" s="91">
        <f>RIGHT(H534,1)</f>
        <v/>
      </c>
      <c r="K534" s="91">
        <f>_xlfn.XLOOKUP(J534,#REF!,#REF!)</f>
        <v/>
      </c>
      <c r="L534" s="91" t="inlineStr">
        <is>
          <t>4G</t>
        </is>
      </c>
      <c r="M534" s="91" t="n">
        <v>1800</v>
      </c>
      <c r="N534" s="91" t="inlineStr">
        <is>
          <t>AQU4518R9v06</t>
        </is>
      </c>
      <c r="O534" s="92" t="n">
        <v>60</v>
      </c>
      <c r="P534" t="n">
        <v>240</v>
      </c>
      <c r="R534" s="92" t="n">
        <v>0</v>
      </c>
      <c r="Y534" t="inlineStr">
        <is>
          <t>4T4R</t>
        </is>
      </c>
      <c r="AB534" s="91" t="inlineStr">
        <is>
          <t>R9264H M901821</t>
        </is>
      </c>
      <c r="AC534" s="91" t="inlineStr">
        <is>
          <t>A9652 S35*3+R9264H M901821*3+R9254E S8500*2</t>
        </is>
      </c>
      <c r="AD534" s="91">
        <f>_xlfn.XLOOKUP(AE534,[4]透视表!$G:$G,[4]透视表!$E:$E)</f>
        <v/>
      </c>
      <c r="AE534" s="91">
        <f>A534&amp;K534</f>
        <v/>
      </c>
      <c r="AL534" s="91" t="inlineStr">
        <is>
          <t>高优先级</t>
        </is>
      </c>
    </row>
    <row r="535" hidden="1" ht="15" customHeight="1" s="99">
      <c r="A535" t="inlineStr">
        <is>
          <t>GMRAT1</t>
        </is>
      </c>
      <c r="B535" t="inlineStr">
        <is>
          <t>GMRAT1_GUL00_Rathupaswala_Gm</t>
        </is>
      </c>
      <c r="C535" s="89" t="inlineStr">
        <is>
          <t>Huawei</t>
        </is>
      </c>
      <c r="F535" t="n">
        <v>7.0538</v>
      </c>
      <c r="G535" t="n">
        <v>80.018</v>
      </c>
      <c r="H535" t="inlineStr">
        <is>
          <t>GMRAT1-M-L21-C2</t>
        </is>
      </c>
      <c r="J535" s="91">
        <f>LEFT(RIGHT(H535,2),1)</f>
        <v/>
      </c>
      <c r="K535" s="91">
        <f>_xlfn.XLOOKUP(J535,#REF!,#REF!)</f>
        <v/>
      </c>
      <c r="L535" s="91" t="inlineStr">
        <is>
          <t>4G</t>
        </is>
      </c>
      <c r="M535" s="91" t="n">
        <v>2100</v>
      </c>
      <c r="N535" s="91" t="inlineStr"/>
      <c r="O535" s="92" t="n">
        <v>60</v>
      </c>
      <c r="P535" t="n">
        <v>240</v>
      </c>
      <c r="R535" s="92" t="n">
        <v>0</v>
      </c>
      <c r="Y535" t="inlineStr">
        <is>
          <t>2T2R</t>
        </is>
      </c>
      <c r="AB535" s="91" t="inlineStr">
        <is>
          <t>R9264H M901821</t>
        </is>
      </c>
      <c r="AC535" s="91" t="inlineStr">
        <is>
          <t>A9652 S35*3+R9264H M901821*3+R9254E S8500*2</t>
        </is>
      </c>
      <c r="AD535" s="91">
        <f>_xlfn.XLOOKUP(AE535,[4]透视表!$G:$G,[4]透视表!$F:$F)</f>
        <v/>
      </c>
      <c r="AE535" s="91">
        <f>A535&amp;K535</f>
        <v/>
      </c>
      <c r="AL535" s="91" t="inlineStr">
        <is>
          <t>高优先级</t>
        </is>
      </c>
    </row>
    <row r="536" hidden="1" ht="15" customHeight="1" s="99">
      <c r="A536" t="inlineStr">
        <is>
          <t>GMTIB1</t>
        </is>
      </c>
      <c r="C536" s="89" t="inlineStr">
        <is>
          <t>Huawei</t>
        </is>
      </c>
      <c r="E536" s="91" t="inlineStr">
        <is>
          <t>劈裂</t>
        </is>
      </c>
      <c r="F536" t="n">
        <v>7.08163</v>
      </c>
      <c r="G536" t="n">
        <v>79.9479</v>
      </c>
      <c r="H536" t="inlineStr">
        <is>
          <t>GMTIB1P</t>
        </is>
      </c>
      <c r="J536" s="91">
        <f>RIGHT(H536,1)</f>
        <v/>
      </c>
      <c r="K536" t="inlineStr">
        <is>
          <t>S1</t>
        </is>
      </c>
      <c r="L536" s="91" t="inlineStr">
        <is>
          <t>2G</t>
        </is>
      </c>
      <c r="M536" t="n">
        <v>1800</v>
      </c>
      <c r="N536" s="91" t="inlineStr">
        <is>
          <t>A10244PD00v06</t>
        </is>
      </c>
      <c r="P536" t="n">
        <v>120</v>
      </c>
      <c r="R536" s="92" t="n">
        <v>2</v>
      </c>
      <c r="AB536" s="91" t="inlineStr">
        <is>
          <t>R9268H M1821</t>
        </is>
      </c>
      <c r="AC536" s="91" t="inlineStr">
        <is>
          <t>A9652 S35*3+R9264 M1821N*1+R9268H M1821*2</t>
        </is>
      </c>
      <c r="AD536" s="91" t="inlineStr">
        <is>
          <t>A10244PD00v06</t>
        </is>
      </c>
      <c r="AE536" s="91">
        <f>A536&amp;K536</f>
        <v/>
      </c>
      <c r="AL536" s="91" t="inlineStr">
        <is>
          <t>高优先级</t>
        </is>
      </c>
    </row>
    <row r="537" hidden="1" ht="15" customHeight="1" s="99">
      <c r="A537" t="inlineStr">
        <is>
          <t>GMTIB1</t>
        </is>
      </c>
      <c r="C537" s="89" t="n"/>
      <c r="E537" s="91" t="inlineStr">
        <is>
          <t>劈裂</t>
        </is>
      </c>
      <c r="I537" t="inlineStr">
        <is>
          <t>GMTIB1S</t>
        </is>
      </c>
      <c r="K537" t="inlineStr">
        <is>
          <t>S1</t>
        </is>
      </c>
      <c r="L537" s="91" t="inlineStr">
        <is>
          <t>2G</t>
        </is>
      </c>
      <c r="M537" t="n">
        <v>1800</v>
      </c>
      <c r="N537" s="91" t="inlineStr">
        <is>
          <t>A10244PD00v06</t>
        </is>
      </c>
      <c r="P537" t="n">
        <v>120</v>
      </c>
      <c r="AB537" s="91" t="inlineStr">
        <is>
          <t>R9268H M1821</t>
        </is>
      </c>
      <c r="AC537" s="91" t="inlineStr">
        <is>
          <t>A9652 S35*3+R9264 M1821N*1+R9268H M1821*2</t>
        </is>
      </c>
      <c r="AD537" s="91" t="inlineStr">
        <is>
          <t>A10244PD00v06</t>
        </is>
      </c>
    </row>
    <row r="538" hidden="1" ht="15" customHeight="1" s="99">
      <c r="A538" t="inlineStr">
        <is>
          <t>GMTIB1</t>
        </is>
      </c>
      <c r="B538" t="inlineStr">
        <is>
          <t>GMTIB1_G0L00_Thibbatugoda_TXD_Ne</t>
        </is>
      </c>
      <c r="C538" s="89" t="inlineStr">
        <is>
          <t>Huawei</t>
        </is>
      </c>
      <c r="E538" s="91" t="inlineStr">
        <is>
          <t>劈裂</t>
        </is>
      </c>
      <c r="F538" t="n">
        <v>7.08163</v>
      </c>
      <c r="G538" t="n">
        <v>79.9479</v>
      </c>
      <c r="H538" t="inlineStr">
        <is>
          <t>GMTIB1G</t>
        </is>
      </c>
      <c r="J538" s="91">
        <f>RIGHT(H538,1)</f>
        <v/>
      </c>
      <c r="K538" s="91">
        <f>_xlfn.XLOOKUP(J538,#REF!,#REF!)</f>
        <v/>
      </c>
      <c r="L538" s="91" t="inlineStr">
        <is>
          <t>4G</t>
        </is>
      </c>
      <c r="M538" s="91" t="n">
        <v>1800</v>
      </c>
      <c r="N538" s="91" t="inlineStr">
        <is>
          <t>A10244PD00v06</t>
        </is>
      </c>
      <c r="O538" s="92" t="n">
        <v>50</v>
      </c>
      <c r="P538" t="n">
        <v>120</v>
      </c>
      <c r="R538" s="92" t="n">
        <v>0</v>
      </c>
      <c r="Y538" t="inlineStr">
        <is>
          <t>8T8R</t>
        </is>
      </c>
      <c r="AB538" s="91" t="inlineStr">
        <is>
          <t>R9268H M1821</t>
        </is>
      </c>
      <c r="AC538" s="91" t="inlineStr">
        <is>
          <t>A9652 S35*3+R9264 M1821N*1+R9268H M1821*2</t>
        </is>
      </c>
      <c r="AD538" s="91" t="inlineStr">
        <is>
          <t>A10244PD00v06</t>
        </is>
      </c>
      <c r="AE538" s="91">
        <f>A538&amp;K538</f>
        <v/>
      </c>
      <c r="AL538" s="91" t="inlineStr">
        <is>
          <t>高优先级</t>
        </is>
      </c>
    </row>
    <row r="539" hidden="1" ht="15" customHeight="1" s="99">
      <c r="A539" t="inlineStr">
        <is>
          <t>GMTIB1</t>
        </is>
      </c>
      <c r="B539" t="inlineStr">
        <is>
          <t>GMTIB1_G0L00_Thibbatugoda_TXD_Ne</t>
        </is>
      </c>
      <c r="C539" s="89" t="inlineStr">
        <is>
          <t>Huawei</t>
        </is>
      </c>
      <c r="E539" s="91" t="inlineStr">
        <is>
          <t>劈裂</t>
        </is>
      </c>
      <c r="F539" t="n">
        <v>7.08163</v>
      </c>
      <c r="G539" t="n">
        <v>79.9479</v>
      </c>
      <c r="H539" t="inlineStr">
        <is>
          <t>GMTIB1-M-L18-A1</t>
        </is>
      </c>
      <c r="J539" s="91">
        <f>LEFT(RIGHT(H539,2),1)</f>
        <v/>
      </c>
      <c r="K539" s="91">
        <f>_xlfn.XLOOKUP(J539,#REF!,#REF!)</f>
        <v/>
      </c>
      <c r="L539" s="91" t="inlineStr">
        <is>
          <t>4G</t>
        </is>
      </c>
      <c r="M539" s="91" t="n">
        <v>1800</v>
      </c>
      <c r="N539" s="91" t="inlineStr">
        <is>
          <t>A10244PD00v06</t>
        </is>
      </c>
      <c r="O539" s="92" t="n">
        <v>50</v>
      </c>
      <c r="P539" t="n">
        <v>120</v>
      </c>
      <c r="R539" s="92" t="n">
        <v>0</v>
      </c>
      <c r="Y539" t="inlineStr">
        <is>
          <t>8T8R</t>
        </is>
      </c>
      <c r="AB539" s="91" t="inlineStr">
        <is>
          <t>R9268H M1821</t>
        </is>
      </c>
      <c r="AC539" s="91" t="inlineStr">
        <is>
          <t>A9652 S35*3+R9264 M1821N*1+R9268H M1821*2</t>
        </is>
      </c>
      <c r="AD539" s="91" t="inlineStr">
        <is>
          <t>A10244PD00v06</t>
        </is>
      </c>
      <c r="AE539" s="91">
        <f>A539&amp;K539</f>
        <v/>
      </c>
      <c r="AL539" s="91" t="inlineStr">
        <is>
          <t>高优先级</t>
        </is>
      </c>
    </row>
    <row r="540" hidden="1" ht="15" customHeight="1" s="99">
      <c r="A540" t="inlineStr">
        <is>
          <t>GMTIB1</t>
        </is>
      </c>
      <c r="B540" t="inlineStr">
        <is>
          <t>GMTIB1_G0L00_Thibbatugoda_TXD_Ne</t>
        </is>
      </c>
      <c r="C540" s="89" t="inlineStr">
        <is>
          <t>Huawei</t>
        </is>
      </c>
      <c r="F540" t="n">
        <v>7.08163</v>
      </c>
      <c r="G540" t="n">
        <v>79.9479</v>
      </c>
      <c r="H540" t="inlineStr">
        <is>
          <t>GMTIB1-M-L21-A2</t>
        </is>
      </c>
      <c r="J540" s="91">
        <f>LEFT(RIGHT(H540,2),1)</f>
        <v/>
      </c>
      <c r="K540" s="91">
        <f>_xlfn.XLOOKUP(J540,#REF!,#REF!)</f>
        <v/>
      </c>
      <c r="L540" s="91" t="inlineStr">
        <is>
          <t>4G</t>
        </is>
      </c>
      <c r="M540" s="91" t="n">
        <v>2100</v>
      </c>
      <c r="N540" s="91" t="e">
        <v>#N/A</v>
      </c>
      <c r="O540" s="92" t="n">
        <v>50</v>
      </c>
      <c r="P540" t="n">
        <v>120</v>
      </c>
      <c r="R540" s="92" t="n">
        <v>0</v>
      </c>
      <c r="Y540" t="inlineStr">
        <is>
          <t>8T8R</t>
        </is>
      </c>
      <c r="AB540" s="91" t="inlineStr">
        <is>
          <t>R9268H M1821</t>
        </is>
      </c>
      <c r="AC540" s="91" t="inlineStr">
        <is>
          <t>A9652 S35*3+R9264 M1821N*1+R9268H M1821*2</t>
        </is>
      </c>
      <c r="AD540" s="91">
        <f>_xlfn.XLOOKUP(AE540,[4]透视表!$G:$G,[4]透视表!$F:$F)</f>
        <v/>
      </c>
      <c r="AE540" s="91">
        <f>A540&amp;K540</f>
        <v/>
      </c>
      <c r="AL540" s="91" t="inlineStr">
        <is>
          <t>高优先级</t>
        </is>
      </c>
    </row>
    <row r="541" hidden="1" ht="15" customHeight="1" s="99">
      <c r="A541" t="inlineStr">
        <is>
          <t>GMTIB1</t>
        </is>
      </c>
      <c r="B541" t="inlineStr">
        <is>
          <t>GMTIB1_G0L00_Thibbatugoda_TXD_Ne</t>
        </is>
      </c>
      <c r="C541" s="89" t="inlineStr">
        <is>
          <t>Huawei</t>
        </is>
      </c>
      <c r="F541" t="n">
        <v>7.08163</v>
      </c>
      <c r="G541" t="n">
        <v>79.9479</v>
      </c>
      <c r="H541" t="inlineStr">
        <is>
          <t>GMTIB1-M-L21-A3</t>
        </is>
      </c>
      <c r="J541" s="91">
        <f>LEFT(RIGHT(H541,2),1)</f>
        <v/>
      </c>
      <c r="K541" s="91">
        <f>_xlfn.XLOOKUP(J541,#REF!,#REF!)</f>
        <v/>
      </c>
      <c r="L541" s="91" t="inlineStr">
        <is>
          <t>4G</t>
        </is>
      </c>
      <c r="M541" s="91" t="n">
        <v>2100</v>
      </c>
      <c r="N541" s="91" t="e">
        <v>#N/A</v>
      </c>
      <c r="O541" s="92" t="n">
        <v>50</v>
      </c>
      <c r="P541" t="n">
        <v>120</v>
      </c>
      <c r="R541" s="92" t="n">
        <v>0</v>
      </c>
      <c r="Y541" t="inlineStr">
        <is>
          <t>8T8R</t>
        </is>
      </c>
      <c r="AB541" s="91" t="inlineStr">
        <is>
          <t>R9268H M1821</t>
        </is>
      </c>
      <c r="AC541" s="91" t="inlineStr">
        <is>
          <t>A9652 S35*3+R9264 M1821N*1+R9268H M1821*2</t>
        </is>
      </c>
      <c r="AD541" s="91">
        <f>_xlfn.XLOOKUP(AE541,[4]透视表!$G:$G,[4]透视表!$F:$F)</f>
        <v/>
      </c>
      <c r="AE541" s="91">
        <f>A541&amp;K541</f>
        <v/>
      </c>
      <c r="AL541" s="91" t="inlineStr">
        <is>
          <t>高优先级</t>
        </is>
      </c>
    </row>
    <row r="542" hidden="1" ht="15" customHeight="1" s="99">
      <c r="A542" t="inlineStr">
        <is>
          <t>GMTIB1</t>
        </is>
      </c>
      <c r="C542" s="89" t="inlineStr">
        <is>
          <t>Huawei</t>
        </is>
      </c>
      <c r="E542" s="91" t="inlineStr">
        <is>
          <t>劈裂</t>
        </is>
      </c>
      <c r="F542" t="n">
        <v>7.08163</v>
      </c>
      <c r="G542" t="n">
        <v>79.9479</v>
      </c>
      <c r="H542" t="inlineStr">
        <is>
          <t>GMTIB1Q</t>
        </is>
      </c>
      <c r="J542" s="91">
        <f>RIGHT(H542,1)</f>
        <v/>
      </c>
      <c r="K542" t="inlineStr">
        <is>
          <t>S2</t>
        </is>
      </c>
      <c r="L542" s="91" t="inlineStr">
        <is>
          <t>2G</t>
        </is>
      </c>
      <c r="M542" t="n">
        <v>1800</v>
      </c>
      <c r="N542" s="91" t="e">
        <v>#N/A</v>
      </c>
      <c r="P542" t="n">
        <v>235</v>
      </c>
      <c r="R542" s="92" t="n">
        <v>2</v>
      </c>
      <c r="AB542" s="91" t="inlineStr">
        <is>
          <t>R9268H M1821</t>
        </is>
      </c>
      <c r="AC542" s="91" t="inlineStr">
        <is>
          <t>A9652 S35*3+R9264 M1821N*1+R9268H M1821*2</t>
        </is>
      </c>
      <c r="AD542" s="91">
        <f>_xlfn.XLOOKUP(AE542,[4]透视表!$G:$G,[4]透视表!$E:$E)</f>
        <v/>
      </c>
      <c r="AE542" s="91">
        <f>A542&amp;K542</f>
        <v/>
      </c>
      <c r="AL542" s="91" t="inlineStr">
        <is>
          <t>高优先级</t>
        </is>
      </c>
    </row>
    <row r="543" hidden="1" ht="15" customHeight="1" s="99">
      <c r="A543" t="inlineStr">
        <is>
          <t>GMTIB1</t>
        </is>
      </c>
      <c r="C543" s="89" t="n"/>
      <c r="E543" s="91" t="inlineStr">
        <is>
          <t>劈裂</t>
        </is>
      </c>
      <c r="I543" t="inlineStr">
        <is>
          <t>GMTIB1T</t>
        </is>
      </c>
      <c r="K543" t="inlineStr">
        <is>
          <t>S2</t>
        </is>
      </c>
      <c r="L543" s="91" t="inlineStr">
        <is>
          <t>2G</t>
        </is>
      </c>
      <c r="M543" t="n">
        <v>1800</v>
      </c>
      <c r="N543" s="91" t="n"/>
      <c r="P543" t="n">
        <v>235</v>
      </c>
      <c r="AB543" s="91" t="inlineStr">
        <is>
          <t>R9268H M1821</t>
        </is>
      </c>
      <c r="AC543" s="91" t="inlineStr">
        <is>
          <t>A9652 S35*3+R9264 M1821N*1+R9268H M1821*2</t>
        </is>
      </c>
    </row>
    <row r="544" hidden="1" ht="15" customHeight="1" s="99">
      <c r="A544" t="inlineStr">
        <is>
          <t>GMTIB1</t>
        </is>
      </c>
      <c r="B544" t="inlineStr">
        <is>
          <t>GMTIB1_G0L00_Thibbatugoda_TXD_Ne</t>
        </is>
      </c>
      <c r="C544" s="89" t="inlineStr">
        <is>
          <t>Huawei</t>
        </is>
      </c>
      <c r="E544" s="91" t="inlineStr">
        <is>
          <t>劈裂</t>
        </is>
      </c>
      <c r="F544" t="n">
        <v>7.08163</v>
      </c>
      <c r="G544" t="n">
        <v>79.9479</v>
      </c>
      <c r="H544" t="inlineStr">
        <is>
          <t>GMTIB1H</t>
        </is>
      </c>
      <c r="J544" s="91">
        <f>RIGHT(H544,1)</f>
        <v/>
      </c>
      <c r="K544" s="91">
        <f>_xlfn.XLOOKUP(J544,#REF!,#REF!)</f>
        <v/>
      </c>
      <c r="L544" s="91" t="inlineStr">
        <is>
          <t>4G</t>
        </is>
      </c>
      <c r="M544" s="91" t="n">
        <v>1800</v>
      </c>
      <c r="N544" s="91" t="e">
        <v>#N/A</v>
      </c>
      <c r="O544" s="92" t="n">
        <v>50</v>
      </c>
      <c r="P544" t="n">
        <v>235</v>
      </c>
      <c r="R544" s="92" t="n">
        <v>0</v>
      </c>
      <c r="Y544" t="inlineStr">
        <is>
          <t>2T2R</t>
        </is>
      </c>
      <c r="AB544" s="91" t="inlineStr">
        <is>
          <t>R9268H M1821</t>
        </is>
      </c>
      <c r="AC544" s="91" t="inlineStr">
        <is>
          <t>A9652 S35*3+R9264 M1821N*1+R9268H M1821*2</t>
        </is>
      </c>
      <c r="AD544" s="91">
        <f>_xlfn.XLOOKUP(AE544,[4]透视表!$G:$G,[4]透视表!$E:$E)</f>
        <v/>
      </c>
      <c r="AE544" s="91">
        <f>A544&amp;K544</f>
        <v/>
      </c>
      <c r="AL544" s="91" t="inlineStr">
        <is>
          <t>高优先级</t>
        </is>
      </c>
    </row>
    <row r="545" hidden="1" ht="15" customHeight="1" s="99">
      <c r="A545" t="inlineStr">
        <is>
          <t>GMTIB1</t>
        </is>
      </c>
      <c r="B545" t="inlineStr">
        <is>
          <t>GMTIB1_G0L00_Thibbatugoda_TXD_Ne</t>
        </is>
      </c>
      <c r="C545" s="89" t="inlineStr">
        <is>
          <t>Huawei</t>
        </is>
      </c>
      <c r="E545" s="91" t="inlineStr">
        <is>
          <t>劈裂</t>
        </is>
      </c>
      <c r="F545" t="n">
        <v>7.08163</v>
      </c>
      <c r="G545" t="n">
        <v>79.9479</v>
      </c>
      <c r="H545" t="inlineStr">
        <is>
          <t>GMTIB1-M-L18-B1</t>
        </is>
      </c>
      <c r="J545" s="91">
        <f>LEFT(RIGHT(H545,2),1)</f>
        <v/>
      </c>
      <c r="K545" s="91">
        <f>_xlfn.XLOOKUP(J545,#REF!,#REF!)</f>
        <v/>
      </c>
      <c r="L545" s="91" t="inlineStr">
        <is>
          <t>4G</t>
        </is>
      </c>
      <c r="M545" s="91" t="n">
        <v>1800</v>
      </c>
      <c r="N545" s="91" t="e">
        <v>#N/A</v>
      </c>
      <c r="O545" s="92" t="n">
        <v>50</v>
      </c>
      <c r="P545" t="n">
        <v>235</v>
      </c>
      <c r="R545" s="92" t="n">
        <v>0</v>
      </c>
      <c r="Y545" t="inlineStr">
        <is>
          <t>2T2R</t>
        </is>
      </c>
      <c r="AB545" s="91" t="inlineStr">
        <is>
          <t>R9268H M1821</t>
        </is>
      </c>
      <c r="AC545" s="91" t="inlineStr">
        <is>
          <t>A9652 S35*3+R9264 M1821N*1+R9268H M1821*2</t>
        </is>
      </c>
      <c r="AD545" s="91">
        <f>_xlfn.XLOOKUP(AE545,[4]透视表!$G:$G,[4]透视表!$E:$E)</f>
        <v/>
      </c>
      <c r="AE545" s="91">
        <f>A545&amp;K545</f>
        <v/>
      </c>
      <c r="AL545" s="91" t="inlineStr">
        <is>
          <t>高优先级</t>
        </is>
      </c>
    </row>
    <row r="546" hidden="1" ht="15" customHeight="1" s="99">
      <c r="A546" t="inlineStr">
        <is>
          <t>GMTIB1</t>
        </is>
      </c>
      <c r="B546" t="inlineStr">
        <is>
          <t>GMTIB1_G0L00_Thibbatugoda_TXD_Ne</t>
        </is>
      </c>
      <c r="C546" s="89" t="inlineStr">
        <is>
          <t>Huawei</t>
        </is>
      </c>
      <c r="F546" t="n">
        <v>7.08163</v>
      </c>
      <c r="G546" t="n">
        <v>79.9479</v>
      </c>
      <c r="H546" t="inlineStr">
        <is>
          <t>GMTIB1-M-L21-B2</t>
        </is>
      </c>
      <c r="J546" s="91">
        <f>LEFT(RIGHT(H546,2),1)</f>
        <v/>
      </c>
      <c r="K546" s="91">
        <f>_xlfn.XLOOKUP(J546,#REF!,#REF!)</f>
        <v/>
      </c>
      <c r="L546" s="91" t="inlineStr">
        <is>
          <t>4G</t>
        </is>
      </c>
      <c r="M546" s="91" t="n">
        <v>2100</v>
      </c>
      <c r="N546" s="91" t="e">
        <v>#N/A</v>
      </c>
      <c r="O546" s="92" t="n">
        <v>50</v>
      </c>
      <c r="P546" t="n">
        <v>235</v>
      </c>
      <c r="R546" s="92" t="n">
        <v>0</v>
      </c>
      <c r="Y546" t="inlineStr">
        <is>
          <t>2T2R</t>
        </is>
      </c>
      <c r="AB546" s="91" t="inlineStr">
        <is>
          <t>R9268H M1821</t>
        </is>
      </c>
      <c r="AC546" s="91" t="inlineStr">
        <is>
          <t>A9652 S35*3+R9264 M1821N*1+R9268H M1821*2</t>
        </is>
      </c>
      <c r="AD546" s="91">
        <f>_xlfn.XLOOKUP(AE546,[4]透视表!$G:$G,[4]透视表!$F:$F)</f>
        <v/>
      </c>
      <c r="AE546" s="91">
        <f>A546&amp;K546</f>
        <v/>
      </c>
      <c r="AL546" s="91" t="inlineStr">
        <is>
          <t>高优先级</t>
        </is>
      </c>
    </row>
    <row r="547" hidden="1" ht="15" customHeight="1" s="99">
      <c r="A547" t="inlineStr">
        <is>
          <t>GMTIB1</t>
        </is>
      </c>
      <c r="B547" t="inlineStr">
        <is>
          <t>GMTIB1_G0L00_Thibbatugoda_TXD_Ne</t>
        </is>
      </c>
      <c r="C547" s="89" t="inlineStr">
        <is>
          <t>Huawei</t>
        </is>
      </c>
      <c r="F547" t="n">
        <v>7.08163</v>
      </c>
      <c r="G547" t="n">
        <v>79.9479</v>
      </c>
      <c r="H547" t="inlineStr">
        <is>
          <t>GMTIB1-M-L21-B1</t>
        </is>
      </c>
      <c r="J547" s="91">
        <f>LEFT(RIGHT(H547,2),1)</f>
        <v/>
      </c>
      <c r="K547" s="91">
        <f>_xlfn.XLOOKUP(J547,#REF!,#REF!)</f>
        <v/>
      </c>
      <c r="L547" s="91" t="inlineStr">
        <is>
          <t>4G</t>
        </is>
      </c>
      <c r="M547" s="91" t="n">
        <v>2100</v>
      </c>
      <c r="N547" s="91" t="e">
        <v>#N/A</v>
      </c>
      <c r="O547" s="92" t="n">
        <v>50</v>
      </c>
      <c r="P547" t="n">
        <v>235</v>
      </c>
      <c r="R547" s="92" t="n">
        <v>0</v>
      </c>
      <c r="Y547" t="inlineStr">
        <is>
          <t>2T2R</t>
        </is>
      </c>
      <c r="AB547" s="91" t="inlineStr">
        <is>
          <t>R9268H M1821</t>
        </is>
      </c>
      <c r="AC547" s="91" t="inlineStr">
        <is>
          <t>A9652 S35*3+R9264 M1821N*1+R9268H M1821*2</t>
        </is>
      </c>
      <c r="AD547" s="91">
        <f>_xlfn.XLOOKUP(AE547,[4]透视表!$G:$G,[4]透视表!$F:$F)</f>
        <v/>
      </c>
      <c r="AE547" s="91">
        <f>A547&amp;K547</f>
        <v/>
      </c>
      <c r="AL547" s="91" t="inlineStr">
        <is>
          <t>高优先级</t>
        </is>
      </c>
    </row>
    <row r="548" hidden="1" ht="15" customHeight="1" s="99">
      <c r="A548" t="inlineStr">
        <is>
          <t>GMTIB1</t>
        </is>
      </c>
      <c r="C548" s="89" t="inlineStr">
        <is>
          <t>Huawei</t>
        </is>
      </c>
      <c r="F548" t="n">
        <v>7.08163</v>
      </c>
      <c r="G548" t="n">
        <v>79.9479</v>
      </c>
      <c r="H548" t="inlineStr">
        <is>
          <t>GMTIB1R</t>
        </is>
      </c>
      <c r="J548" s="91">
        <f>RIGHT(H548,1)</f>
        <v/>
      </c>
      <c r="K548" t="inlineStr">
        <is>
          <t>S3</t>
        </is>
      </c>
      <c r="L548" s="91" t="inlineStr">
        <is>
          <t>2G</t>
        </is>
      </c>
      <c r="M548" t="n">
        <v>1800</v>
      </c>
      <c r="N548" s="91" t="e">
        <v>#N/A</v>
      </c>
      <c r="P548" t="n">
        <v>305</v>
      </c>
      <c r="R548" s="92" t="n">
        <v>2</v>
      </c>
      <c r="AB548" s="91" t="inlineStr">
        <is>
          <t>R9264 M1821N</t>
        </is>
      </c>
      <c r="AC548" s="91" t="inlineStr">
        <is>
          <t>A9652 S35*3+R9264 M1821N*1+R9268H M1821*2</t>
        </is>
      </c>
      <c r="AD548" s="91">
        <f>_xlfn.XLOOKUP(AE548,[4]透视表!$G:$G,[4]透视表!$E:$E)</f>
        <v/>
      </c>
      <c r="AE548" s="91">
        <f>A548&amp;K548</f>
        <v/>
      </c>
      <c r="AL548" s="91" t="inlineStr">
        <is>
          <t>高优先级</t>
        </is>
      </c>
    </row>
    <row r="549" hidden="1" ht="15" customHeight="1" s="99">
      <c r="A549" t="inlineStr">
        <is>
          <t>GMTIB1</t>
        </is>
      </c>
      <c r="B549" t="inlineStr">
        <is>
          <t>GMTIB1_G0L00_Thibbatugoda_TXD_Ne</t>
        </is>
      </c>
      <c r="C549" s="89" t="inlineStr">
        <is>
          <t>Huawei</t>
        </is>
      </c>
      <c r="F549" t="n">
        <v>7.08163</v>
      </c>
      <c r="G549" t="n">
        <v>79.9479</v>
      </c>
      <c r="H549" t="inlineStr">
        <is>
          <t>GMTIB1I</t>
        </is>
      </c>
      <c r="J549" s="91">
        <f>RIGHT(H549,1)</f>
        <v/>
      </c>
      <c r="K549" s="91">
        <f>_xlfn.XLOOKUP(J549,#REF!,#REF!)</f>
        <v/>
      </c>
      <c r="L549" s="91" t="inlineStr">
        <is>
          <t>4G</t>
        </is>
      </c>
      <c r="M549" s="91" t="n">
        <v>1800</v>
      </c>
      <c r="N549" s="91" t="e">
        <v>#N/A</v>
      </c>
      <c r="O549" s="92" t="n">
        <v>50</v>
      </c>
      <c r="P549" t="n">
        <v>305</v>
      </c>
      <c r="R549" s="92" t="n">
        <v>0</v>
      </c>
      <c r="Y549" t="inlineStr">
        <is>
          <t>4T4R</t>
        </is>
      </c>
      <c r="AB549" s="91" t="inlineStr">
        <is>
          <t>R9264 M1821N</t>
        </is>
      </c>
      <c r="AC549" s="91" t="inlineStr">
        <is>
          <t>A9652 S35*3+R9264 M1821N*1+R9268H M1821*2</t>
        </is>
      </c>
      <c r="AD549" s="91">
        <f>_xlfn.XLOOKUP(AE549,[4]透视表!$G:$G,[4]透视表!$E:$E)</f>
        <v/>
      </c>
      <c r="AE549" s="91">
        <f>A549&amp;K549</f>
        <v/>
      </c>
      <c r="AL549" s="91" t="inlineStr">
        <is>
          <t>高优先级</t>
        </is>
      </c>
    </row>
    <row r="550" hidden="1" ht="15" customHeight="1" s="99">
      <c r="A550" t="inlineStr">
        <is>
          <t>GMTIB1</t>
        </is>
      </c>
      <c r="B550" t="inlineStr">
        <is>
          <t>GMTIB1_G0L00_Thibbatugoda_TXD_Ne</t>
        </is>
      </c>
      <c r="C550" s="89" t="inlineStr">
        <is>
          <t>Huawei</t>
        </is>
      </c>
      <c r="F550" t="n">
        <v>7.08163</v>
      </c>
      <c r="G550" t="n">
        <v>79.9479</v>
      </c>
      <c r="H550" t="inlineStr">
        <is>
          <t>GMTIB1-M-L21-C2</t>
        </is>
      </c>
      <c r="J550" s="91">
        <f>LEFT(RIGHT(H550,2),1)</f>
        <v/>
      </c>
      <c r="K550" s="91">
        <f>_xlfn.XLOOKUP(J550,#REF!,#REF!)</f>
        <v/>
      </c>
      <c r="L550" s="91" t="inlineStr">
        <is>
          <t>4G</t>
        </is>
      </c>
      <c r="M550" s="91" t="n">
        <v>2100</v>
      </c>
      <c r="N550" s="91" t="e">
        <v>#N/A</v>
      </c>
      <c r="O550" s="92" t="n">
        <v>50</v>
      </c>
      <c r="P550" t="n">
        <v>305</v>
      </c>
      <c r="R550" s="92" t="n">
        <v>0</v>
      </c>
      <c r="Y550" t="inlineStr">
        <is>
          <t>2T2R</t>
        </is>
      </c>
      <c r="AB550" s="91" t="inlineStr">
        <is>
          <t>R9264 M1821N</t>
        </is>
      </c>
      <c r="AC550" s="91" t="inlineStr">
        <is>
          <t>A9652 S35*3+R9264 M1821N*1+R9268H M1821*2</t>
        </is>
      </c>
      <c r="AD550" s="91">
        <f>_xlfn.XLOOKUP(AE550,[4]透视表!$G:$G,[4]透视表!$F:$F)</f>
        <v/>
      </c>
      <c r="AE550" s="91">
        <f>A550&amp;K550</f>
        <v/>
      </c>
      <c r="AL550" s="91" t="inlineStr">
        <is>
          <t>高优先级</t>
        </is>
      </c>
    </row>
    <row r="551" hidden="1" ht="15" customHeight="1" s="99">
      <c r="A551" t="inlineStr">
        <is>
          <t>GMWER1</t>
        </is>
      </c>
      <c r="C551" s="89" t="inlineStr">
        <is>
          <t>Huawei</t>
        </is>
      </c>
      <c r="F551" t="n">
        <v>7.08338</v>
      </c>
      <c r="G551" t="n">
        <v>80.02290000000001</v>
      </c>
      <c r="H551" t="inlineStr">
        <is>
          <t>GMWER1A</t>
        </is>
      </c>
      <c r="J551" s="91">
        <f>RIGHT(H551,1)</f>
        <v/>
      </c>
      <c r="K551" t="inlineStr">
        <is>
          <t>S1</t>
        </is>
      </c>
      <c r="L551" s="91" t="inlineStr">
        <is>
          <t>2G</t>
        </is>
      </c>
      <c r="M551" t="n">
        <v>900</v>
      </c>
      <c r="N551" s="91" t="e">
        <v>#N/A</v>
      </c>
      <c r="P551" t="n">
        <v>0</v>
      </c>
      <c r="R551" s="92" t="n">
        <v>2</v>
      </c>
      <c r="AB551" s="91" t="inlineStr">
        <is>
          <t>R9264H M901821</t>
        </is>
      </c>
      <c r="AC551" s="91" t="inlineStr">
        <is>
          <t>A9652 S35*3+R9264H M901821*3+R9254E S8500*2+R9264 M1821N*1</t>
        </is>
      </c>
      <c r="AD551" s="91">
        <f>_xlfn.XLOOKUP(AE551,[4]透视表!$G:$G,[4]透视表!$D:$D)</f>
        <v/>
      </c>
      <c r="AE551" s="91">
        <f>A551&amp;K551</f>
        <v/>
      </c>
      <c r="AL551" s="91" t="inlineStr">
        <is>
          <t>高优先级</t>
        </is>
      </c>
    </row>
    <row r="552" hidden="1" ht="15" customHeight="1" s="99">
      <c r="A552" t="inlineStr">
        <is>
          <t>GMWER1</t>
        </is>
      </c>
      <c r="C552" s="89" t="inlineStr">
        <is>
          <t>Huawei</t>
        </is>
      </c>
      <c r="F552" t="n">
        <v>7.08338</v>
      </c>
      <c r="G552" t="n">
        <v>80.02290000000001</v>
      </c>
      <c r="H552" t="inlineStr">
        <is>
          <t>GMWER1P</t>
        </is>
      </c>
      <c r="J552" s="91">
        <f>RIGHT(H552,1)</f>
        <v/>
      </c>
      <c r="K552" t="inlineStr">
        <is>
          <t>S1</t>
        </is>
      </c>
      <c r="L552" s="91" t="inlineStr">
        <is>
          <t>2G</t>
        </is>
      </c>
      <c r="M552" t="n">
        <v>1800</v>
      </c>
      <c r="N552" s="91" t="e">
        <v>#N/A</v>
      </c>
      <c r="P552" t="n">
        <v>0</v>
      </c>
      <c r="R552" s="92" t="n">
        <v>2</v>
      </c>
      <c r="AB552" s="91" t="inlineStr">
        <is>
          <t>R9264H M901821</t>
        </is>
      </c>
      <c r="AC552" s="91" t="inlineStr">
        <is>
          <t>A9652 S35*3+R9264H M901821*3+R9254E S8500*2+R9264 M1821N*1</t>
        </is>
      </c>
      <c r="AD552" s="91">
        <f>_xlfn.XLOOKUP(AE552,[4]透视表!$G:$G,[4]透视表!$E:$E)</f>
        <v/>
      </c>
      <c r="AE552" s="91">
        <f>A552&amp;K552</f>
        <v/>
      </c>
      <c r="AL552" s="91" t="inlineStr">
        <is>
          <t>高优先级</t>
        </is>
      </c>
    </row>
    <row r="553" hidden="1" ht="15" customHeight="1" s="99">
      <c r="A553" t="inlineStr">
        <is>
          <t>GMWER1</t>
        </is>
      </c>
      <c r="B553" t="inlineStr">
        <is>
          <t>GMWER1_GUL00_Werellawatta_IP_Gm</t>
        </is>
      </c>
      <c r="C553" s="89" t="inlineStr">
        <is>
          <t>Huawei</t>
        </is>
      </c>
      <c r="F553" t="n">
        <v>7.08338</v>
      </c>
      <c r="G553" t="n">
        <v>80.02290000000001</v>
      </c>
      <c r="H553" t="inlineStr">
        <is>
          <t>GMWER1-M-L85-A1</t>
        </is>
      </c>
      <c r="J553" s="91">
        <f>LEFT(RIGHT(H553,2),1)</f>
        <v/>
      </c>
      <c r="K553" s="91">
        <f>_xlfn.XLOOKUP(J553,#REF!,#REF!)</f>
        <v/>
      </c>
      <c r="L553" s="91" t="inlineStr">
        <is>
          <t>4G</t>
        </is>
      </c>
      <c r="M553" s="91" t="n">
        <v>850</v>
      </c>
      <c r="N553" s="91" t="e">
        <v>#N/A</v>
      </c>
      <c r="O553" s="92" t="n">
        <v>40</v>
      </c>
      <c r="P553" t="n">
        <v>0</v>
      </c>
      <c r="R553" s="92" t="n">
        <v>0</v>
      </c>
      <c r="Y553" t="inlineStr">
        <is>
          <t>2T2R</t>
        </is>
      </c>
      <c r="AB553" s="91" t="inlineStr">
        <is>
          <t>R9254E S8500</t>
        </is>
      </c>
      <c r="AC553" s="91" t="inlineStr">
        <is>
          <t>A9652 S35*3+R9264H M901821*3+R9254E S8500*2+R9264 M1821N*1</t>
        </is>
      </c>
      <c r="AD553" s="91">
        <f>_xlfn.XLOOKUP(AE553,[4]透视表!$G:$G,[4]透视表!$D:$D)</f>
        <v/>
      </c>
      <c r="AE553" s="91">
        <f>A553&amp;K553</f>
        <v/>
      </c>
      <c r="AL553" s="91" t="inlineStr">
        <is>
          <t>高优先级</t>
        </is>
      </c>
    </row>
    <row r="554" hidden="1" ht="15" customHeight="1" s="99">
      <c r="A554" t="inlineStr">
        <is>
          <t>GMWER1</t>
        </is>
      </c>
      <c r="B554" t="inlineStr">
        <is>
          <t>GMWER1_GUL00_Werellawatta_IP_Gm</t>
        </is>
      </c>
      <c r="C554" s="89" t="inlineStr">
        <is>
          <t>Huawei</t>
        </is>
      </c>
      <c r="F554" t="n">
        <v>7.08338</v>
      </c>
      <c r="G554" t="n">
        <v>80.02290000000001</v>
      </c>
      <c r="H554" t="inlineStr">
        <is>
          <t>GMWER1G</t>
        </is>
      </c>
      <c r="J554" s="91">
        <f>RIGHT(H554,1)</f>
        <v/>
      </c>
      <c r="K554" s="91">
        <f>_xlfn.XLOOKUP(J554,#REF!,#REF!)</f>
        <v/>
      </c>
      <c r="L554" s="91" t="inlineStr">
        <is>
          <t>4G</t>
        </is>
      </c>
      <c r="M554" s="91" t="n">
        <v>1800</v>
      </c>
      <c r="N554" s="91" t="e">
        <v>#N/A</v>
      </c>
      <c r="O554" s="92" t="n">
        <v>40</v>
      </c>
      <c r="P554" t="n">
        <v>0</v>
      </c>
      <c r="R554" s="92" t="n">
        <v>0</v>
      </c>
      <c r="Y554" t="inlineStr">
        <is>
          <t>2T2R</t>
        </is>
      </c>
      <c r="AB554" s="91" t="inlineStr">
        <is>
          <t>R9264H M901821</t>
        </is>
      </c>
      <c r="AC554" s="91" t="inlineStr">
        <is>
          <t>A9652 S35*3+R9264H M901821*3+R9254E S8500*2+R9264 M1821N*1</t>
        </is>
      </c>
      <c r="AD554" s="91">
        <f>_xlfn.XLOOKUP(AE554,[4]透视表!$G:$G,[4]透视表!$E:$E)</f>
        <v/>
      </c>
      <c r="AE554" s="91">
        <f>A554&amp;K554</f>
        <v/>
      </c>
      <c r="AL554" s="91" t="inlineStr">
        <is>
          <t>高优先级</t>
        </is>
      </c>
    </row>
    <row r="555" hidden="1" ht="15" customHeight="1" s="99">
      <c r="A555" t="inlineStr">
        <is>
          <t>GMWER1</t>
        </is>
      </c>
      <c r="B555" t="inlineStr">
        <is>
          <t>GMWER1_GUL00_Werellawatta_IP_Gm</t>
        </is>
      </c>
      <c r="C555" s="89" t="inlineStr">
        <is>
          <t>Huawei</t>
        </is>
      </c>
      <c r="F555" t="n">
        <v>7.08338</v>
      </c>
      <c r="G555" t="n">
        <v>80.02290000000001</v>
      </c>
      <c r="H555" t="inlineStr">
        <is>
          <t>GMWER1-M-L21-A2</t>
        </is>
      </c>
      <c r="J555" s="91">
        <f>LEFT(RIGHT(H555,2),1)</f>
        <v/>
      </c>
      <c r="K555" s="91">
        <f>_xlfn.XLOOKUP(J555,#REF!,#REF!)</f>
        <v/>
      </c>
      <c r="L555" s="91" t="inlineStr">
        <is>
          <t>4G</t>
        </is>
      </c>
      <c r="M555" s="91" t="n">
        <v>2100</v>
      </c>
      <c r="N555" s="91" t="e">
        <v>#N/A</v>
      </c>
      <c r="O555" s="92" t="n">
        <v>40</v>
      </c>
      <c r="P555" t="n">
        <v>0</v>
      </c>
      <c r="R555" s="92" t="n">
        <v>0</v>
      </c>
      <c r="Y555" t="inlineStr">
        <is>
          <t>2T2R</t>
        </is>
      </c>
      <c r="AB555" s="91" t="inlineStr">
        <is>
          <t>R9264H M901821</t>
        </is>
      </c>
      <c r="AC555" s="91" t="inlineStr">
        <is>
          <t>A9652 S35*3+R9264H M901821*3+R9254E S8500*2+R9264 M1821N*1</t>
        </is>
      </c>
      <c r="AD555" s="91">
        <f>_xlfn.XLOOKUP(AE555,[4]透视表!$G:$G,[4]透视表!$F:$F)</f>
        <v/>
      </c>
      <c r="AE555" s="91">
        <f>A555&amp;K555</f>
        <v/>
      </c>
      <c r="AL555" s="91" t="inlineStr">
        <is>
          <t>高优先级</t>
        </is>
      </c>
    </row>
    <row r="556" hidden="1" ht="15" customHeight="1" s="99">
      <c r="A556" t="inlineStr">
        <is>
          <t>GMWER1</t>
        </is>
      </c>
      <c r="C556" s="89" t="inlineStr">
        <is>
          <t>Huawei</t>
        </is>
      </c>
      <c r="F556" t="n">
        <v>7.08338</v>
      </c>
      <c r="G556" t="n">
        <v>80.02290000000001</v>
      </c>
      <c r="H556" t="inlineStr">
        <is>
          <t>GMWER1B</t>
        </is>
      </c>
      <c r="J556" s="91">
        <f>RIGHT(H556,1)</f>
        <v/>
      </c>
      <c r="K556" t="inlineStr">
        <is>
          <t>S2</t>
        </is>
      </c>
      <c r="L556" s="91" t="inlineStr">
        <is>
          <t>2G</t>
        </is>
      </c>
      <c r="M556" t="n">
        <v>900</v>
      </c>
      <c r="N556" s="91" t="inlineStr">
        <is>
          <t>AQU4518R9v06</t>
        </is>
      </c>
      <c r="P556" t="n">
        <v>120</v>
      </c>
      <c r="R556" s="92" t="n">
        <v>2</v>
      </c>
      <c r="AB556" s="91" t="inlineStr">
        <is>
          <t>R9264H M901821</t>
        </is>
      </c>
      <c r="AC556" s="91" t="inlineStr">
        <is>
          <t>A9652 S35*3+R9264H M901821*3+R9254E S8500*2+R9264 M1821N*1</t>
        </is>
      </c>
      <c r="AD556" s="91">
        <f>_xlfn.XLOOKUP(AE556,[4]透视表!$G:$G,[4]透视表!$D:$D)</f>
        <v/>
      </c>
      <c r="AE556" s="91">
        <f>A556&amp;K556</f>
        <v/>
      </c>
      <c r="AL556" s="91" t="inlineStr">
        <is>
          <t>高优先级</t>
        </is>
      </c>
    </row>
    <row r="557" hidden="1" ht="15" customHeight="1" s="99">
      <c r="A557" t="inlineStr">
        <is>
          <t>GMWER1</t>
        </is>
      </c>
      <c r="C557" s="89" t="inlineStr">
        <is>
          <t>Huawei</t>
        </is>
      </c>
      <c r="F557" t="n">
        <v>7.08338</v>
      </c>
      <c r="G557" t="n">
        <v>80.02290000000001</v>
      </c>
      <c r="H557" t="inlineStr">
        <is>
          <t>GMWER1Q</t>
        </is>
      </c>
      <c r="J557" s="91">
        <f>RIGHT(H557,1)</f>
        <v/>
      </c>
      <c r="K557" t="inlineStr">
        <is>
          <t>S2</t>
        </is>
      </c>
      <c r="L557" s="91" t="inlineStr">
        <is>
          <t>2G</t>
        </is>
      </c>
      <c r="M557" t="n">
        <v>1800</v>
      </c>
      <c r="N557" s="91" t="inlineStr">
        <is>
          <t>AQU4518R9v06</t>
        </is>
      </c>
      <c r="P557" t="n">
        <v>120</v>
      </c>
      <c r="R557" s="92" t="n">
        <v>2</v>
      </c>
      <c r="AB557" s="91" t="inlineStr">
        <is>
          <t>R9264H M901821</t>
        </is>
      </c>
      <c r="AC557" s="91" t="inlineStr">
        <is>
          <t>A9652 S35*3+R9264H M901821*3+R9254E S8500*2+R9264 M1821N*1</t>
        </is>
      </c>
      <c r="AD557" s="91">
        <f>_xlfn.XLOOKUP(AE557,[4]透视表!$G:$G,[4]透视表!$E:$E)</f>
        <v/>
      </c>
      <c r="AE557" s="91">
        <f>A557&amp;K557</f>
        <v/>
      </c>
      <c r="AL557" s="91" t="inlineStr">
        <is>
          <t>高优先级</t>
        </is>
      </c>
    </row>
    <row r="558" hidden="1" ht="15" customHeight="1" s="99">
      <c r="A558" t="inlineStr">
        <is>
          <t>GMWER1</t>
        </is>
      </c>
      <c r="B558" t="inlineStr">
        <is>
          <t>GMWER1_GUL00_Werellawatta_IP_Gm</t>
        </is>
      </c>
      <c r="C558" s="89" t="inlineStr">
        <is>
          <t>Huawei</t>
        </is>
      </c>
      <c r="F558" t="n">
        <v>7.08338</v>
      </c>
      <c r="G558" t="n">
        <v>80.02290000000001</v>
      </c>
      <c r="H558" t="inlineStr">
        <is>
          <t>GMWER1-M-L85-B1</t>
        </is>
      </c>
      <c r="J558" s="91">
        <f>LEFT(RIGHT(H558,2),1)</f>
        <v/>
      </c>
      <c r="K558" s="91">
        <f>_xlfn.XLOOKUP(J558,#REF!,#REF!)</f>
        <v/>
      </c>
      <c r="L558" s="91" t="inlineStr">
        <is>
          <t>4G</t>
        </is>
      </c>
      <c r="M558" s="91" t="n">
        <v>850</v>
      </c>
      <c r="N558" s="91" t="inlineStr">
        <is>
          <t>AQU4518R9v06</t>
        </is>
      </c>
      <c r="O558" s="92" t="n">
        <v>40</v>
      </c>
      <c r="P558" t="n">
        <v>120</v>
      </c>
      <c r="R558" s="92" t="n">
        <v>0</v>
      </c>
      <c r="Y558" t="inlineStr">
        <is>
          <t>2T2R</t>
        </is>
      </c>
      <c r="AB558" s="91" t="inlineStr">
        <is>
          <t>R9254E S8500</t>
        </is>
      </c>
      <c r="AC558" s="91" t="inlineStr">
        <is>
          <t>A9652 S35*3+R9264H M901821*3+R9254E S8500*2+R9264 M1821N*1</t>
        </is>
      </c>
      <c r="AD558" s="91">
        <f>_xlfn.XLOOKUP(AE558,[4]透视表!$G:$G,[4]透视表!$D:$D)</f>
        <v/>
      </c>
      <c r="AE558" s="91">
        <f>A558&amp;K558</f>
        <v/>
      </c>
      <c r="AL558" s="91" t="inlineStr">
        <is>
          <t>高优先级</t>
        </is>
      </c>
    </row>
    <row r="559" hidden="1" ht="15" customHeight="1" s="99">
      <c r="A559" t="inlineStr">
        <is>
          <t>GMWER1</t>
        </is>
      </c>
      <c r="B559" t="inlineStr">
        <is>
          <t>GMWER1_GUL00_Werellawatta_IP_Gm</t>
        </is>
      </c>
      <c r="C559" s="89" t="inlineStr">
        <is>
          <t>Huawei</t>
        </is>
      </c>
      <c r="F559" t="n">
        <v>7.08338</v>
      </c>
      <c r="G559" t="n">
        <v>80.02290000000001</v>
      </c>
      <c r="H559" t="inlineStr">
        <is>
          <t>GMWER1H</t>
        </is>
      </c>
      <c r="J559" s="91">
        <f>RIGHT(H559,1)</f>
        <v/>
      </c>
      <c r="K559" s="91">
        <f>_xlfn.XLOOKUP(J559,#REF!,#REF!)</f>
        <v/>
      </c>
      <c r="L559" s="91" t="inlineStr">
        <is>
          <t>4G</t>
        </is>
      </c>
      <c r="M559" s="91" t="n">
        <v>1800</v>
      </c>
      <c r="N559" s="91" t="inlineStr">
        <is>
          <t>AQU4518R9v06</t>
        </is>
      </c>
      <c r="O559" s="92" t="n">
        <v>40</v>
      </c>
      <c r="P559" t="n">
        <v>120</v>
      </c>
      <c r="R559" s="92" t="n">
        <v>0</v>
      </c>
      <c r="Y559" t="inlineStr">
        <is>
          <t>4T4R</t>
        </is>
      </c>
      <c r="AB559" s="91" t="inlineStr">
        <is>
          <t>R9264H M901821</t>
        </is>
      </c>
      <c r="AC559" s="91" t="inlineStr">
        <is>
          <t>A9652 S35*3+R9264H M901821*3+R9254E S8500*2+R9264 M1821N*1</t>
        </is>
      </c>
      <c r="AD559" s="91">
        <f>_xlfn.XLOOKUP(AE559,[4]透视表!$G:$G,[4]透视表!$E:$E)</f>
        <v/>
      </c>
      <c r="AE559" s="91">
        <f>A559&amp;K559</f>
        <v/>
      </c>
      <c r="AL559" s="91" t="inlineStr">
        <is>
          <t>高优先级</t>
        </is>
      </c>
    </row>
    <row r="560" hidden="1" ht="15" customHeight="1" s="99">
      <c r="A560" t="inlineStr">
        <is>
          <t>GMWER1</t>
        </is>
      </c>
      <c r="B560" t="inlineStr">
        <is>
          <t>GMWER1_GUL00_Werellawatta_IP_Gm</t>
        </is>
      </c>
      <c r="C560" s="89" t="inlineStr">
        <is>
          <t>Huawei</t>
        </is>
      </c>
      <c r="F560" t="n">
        <v>7.08338</v>
      </c>
      <c r="G560" t="n">
        <v>80.02290000000001</v>
      </c>
      <c r="H560" t="inlineStr">
        <is>
          <t>GMWER1-M-L21-B2</t>
        </is>
      </c>
      <c r="J560" s="91">
        <f>LEFT(RIGHT(H560,2),1)</f>
        <v/>
      </c>
      <c r="K560" s="91">
        <f>_xlfn.XLOOKUP(J560,#REF!,#REF!)</f>
        <v/>
      </c>
      <c r="L560" s="91" t="inlineStr">
        <is>
          <t>4G</t>
        </is>
      </c>
      <c r="M560" s="91" t="n">
        <v>2100</v>
      </c>
      <c r="N560" s="91" t="inlineStr">
        <is>
          <t>AQU4518R9v06</t>
        </is>
      </c>
      <c r="O560" s="92" t="n">
        <v>40</v>
      </c>
      <c r="P560" t="n">
        <v>120</v>
      </c>
      <c r="R560" s="92" t="n">
        <v>0</v>
      </c>
      <c r="Y560" t="inlineStr">
        <is>
          <t>4T4R</t>
        </is>
      </c>
      <c r="AB560" s="91" t="inlineStr">
        <is>
          <t>R9264H M901821</t>
        </is>
      </c>
      <c r="AC560" s="91" t="inlineStr">
        <is>
          <t>A9652 S35*3+R9264H M901821*3+R9254E S8500*2+R9264 M1821N*1</t>
        </is>
      </c>
      <c r="AD560" s="91">
        <f>_xlfn.XLOOKUP(AE560,[4]透视表!$G:$G,[4]透视表!$F:$F)</f>
        <v/>
      </c>
      <c r="AE560" s="91">
        <f>A560&amp;K560</f>
        <v/>
      </c>
      <c r="AL560" s="91" t="inlineStr">
        <is>
          <t>高优先级</t>
        </is>
      </c>
    </row>
    <row r="561" hidden="1" ht="15" customHeight="1" s="99">
      <c r="A561" t="inlineStr">
        <is>
          <t>GMWER1</t>
        </is>
      </c>
      <c r="C561" s="89" t="inlineStr">
        <is>
          <t>Huawei</t>
        </is>
      </c>
      <c r="F561" t="n">
        <v>7.08338</v>
      </c>
      <c r="G561" t="n">
        <v>80.02290000000001</v>
      </c>
      <c r="H561" t="inlineStr">
        <is>
          <t>GMWER1C</t>
        </is>
      </c>
      <c r="J561" s="91">
        <f>RIGHT(H561,1)</f>
        <v/>
      </c>
      <c r="K561" t="inlineStr">
        <is>
          <t>S3</t>
        </is>
      </c>
      <c r="L561" s="91" t="inlineStr">
        <is>
          <t>2G</t>
        </is>
      </c>
      <c r="M561" t="n">
        <v>900</v>
      </c>
      <c r="N561" s="91" t="inlineStr">
        <is>
          <t>AQU4518R9v06</t>
        </is>
      </c>
      <c r="P561" t="n">
        <v>240</v>
      </c>
      <c r="R561" s="92" t="n">
        <v>2</v>
      </c>
      <c r="AB561" s="91" t="inlineStr">
        <is>
          <t>R9264H M901821</t>
        </is>
      </c>
      <c r="AC561" s="91" t="inlineStr">
        <is>
          <t>A9652 S35*3+R9264H M901821*3+R9254E S8500*2+R9264 M1821N*1</t>
        </is>
      </c>
      <c r="AD561" s="91">
        <f>_xlfn.XLOOKUP(AE561,[4]透视表!$G:$G,[4]透视表!$D:$D)</f>
        <v/>
      </c>
      <c r="AE561" s="91">
        <f>A561&amp;K561</f>
        <v/>
      </c>
      <c r="AL561" s="91" t="inlineStr">
        <is>
          <t>高优先级</t>
        </is>
      </c>
    </row>
    <row r="562" hidden="1" ht="15" customHeight="1" s="99">
      <c r="A562" t="inlineStr">
        <is>
          <t>GMWER1</t>
        </is>
      </c>
      <c r="C562" s="89" t="inlineStr">
        <is>
          <t>Huawei</t>
        </is>
      </c>
      <c r="F562" t="n">
        <v>7.08338</v>
      </c>
      <c r="G562" t="n">
        <v>80.02290000000001</v>
      </c>
      <c r="H562" t="inlineStr">
        <is>
          <t>GMWER1R</t>
        </is>
      </c>
      <c r="J562" s="91">
        <f>RIGHT(H562,1)</f>
        <v/>
      </c>
      <c r="K562" t="inlineStr">
        <is>
          <t>S3</t>
        </is>
      </c>
      <c r="L562" s="91" t="inlineStr">
        <is>
          <t>2G</t>
        </is>
      </c>
      <c r="M562" t="n">
        <v>1800</v>
      </c>
      <c r="N562" s="91" t="inlineStr">
        <is>
          <t>AQU4518R9v06</t>
        </is>
      </c>
      <c r="P562" t="n">
        <v>240</v>
      </c>
      <c r="R562" s="92" t="n">
        <v>2</v>
      </c>
      <c r="AB562" s="91" t="inlineStr">
        <is>
          <t>R9264H M901821</t>
        </is>
      </c>
      <c r="AC562" s="91" t="inlineStr">
        <is>
          <t>A9652 S35*3+R9264H M901821*3+R9254E S8500*2+R9264 M1821N*1</t>
        </is>
      </c>
      <c r="AD562" s="91">
        <f>_xlfn.XLOOKUP(AE562,[4]透视表!$G:$G,[4]透视表!$E:$E)</f>
        <v/>
      </c>
      <c r="AE562" s="91">
        <f>A562&amp;K562</f>
        <v/>
      </c>
      <c r="AL562" s="91" t="inlineStr">
        <is>
          <t>高优先级</t>
        </is>
      </c>
    </row>
    <row r="563" hidden="1" ht="15" customHeight="1" s="99">
      <c r="A563" t="inlineStr">
        <is>
          <t>GMWER1</t>
        </is>
      </c>
      <c r="B563" t="inlineStr">
        <is>
          <t>GMWER1_GUL00_Werellawatta_IP_Gm</t>
        </is>
      </c>
      <c r="C563" s="89" t="inlineStr">
        <is>
          <t>Huawei</t>
        </is>
      </c>
      <c r="F563" t="n">
        <v>7.08338</v>
      </c>
      <c r="G563" t="n">
        <v>80.02290000000001</v>
      </c>
      <c r="H563" t="inlineStr">
        <is>
          <t>GMWER1-M-L85-C1</t>
        </is>
      </c>
      <c r="J563" s="91">
        <f>LEFT(RIGHT(H563,2),1)</f>
        <v/>
      </c>
      <c r="K563" s="91">
        <f>_xlfn.XLOOKUP(J563,#REF!,#REF!)</f>
        <v/>
      </c>
      <c r="L563" s="91" t="inlineStr">
        <is>
          <t>4G</t>
        </is>
      </c>
      <c r="M563" s="91" t="n">
        <v>850</v>
      </c>
      <c r="N563" s="91" t="inlineStr">
        <is>
          <t>AQU4518R9v06</t>
        </is>
      </c>
      <c r="O563" s="92" t="n">
        <v>40</v>
      </c>
      <c r="P563" t="n">
        <v>240</v>
      </c>
      <c r="R563" s="92" t="n">
        <v>0</v>
      </c>
      <c r="Y563" t="inlineStr">
        <is>
          <t>2T2R</t>
        </is>
      </c>
      <c r="AB563" s="91" t="inlineStr">
        <is>
          <t>R9254E S8500</t>
        </is>
      </c>
      <c r="AC563" s="91" t="inlineStr">
        <is>
          <t>A9652 S35*3+R9264H M901821*3+R9254E S8500*2+R9264 M1821N*1</t>
        </is>
      </c>
      <c r="AD563" s="91">
        <f>_xlfn.XLOOKUP(AE563,[4]透视表!$G:$G,[4]透视表!$D:$D)</f>
        <v/>
      </c>
      <c r="AE563" s="91">
        <f>A563&amp;K563</f>
        <v/>
      </c>
      <c r="AL563" s="91" t="inlineStr">
        <is>
          <t>高优先级</t>
        </is>
      </c>
    </row>
    <row r="564" hidden="1" ht="15" customHeight="1" s="99">
      <c r="A564" t="inlineStr">
        <is>
          <t>GMWER1</t>
        </is>
      </c>
      <c r="B564" t="inlineStr">
        <is>
          <t>GMWER1_GUL00_Werellawatta_IP_Gm</t>
        </is>
      </c>
      <c r="C564" s="89" t="inlineStr">
        <is>
          <t>Huawei</t>
        </is>
      </c>
      <c r="F564" t="n">
        <v>7.08338</v>
      </c>
      <c r="G564" t="n">
        <v>80.02290000000001</v>
      </c>
      <c r="H564" t="inlineStr">
        <is>
          <t>GMWER1I</t>
        </is>
      </c>
      <c r="J564" s="91">
        <f>RIGHT(H564,1)</f>
        <v/>
      </c>
      <c r="K564" s="91">
        <f>_xlfn.XLOOKUP(J564,#REF!,#REF!)</f>
        <v/>
      </c>
      <c r="L564" s="91" t="inlineStr">
        <is>
          <t>4G</t>
        </is>
      </c>
      <c r="M564" s="91" t="n">
        <v>1800</v>
      </c>
      <c r="N564" s="91" t="inlineStr">
        <is>
          <t>AQU4518R9v06</t>
        </is>
      </c>
      <c r="O564" s="92" t="n">
        <v>40</v>
      </c>
      <c r="P564" t="n">
        <v>240</v>
      </c>
      <c r="R564" s="92" t="n">
        <v>0</v>
      </c>
      <c r="Y564" t="inlineStr">
        <is>
          <t>4T4R</t>
        </is>
      </c>
      <c r="AB564" s="91" t="inlineStr">
        <is>
          <t>R9264H M901821</t>
        </is>
      </c>
      <c r="AC564" s="91" t="inlineStr">
        <is>
          <t>A9652 S35*3+R9264H M901821*3+R9254E S8500*2+R9264 M1821N*1</t>
        </is>
      </c>
      <c r="AD564" s="91">
        <f>_xlfn.XLOOKUP(AE564,[4]透视表!$G:$G,[4]透视表!$E:$E)</f>
        <v/>
      </c>
      <c r="AE564" s="91">
        <f>A564&amp;K564</f>
        <v/>
      </c>
      <c r="AL564" s="91" t="inlineStr">
        <is>
          <t>高优先级</t>
        </is>
      </c>
    </row>
    <row r="565" hidden="1" ht="15" customHeight="1" s="99">
      <c r="A565" t="inlineStr">
        <is>
          <t>GMYAK2</t>
        </is>
      </c>
      <c r="C565" s="89" t="inlineStr">
        <is>
          <t>Huawei</t>
        </is>
      </c>
      <c r="F565" t="n">
        <v>7.08623</v>
      </c>
      <c r="G565" t="n">
        <v>80.0335</v>
      </c>
      <c r="H565" t="inlineStr">
        <is>
          <t>GMYAK2A</t>
        </is>
      </c>
      <c r="J565" s="91">
        <f>RIGHT(H565,1)</f>
        <v/>
      </c>
      <c r="K565" t="inlineStr">
        <is>
          <t>S1</t>
        </is>
      </c>
      <c r="L565" s="91" t="inlineStr">
        <is>
          <t>2G</t>
        </is>
      </c>
      <c r="M565" t="n">
        <v>900</v>
      </c>
      <c r="N565" s="91" t="inlineStr">
        <is>
          <t>AQU4518R9v06</t>
        </is>
      </c>
      <c r="P565" t="n">
        <v>30</v>
      </c>
      <c r="R565" s="92" t="n">
        <v>2</v>
      </c>
      <c r="AB565" s="91" t="inlineStr">
        <is>
          <t>R9264H M901821</t>
        </is>
      </c>
      <c r="AC565" s="91" t="inlineStr">
        <is>
          <t>A9652 S35*3+R9264H M901821*3+R9254E S8500*2</t>
        </is>
      </c>
      <c r="AD565" s="91">
        <f>_xlfn.XLOOKUP(AE565,[4]透视表!$G:$G,[4]透视表!$D:$D)</f>
        <v/>
      </c>
      <c r="AE565" s="91">
        <f>A565&amp;K565</f>
        <v/>
      </c>
      <c r="AL565" s="91" t="inlineStr">
        <is>
          <t>高优先级</t>
        </is>
      </c>
    </row>
    <row r="566" hidden="1" ht="15" customHeight="1" s="99">
      <c r="A566" t="inlineStr">
        <is>
          <t>GMYAK2</t>
        </is>
      </c>
      <c r="C566" s="89" t="inlineStr">
        <is>
          <t>Huawei</t>
        </is>
      </c>
      <c r="F566" t="n">
        <v>7.08623</v>
      </c>
      <c r="G566" t="n">
        <v>80.0335</v>
      </c>
      <c r="H566" t="inlineStr">
        <is>
          <t>GMYAK2P</t>
        </is>
      </c>
      <c r="J566" s="91">
        <f>RIGHT(H566,1)</f>
        <v/>
      </c>
      <c r="K566" t="inlineStr">
        <is>
          <t>S1</t>
        </is>
      </c>
      <c r="L566" s="91" t="inlineStr">
        <is>
          <t>2G</t>
        </is>
      </c>
      <c r="M566" t="n">
        <v>1800</v>
      </c>
      <c r="N566" s="91" t="inlineStr">
        <is>
          <t>AQU4518R9v06</t>
        </is>
      </c>
      <c r="P566" t="n">
        <v>30</v>
      </c>
      <c r="R566" s="92" t="n">
        <v>2</v>
      </c>
      <c r="AB566" s="91" t="inlineStr">
        <is>
          <t>R9264H M901821</t>
        </is>
      </c>
      <c r="AC566" s="91" t="inlineStr">
        <is>
          <t>A9652 S35*3+R9264H M901821*3+R9254E S8500*2</t>
        </is>
      </c>
      <c r="AD566" s="91">
        <f>_xlfn.XLOOKUP(AE566,[4]透视表!$G:$G,[4]透视表!$E:$E)</f>
        <v/>
      </c>
      <c r="AE566" s="91">
        <f>A566&amp;K566</f>
        <v/>
      </c>
      <c r="AL566" s="91" t="inlineStr">
        <is>
          <t>高优先级</t>
        </is>
      </c>
    </row>
    <row r="567" hidden="1" ht="15" customHeight="1" s="99">
      <c r="A567" t="inlineStr">
        <is>
          <t>GMYAK2</t>
        </is>
      </c>
      <c r="B567" t="inlineStr">
        <is>
          <t>GMYAK2_0UL00_Yakkala_2_Gm</t>
        </is>
      </c>
      <c r="C567" s="89" t="inlineStr">
        <is>
          <t>Huawei</t>
        </is>
      </c>
      <c r="F567" t="n">
        <v>7.08623</v>
      </c>
      <c r="G567" t="n">
        <v>80.0335</v>
      </c>
      <c r="H567" t="inlineStr">
        <is>
          <t>GMYAK2G</t>
        </is>
      </c>
      <c r="J567" s="91">
        <f>RIGHT(H567,1)</f>
        <v/>
      </c>
      <c r="K567" s="91">
        <f>_xlfn.XLOOKUP(J567,#REF!,#REF!)</f>
        <v/>
      </c>
      <c r="L567" s="91" t="inlineStr">
        <is>
          <t>4G</t>
        </is>
      </c>
      <c r="M567" s="91" t="n">
        <v>1800</v>
      </c>
      <c r="N567" s="91" t="inlineStr">
        <is>
          <t>AQU4518R9v06</t>
        </is>
      </c>
      <c r="O567" s="92" t="n">
        <v>4</v>
      </c>
      <c r="P567" t="n">
        <v>30</v>
      </c>
      <c r="R567" s="92" t="n">
        <v>0</v>
      </c>
      <c r="Y567" t="inlineStr">
        <is>
          <t>4T4R</t>
        </is>
      </c>
      <c r="AB567" s="91" t="inlineStr">
        <is>
          <t>R9264H M901821</t>
        </is>
      </c>
      <c r="AC567" s="91" t="inlineStr">
        <is>
          <t>A9652 S35*3+R9264H M901821*3+R9254E S8500*2</t>
        </is>
      </c>
      <c r="AD567" s="91">
        <f>_xlfn.XLOOKUP(AE567,[4]透视表!$G:$G,[4]透视表!$E:$E)</f>
        <v/>
      </c>
      <c r="AE567" s="91">
        <f>A567&amp;K567</f>
        <v/>
      </c>
      <c r="AL567" s="91" t="inlineStr">
        <is>
          <t>高优先级</t>
        </is>
      </c>
    </row>
    <row r="568" hidden="1" ht="15" customHeight="1" s="99">
      <c r="A568" t="inlineStr">
        <is>
          <t>GMYAK2</t>
        </is>
      </c>
      <c r="B568" t="inlineStr">
        <is>
          <t>GMYAK2_0UL00_Yakkala_2_Gm</t>
        </is>
      </c>
      <c r="C568" s="89" t="inlineStr">
        <is>
          <t>Huawei</t>
        </is>
      </c>
      <c r="F568" t="n">
        <v>7.08623</v>
      </c>
      <c r="G568" t="n">
        <v>80.0335</v>
      </c>
      <c r="H568" t="inlineStr">
        <is>
          <t>GMYAK2-M-L23-A1</t>
        </is>
      </c>
      <c r="J568" s="91">
        <f>LEFT(RIGHT(H568,2),1)</f>
        <v/>
      </c>
      <c r="K568" s="91">
        <f>_xlfn.XLOOKUP(J568,#REF!,#REF!)</f>
        <v/>
      </c>
      <c r="L568" s="91" t="inlineStr">
        <is>
          <t>4G</t>
        </is>
      </c>
      <c r="M568" s="91" t="n">
        <v>2300</v>
      </c>
      <c r="N568" s="91" t="n"/>
      <c r="O568" s="92" t="n">
        <v>4</v>
      </c>
      <c r="P568" t="n">
        <v>30</v>
      </c>
      <c r="R568" s="92" t="n">
        <v>0</v>
      </c>
      <c r="Y568" t="inlineStr">
        <is>
          <t>2T2R</t>
        </is>
      </c>
      <c r="AC568" s="91" t="inlineStr">
        <is>
          <t>A9652 S35*3+R9264H M901821*3+R9254E S8500*2</t>
        </is>
      </c>
      <c r="AE568" s="91">
        <f>A568&amp;K568</f>
        <v/>
      </c>
      <c r="AL568" s="91" t="inlineStr">
        <is>
          <t>高优先级</t>
        </is>
      </c>
    </row>
    <row r="569" hidden="1" ht="15" customHeight="1" s="99">
      <c r="A569" t="inlineStr">
        <is>
          <t>GMYAK2</t>
        </is>
      </c>
      <c r="C569" s="89" t="inlineStr">
        <is>
          <t>Huawei</t>
        </is>
      </c>
      <c r="F569" t="n">
        <v>7.08623</v>
      </c>
      <c r="G569" t="n">
        <v>80.0335</v>
      </c>
      <c r="H569" t="inlineStr">
        <is>
          <t>GMYAK2B</t>
        </is>
      </c>
      <c r="J569" s="91">
        <f>RIGHT(H569,1)</f>
        <v/>
      </c>
      <c r="K569" t="inlineStr">
        <is>
          <t>S2</t>
        </is>
      </c>
      <c r="L569" s="91" t="inlineStr">
        <is>
          <t>2G</t>
        </is>
      </c>
      <c r="M569" t="n">
        <v>900</v>
      </c>
      <c r="N569" s="91" t="inlineStr">
        <is>
          <t>AQU4518R9v06</t>
        </is>
      </c>
      <c r="P569" t="n">
        <v>120</v>
      </c>
      <c r="R569" s="92" t="n">
        <v>2</v>
      </c>
      <c r="AB569" s="91" t="inlineStr">
        <is>
          <t>R9264H M901821</t>
        </is>
      </c>
      <c r="AC569" s="91" t="inlineStr">
        <is>
          <t>A9652 S35*3+R9264H M901821*3+R9254E S8500*2</t>
        </is>
      </c>
      <c r="AD569" s="91">
        <f>_xlfn.XLOOKUP(AE569,[4]透视表!$G:$G,[4]透视表!$D:$D)</f>
        <v/>
      </c>
      <c r="AE569" s="91">
        <f>A569&amp;K569</f>
        <v/>
      </c>
      <c r="AL569" s="91" t="inlineStr">
        <is>
          <t>高优先级</t>
        </is>
      </c>
    </row>
    <row r="570" hidden="1" ht="15" customHeight="1" s="99">
      <c r="A570" t="inlineStr">
        <is>
          <t>GMYAK2</t>
        </is>
      </c>
      <c r="C570" s="89" t="inlineStr">
        <is>
          <t>Huawei</t>
        </is>
      </c>
      <c r="F570" t="n">
        <v>7.08623</v>
      </c>
      <c r="G570" t="n">
        <v>80.0335</v>
      </c>
      <c r="H570" t="inlineStr">
        <is>
          <t>GMYAK2Q</t>
        </is>
      </c>
      <c r="J570" s="91">
        <f>RIGHT(H570,1)</f>
        <v/>
      </c>
      <c r="K570" t="inlineStr">
        <is>
          <t>S2</t>
        </is>
      </c>
      <c r="L570" s="91" t="inlineStr">
        <is>
          <t>2G</t>
        </is>
      </c>
      <c r="M570" t="n">
        <v>1800</v>
      </c>
      <c r="N570" s="91" t="inlineStr">
        <is>
          <t>AQU4518R9v06</t>
        </is>
      </c>
      <c r="P570" t="n">
        <v>120</v>
      </c>
      <c r="R570" s="92" t="n">
        <v>2</v>
      </c>
      <c r="AB570" s="91" t="inlineStr">
        <is>
          <t>R9264H M901821</t>
        </is>
      </c>
      <c r="AC570" s="91" t="inlineStr">
        <is>
          <t>A9652 S35*3+R9264H M901821*3+R9254E S8500*2</t>
        </is>
      </c>
      <c r="AD570" s="91">
        <f>_xlfn.XLOOKUP(AE570,[4]透视表!$G:$G,[4]透视表!$E:$E)</f>
        <v/>
      </c>
      <c r="AE570" s="91">
        <f>A570&amp;K570</f>
        <v/>
      </c>
      <c r="AL570" s="91" t="inlineStr">
        <is>
          <t>高优先级</t>
        </is>
      </c>
    </row>
    <row r="571" hidden="1" ht="15" customHeight="1" s="99">
      <c r="A571" t="inlineStr">
        <is>
          <t>GMYAK2</t>
        </is>
      </c>
      <c r="B571" t="inlineStr">
        <is>
          <t>GMYAK2_0UL00_Yakkala_2_Gm</t>
        </is>
      </c>
      <c r="C571" s="89" t="inlineStr">
        <is>
          <t>Huawei</t>
        </is>
      </c>
      <c r="F571" t="n">
        <v>7.08623</v>
      </c>
      <c r="G571" t="n">
        <v>80.0335</v>
      </c>
      <c r="H571" t="inlineStr">
        <is>
          <t>GMYAK2H</t>
        </is>
      </c>
      <c r="J571" s="91">
        <f>RIGHT(H571,1)</f>
        <v/>
      </c>
      <c r="K571" s="91">
        <f>_xlfn.XLOOKUP(J571,#REF!,#REF!)</f>
        <v/>
      </c>
      <c r="L571" s="91" t="inlineStr">
        <is>
          <t>4G</t>
        </is>
      </c>
      <c r="M571" s="91" t="n">
        <v>1800</v>
      </c>
      <c r="N571" s="91" t="inlineStr">
        <is>
          <t>AQU4518R9v06</t>
        </is>
      </c>
      <c r="O571" s="92" t="n">
        <v>4</v>
      </c>
      <c r="P571" t="n">
        <v>120</v>
      </c>
      <c r="R571" s="92" t="n">
        <v>0</v>
      </c>
      <c r="Y571" t="inlineStr">
        <is>
          <t>4T4R</t>
        </is>
      </c>
      <c r="AB571" s="91" t="inlineStr">
        <is>
          <t>R9264H M901821</t>
        </is>
      </c>
      <c r="AC571" s="91" t="inlineStr">
        <is>
          <t>A9652 S35*3+R9264H M901821*3+R9254E S8500*2</t>
        </is>
      </c>
      <c r="AD571" s="91">
        <f>_xlfn.XLOOKUP(AE571,[4]透视表!$G:$G,[4]透视表!$E:$E)</f>
        <v/>
      </c>
      <c r="AE571" s="91">
        <f>A571&amp;K571</f>
        <v/>
      </c>
      <c r="AL571" s="91" t="inlineStr">
        <is>
          <t>高优先级</t>
        </is>
      </c>
    </row>
    <row r="572" hidden="1" ht="15" customHeight="1" s="99">
      <c r="A572" t="inlineStr">
        <is>
          <t>GMYAK2</t>
        </is>
      </c>
      <c r="B572" t="inlineStr">
        <is>
          <t>GMYAK2_0UL00_Yakkala_2_Gm</t>
        </is>
      </c>
      <c r="C572" s="89" t="inlineStr">
        <is>
          <t>Huawei</t>
        </is>
      </c>
      <c r="F572" t="n">
        <v>7.08623</v>
      </c>
      <c r="G572" t="n">
        <v>80.0335</v>
      </c>
      <c r="H572" t="inlineStr">
        <is>
          <t>GMYAK2-M-L23-B1</t>
        </is>
      </c>
      <c r="J572" s="91">
        <f>LEFT(RIGHT(H572,2),1)</f>
        <v/>
      </c>
      <c r="K572" s="91">
        <f>_xlfn.XLOOKUP(J572,#REF!,#REF!)</f>
        <v/>
      </c>
      <c r="L572" s="91" t="inlineStr">
        <is>
          <t>4G</t>
        </is>
      </c>
      <c r="M572" s="91" t="n">
        <v>2300</v>
      </c>
      <c r="N572" s="91" t="n"/>
      <c r="O572" s="92" t="n">
        <v>4</v>
      </c>
      <c r="P572" t="n">
        <v>120</v>
      </c>
      <c r="R572" s="92" t="n">
        <v>0</v>
      </c>
      <c r="Y572" t="inlineStr">
        <is>
          <t>2T2R</t>
        </is>
      </c>
      <c r="AC572" s="91" t="inlineStr">
        <is>
          <t>A9652 S35*3+R9264H M901821*3+R9254E S8500*2</t>
        </is>
      </c>
      <c r="AE572" s="91">
        <f>A572&amp;K572</f>
        <v/>
      </c>
      <c r="AL572" s="91" t="inlineStr">
        <is>
          <t>高优先级</t>
        </is>
      </c>
    </row>
    <row r="573" hidden="1" ht="15" customHeight="1" s="99">
      <c r="A573" t="inlineStr">
        <is>
          <t>GMYAK2</t>
        </is>
      </c>
      <c r="C573" s="89" t="inlineStr">
        <is>
          <t>Huawei</t>
        </is>
      </c>
      <c r="F573" t="n">
        <v>7.08623</v>
      </c>
      <c r="G573" t="n">
        <v>80.0335</v>
      </c>
      <c r="H573" t="inlineStr">
        <is>
          <t>GMYAK2C</t>
        </is>
      </c>
      <c r="J573" s="91">
        <f>RIGHT(H573,1)</f>
        <v/>
      </c>
      <c r="K573" t="inlineStr">
        <is>
          <t>S3</t>
        </is>
      </c>
      <c r="L573" s="91" t="inlineStr">
        <is>
          <t>2G</t>
        </is>
      </c>
      <c r="M573" t="n">
        <v>900</v>
      </c>
      <c r="N573" s="91" t="inlineStr">
        <is>
          <t>AQU4518R9v06</t>
        </is>
      </c>
      <c r="P573" t="n">
        <v>220</v>
      </c>
      <c r="R573" s="92" t="n">
        <v>2</v>
      </c>
      <c r="AB573" s="91" t="inlineStr">
        <is>
          <t>R9264H M901821</t>
        </is>
      </c>
      <c r="AC573" s="91" t="inlineStr">
        <is>
          <t>A9652 S35*3+R9264H M901821*3+R9254E S8500*2</t>
        </is>
      </c>
      <c r="AD573" s="91">
        <f>_xlfn.XLOOKUP(AE573,[4]透视表!$G:$G,[4]透视表!$D:$D)</f>
        <v/>
      </c>
      <c r="AE573" s="91">
        <f>A573&amp;K573</f>
        <v/>
      </c>
      <c r="AL573" s="91" t="inlineStr">
        <is>
          <t>高优先级</t>
        </is>
      </c>
    </row>
    <row r="574" hidden="1" ht="15" customHeight="1" s="99">
      <c r="A574" t="inlineStr">
        <is>
          <t>GMYAK2</t>
        </is>
      </c>
      <c r="C574" s="89" t="inlineStr">
        <is>
          <t>Huawei</t>
        </is>
      </c>
      <c r="F574" t="n">
        <v>7.08623</v>
      </c>
      <c r="G574" t="n">
        <v>80.0335</v>
      </c>
      <c r="H574" t="inlineStr">
        <is>
          <t>GMYAK2R</t>
        </is>
      </c>
      <c r="J574" s="91">
        <f>RIGHT(H574,1)</f>
        <v/>
      </c>
      <c r="K574" t="inlineStr">
        <is>
          <t>S3</t>
        </is>
      </c>
      <c r="L574" s="91" t="inlineStr">
        <is>
          <t>2G</t>
        </is>
      </c>
      <c r="M574" t="n">
        <v>1800</v>
      </c>
      <c r="N574" s="91" t="inlineStr">
        <is>
          <t>AQU4518R9v06</t>
        </is>
      </c>
      <c r="P574" t="n">
        <v>220</v>
      </c>
      <c r="R574" s="92" t="n">
        <v>2</v>
      </c>
      <c r="AB574" s="91" t="inlineStr">
        <is>
          <t>R9264H M901821</t>
        </is>
      </c>
      <c r="AC574" s="91" t="inlineStr">
        <is>
          <t>A9652 S35*3+R9264H M901821*3+R9254E S8500*2</t>
        </is>
      </c>
      <c r="AD574" s="91">
        <f>_xlfn.XLOOKUP(AE574,[4]透视表!$G:$G,[4]透视表!$E:$E)</f>
        <v/>
      </c>
      <c r="AE574" s="91">
        <f>A574&amp;K574</f>
        <v/>
      </c>
      <c r="AL574" s="91" t="inlineStr">
        <is>
          <t>高优先级</t>
        </is>
      </c>
    </row>
    <row r="575" hidden="1" ht="15" customHeight="1" s="99">
      <c r="A575" t="inlineStr">
        <is>
          <t>GMYAK2</t>
        </is>
      </c>
      <c r="B575" t="inlineStr">
        <is>
          <t>GMYAK2_0UL00_Yakkala_2_Gm</t>
        </is>
      </c>
      <c r="C575" s="89" t="inlineStr">
        <is>
          <t>Huawei</t>
        </is>
      </c>
      <c r="F575" t="n">
        <v>7.08623</v>
      </c>
      <c r="G575" t="n">
        <v>80.0335</v>
      </c>
      <c r="H575" t="inlineStr">
        <is>
          <t>GMYAK2I</t>
        </is>
      </c>
      <c r="J575" s="91">
        <f>RIGHT(H575,1)</f>
        <v/>
      </c>
      <c r="K575" s="91">
        <f>_xlfn.XLOOKUP(J575,#REF!,#REF!)</f>
        <v/>
      </c>
      <c r="L575" s="91" t="inlineStr">
        <is>
          <t>4G</t>
        </is>
      </c>
      <c r="M575" s="91" t="n">
        <v>1800</v>
      </c>
      <c r="N575" s="91" t="inlineStr">
        <is>
          <t>AQU4518R9v06</t>
        </is>
      </c>
      <c r="O575" s="92" t="n">
        <v>4</v>
      </c>
      <c r="P575" t="n">
        <v>220</v>
      </c>
      <c r="R575" s="92" t="n">
        <v>0</v>
      </c>
      <c r="Y575" t="inlineStr">
        <is>
          <t>4T4R</t>
        </is>
      </c>
      <c r="AB575" s="91" t="inlineStr">
        <is>
          <t>R9264H M901821</t>
        </is>
      </c>
      <c r="AC575" s="91" t="inlineStr">
        <is>
          <t>A9652 S35*3+R9264H M901821*3+R9254E S8500*2</t>
        </is>
      </c>
      <c r="AD575" s="91">
        <f>_xlfn.XLOOKUP(AE575,[4]透视表!$G:$G,[4]透视表!$E:$E)</f>
        <v/>
      </c>
      <c r="AE575" s="91">
        <f>A575&amp;K575</f>
        <v/>
      </c>
      <c r="AL575" s="91" t="inlineStr">
        <is>
          <t>高优先级</t>
        </is>
      </c>
    </row>
    <row r="576" hidden="1" ht="15" customHeight="1" s="99">
      <c r="A576" t="inlineStr">
        <is>
          <t>GMYAK2</t>
        </is>
      </c>
      <c r="B576" t="inlineStr">
        <is>
          <t>GMYAK2_0UL00_Yakkala_2_Gm</t>
        </is>
      </c>
      <c r="C576" s="89" t="inlineStr">
        <is>
          <t>Huawei</t>
        </is>
      </c>
      <c r="F576" t="n">
        <v>7.08623</v>
      </c>
      <c r="G576" t="n">
        <v>80.0335</v>
      </c>
      <c r="H576" t="inlineStr">
        <is>
          <t>GMYAK2-M-L23-C1</t>
        </is>
      </c>
      <c r="J576" s="91">
        <f>LEFT(RIGHT(H576,2),1)</f>
        <v/>
      </c>
      <c r="K576" s="91">
        <f>_xlfn.XLOOKUP(J576,#REF!,#REF!)</f>
        <v/>
      </c>
      <c r="L576" s="91" t="inlineStr">
        <is>
          <t>4G</t>
        </is>
      </c>
      <c r="M576" s="91" t="n">
        <v>2300</v>
      </c>
      <c r="N576" s="91" t="n"/>
      <c r="O576" s="92" t="n">
        <v>4</v>
      </c>
      <c r="P576" t="n">
        <v>220</v>
      </c>
      <c r="R576" s="92" t="n">
        <v>0</v>
      </c>
      <c r="Y576" t="inlineStr">
        <is>
          <t>2T2R</t>
        </is>
      </c>
      <c r="AC576" s="91" t="inlineStr">
        <is>
          <t>A9652 S35*3+R9264H M901821*3+R9254E S8500*2</t>
        </is>
      </c>
      <c r="AE576" s="91">
        <f>A576&amp;K576</f>
        <v/>
      </c>
      <c r="AL576" s="91" t="inlineStr">
        <is>
          <t>高优先级</t>
        </is>
      </c>
    </row>
    <row r="577" hidden="1" ht="15" customHeight="1" s="99">
      <c r="A577" t="inlineStr">
        <is>
          <t>GMYAK3</t>
        </is>
      </c>
      <c r="C577" s="89" t="inlineStr">
        <is>
          <t>Huawei</t>
        </is>
      </c>
      <c r="F577" t="n">
        <v>7.07725</v>
      </c>
      <c r="G577" t="n">
        <v>80.0461</v>
      </c>
      <c r="H577" t="inlineStr">
        <is>
          <t>GMYAK3A</t>
        </is>
      </c>
      <c r="J577" s="91">
        <f>RIGHT(H577,1)</f>
        <v/>
      </c>
      <c r="K577" t="inlineStr">
        <is>
          <t>S1</t>
        </is>
      </c>
      <c r="L577" s="91" t="inlineStr">
        <is>
          <t>2G</t>
        </is>
      </c>
      <c r="M577" t="n">
        <v>900</v>
      </c>
      <c r="N577" s="91" t="inlineStr">
        <is>
          <t>AQU4518R9v06</t>
        </is>
      </c>
      <c r="P577" t="n">
        <v>70</v>
      </c>
      <c r="R577" s="92" t="n">
        <v>2</v>
      </c>
      <c r="AB577" s="91" t="inlineStr">
        <is>
          <t>R9264H M901821</t>
        </is>
      </c>
      <c r="AC577" s="91" t="inlineStr">
        <is>
          <t>R9264H M901821*3+R9254E S8500*2+R9264 M1821N*1</t>
        </is>
      </c>
      <c r="AD577" s="91">
        <f>_xlfn.XLOOKUP(AE577,[4]透视表!$G:$G,[4]透视表!$D:$D)</f>
        <v/>
      </c>
      <c r="AE577" s="91">
        <f>A577&amp;K577</f>
        <v/>
      </c>
      <c r="AL577" s="91" t="inlineStr">
        <is>
          <t>高优先级</t>
        </is>
      </c>
    </row>
    <row r="578" hidden="1" ht="15" customHeight="1" s="99">
      <c r="A578" t="inlineStr">
        <is>
          <t>GMYAK3</t>
        </is>
      </c>
      <c r="C578" s="89" t="inlineStr">
        <is>
          <t>Huawei</t>
        </is>
      </c>
      <c r="F578" t="n">
        <v>7.07725</v>
      </c>
      <c r="G578" t="n">
        <v>80.0461</v>
      </c>
      <c r="H578" t="inlineStr">
        <is>
          <t>GMYAK3P</t>
        </is>
      </c>
      <c r="J578" s="91">
        <f>RIGHT(H578,1)</f>
        <v/>
      </c>
      <c r="K578" t="inlineStr">
        <is>
          <t>S1</t>
        </is>
      </c>
      <c r="L578" s="91" t="inlineStr">
        <is>
          <t>2G</t>
        </is>
      </c>
      <c r="M578" t="n">
        <v>1800</v>
      </c>
      <c r="N578" s="91" t="inlineStr">
        <is>
          <t>AQU4518R9v06</t>
        </is>
      </c>
      <c r="P578" t="n">
        <v>70</v>
      </c>
      <c r="R578" s="92" t="n">
        <v>2</v>
      </c>
      <c r="AB578" s="91" t="inlineStr">
        <is>
          <t>R9264H M901821</t>
        </is>
      </c>
      <c r="AC578" s="91" t="inlineStr">
        <is>
          <t>R9264H M901821*3+R9254E S8500*2+R9264 M1821N*1</t>
        </is>
      </c>
      <c r="AD578" s="91">
        <f>_xlfn.XLOOKUP(AE578,[4]透视表!$G:$G,[4]透视表!$E:$E)</f>
        <v/>
      </c>
      <c r="AE578" s="91">
        <f>A578&amp;K578</f>
        <v/>
      </c>
      <c r="AL578" s="91" t="inlineStr">
        <is>
          <t>高优先级</t>
        </is>
      </c>
    </row>
    <row r="579" hidden="1" ht="15" customHeight="1" s="99">
      <c r="A579" t="inlineStr">
        <is>
          <t>GMYAK3</t>
        </is>
      </c>
      <c r="B579" t="inlineStr">
        <is>
          <t>GMYAK3_0UL00_Koskandawala_IP_Gm</t>
        </is>
      </c>
      <c r="C579" s="89" t="inlineStr">
        <is>
          <t>Huawei</t>
        </is>
      </c>
      <c r="F579" t="n">
        <v>7.07725</v>
      </c>
      <c r="G579" t="n">
        <v>80.0461</v>
      </c>
      <c r="H579" t="inlineStr">
        <is>
          <t>GMYAK3-M-L85-A1</t>
        </is>
      </c>
      <c r="J579" s="91">
        <f>LEFT(RIGHT(H579,2),1)</f>
        <v/>
      </c>
      <c r="K579" s="91">
        <f>_xlfn.XLOOKUP(J579,#REF!,#REF!)</f>
        <v/>
      </c>
      <c r="L579" s="91" t="inlineStr">
        <is>
          <t>4G</t>
        </is>
      </c>
      <c r="M579" s="91" t="n">
        <v>850</v>
      </c>
      <c r="N579" s="91" t="inlineStr">
        <is>
          <t>AQU4518R9v06</t>
        </is>
      </c>
      <c r="O579" s="92" t="n">
        <v>60</v>
      </c>
      <c r="P579" t="n">
        <v>70</v>
      </c>
      <c r="R579" s="92" t="n">
        <v>0</v>
      </c>
      <c r="Y579" t="inlineStr">
        <is>
          <t>2T2R</t>
        </is>
      </c>
      <c r="AB579" s="91" t="inlineStr">
        <is>
          <t>R9254E S8500</t>
        </is>
      </c>
      <c r="AC579" s="91" t="inlineStr">
        <is>
          <t>R9264H M901821*3+R9254E S8500*2+R9264 M1821N*1</t>
        </is>
      </c>
      <c r="AD579" s="91">
        <f>_xlfn.XLOOKUP(AE579,[4]透视表!$G:$G,[4]透视表!$D:$D)</f>
        <v/>
      </c>
      <c r="AE579" s="91">
        <f>A579&amp;K579</f>
        <v/>
      </c>
      <c r="AL579" s="91" t="inlineStr">
        <is>
          <t>高优先级</t>
        </is>
      </c>
    </row>
    <row r="580" hidden="1" ht="15" customHeight="1" s="99">
      <c r="A580" t="inlineStr">
        <is>
          <t>GMYAK3</t>
        </is>
      </c>
      <c r="B580" t="inlineStr">
        <is>
          <t>GMYAK3_0UL00_Koskandawala_IP_Gm</t>
        </is>
      </c>
      <c r="C580" s="89" t="inlineStr">
        <is>
          <t>Huawei</t>
        </is>
      </c>
      <c r="F580" t="n">
        <v>7.07725</v>
      </c>
      <c r="G580" t="n">
        <v>80.0461</v>
      </c>
      <c r="H580" t="inlineStr">
        <is>
          <t>GMYAK3G</t>
        </is>
      </c>
      <c r="J580" s="91">
        <f>RIGHT(H580,1)</f>
        <v/>
      </c>
      <c r="K580" s="91">
        <f>_xlfn.XLOOKUP(J580,#REF!,#REF!)</f>
        <v/>
      </c>
      <c r="L580" s="91" t="inlineStr">
        <is>
          <t>4G</t>
        </is>
      </c>
      <c r="M580" s="91" t="n">
        <v>1800</v>
      </c>
      <c r="N580" s="91" t="inlineStr">
        <is>
          <t>AQU4518R9v06</t>
        </is>
      </c>
      <c r="O580" s="92" t="n">
        <v>60</v>
      </c>
      <c r="P580" t="n">
        <v>70</v>
      </c>
      <c r="R580" s="92" t="n">
        <v>0</v>
      </c>
      <c r="Y580" t="inlineStr">
        <is>
          <t>4T4R</t>
        </is>
      </c>
      <c r="AB580" s="91" t="inlineStr">
        <is>
          <t>R9264H M901821</t>
        </is>
      </c>
      <c r="AC580" s="91" t="inlineStr">
        <is>
          <t>R9264H M901821*3+R9254E S8500*2+R9264 M1821N*1</t>
        </is>
      </c>
      <c r="AD580" s="91">
        <f>_xlfn.XLOOKUP(AE580,[4]透视表!$G:$G,[4]透视表!$E:$E)</f>
        <v/>
      </c>
      <c r="AE580" s="91">
        <f>A580&amp;K580</f>
        <v/>
      </c>
      <c r="AL580" s="91" t="inlineStr">
        <is>
          <t>高优先级</t>
        </is>
      </c>
    </row>
    <row r="581" hidden="1" ht="15" customHeight="1" s="99">
      <c r="A581" t="inlineStr">
        <is>
          <t>GMYAK3</t>
        </is>
      </c>
      <c r="B581" t="inlineStr">
        <is>
          <t>GMYAK3_0UL00_Koskandawala_IP_Gm</t>
        </is>
      </c>
      <c r="C581" s="89" t="inlineStr">
        <is>
          <t>Huawei</t>
        </is>
      </c>
      <c r="F581" t="n">
        <v>7.07725</v>
      </c>
      <c r="G581" t="n">
        <v>80.0461</v>
      </c>
      <c r="H581" t="inlineStr">
        <is>
          <t>GMYAK3-M-L21-A2</t>
        </is>
      </c>
      <c r="J581" s="91">
        <f>LEFT(RIGHT(H581,2),1)</f>
        <v/>
      </c>
      <c r="K581" s="91">
        <f>_xlfn.XLOOKUP(J581,#REF!,#REF!)</f>
        <v/>
      </c>
      <c r="L581" s="91" t="inlineStr">
        <is>
          <t>4G</t>
        </is>
      </c>
      <c r="M581" s="91" t="n">
        <v>2100</v>
      </c>
      <c r="N581" s="91" t="inlineStr">
        <is>
          <t>AQU4518R9v06</t>
        </is>
      </c>
      <c r="O581" s="92" t="n">
        <v>60</v>
      </c>
      <c r="P581" t="n">
        <v>70</v>
      </c>
      <c r="R581" s="92" t="n">
        <v>0</v>
      </c>
      <c r="Y581" t="inlineStr">
        <is>
          <t>2T2R</t>
        </is>
      </c>
      <c r="AB581" s="91" t="inlineStr">
        <is>
          <t>R9264H M901821</t>
        </is>
      </c>
      <c r="AC581" s="91" t="inlineStr">
        <is>
          <t>R9264H M901821*3+R9254E S8500*2+R9264 M1821N*1</t>
        </is>
      </c>
      <c r="AD581" s="91">
        <f>_xlfn.XLOOKUP(AE581,[4]透视表!$G:$G,[4]透视表!$F:$F)</f>
        <v/>
      </c>
      <c r="AE581" s="91">
        <f>A581&amp;K581</f>
        <v/>
      </c>
      <c r="AL581" s="91" t="inlineStr">
        <is>
          <t>高优先级</t>
        </is>
      </c>
    </row>
    <row r="582" hidden="1" ht="15" customHeight="1" s="99">
      <c r="A582" t="inlineStr">
        <is>
          <t>GMYAK3</t>
        </is>
      </c>
      <c r="C582" s="89" t="inlineStr">
        <is>
          <t>Huawei</t>
        </is>
      </c>
      <c r="F582" t="n">
        <v>7.07725</v>
      </c>
      <c r="G582" t="n">
        <v>80.0461</v>
      </c>
      <c r="H582" t="inlineStr">
        <is>
          <t>GMYAK3B</t>
        </is>
      </c>
      <c r="J582" s="91">
        <f>RIGHT(H582,1)</f>
        <v/>
      </c>
      <c r="K582" t="inlineStr">
        <is>
          <t>S2</t>
        </is>
      </c>
      <c r="L582" s="91" t="inlineStr">
        <is>
          <t>2G</t>
        </is>
      </c>
      <c r="M582" t="n">
        <v>900</v>
      </c>
      <c r="N582" s="91" t="inlineStr">
        <is>
          <t>AQU4518R9v06</t>
        </is>
      </c>
      <c r="P582" t="n">
        <v>185</v>
      </c>
      <c r="R582" s="92" t="n">
        <v>2</v>
      </c>
      <c r="AB582" s="91" t="inlineStr">
        <is>
          <t>R9264H M901821</t>
        </is>
      </c>
      <c r="AC582" s="91" t="inlineStr">
        <is>
          <t>R9264H M901821*3+R9254E S8500*2+R9264 M1821N*1</t>
        </is>
      </c>
      <c r="AD582" s="91">
        <f>_xlfn.XLOOKUP(AE582,[4]透视表!$G:$G,[4]透视表!$D:$D)</f>
        <v/>
      </c>
      <c r="AE582" s="91">
        <f>A582&amp;K582</f>
        <v/>
      </c>
      <c r="AL582" s="91" t="inlineStr">
        <is>
          <t>高优先级</t>
        </is>
      </c>
    </row>
    <row r="583" hidden="1" ht="15" customHeight="1" s="99">
      <c r="A583" t="inlineStr">
        <is>
          <t>GMYAK3</t>
        </is>
      </c>
      <c r="C583" s="89" t="inlineStr">
        <is>
          <t>Huawei</t>
        </is>
      </c>
      <c r="F583" t="n">
        <v>7.07725</v>
      </c>
      <c r="G583" t="n">
        <v>80.0461</v>
      </c>
      <c r="H583" t="inlineStr">
        <is>
          <t>GMYAK3Q</t>
        </is>
      </c>
      <c r="J583" s="91">
        <f>RIGHT(H583,1)</f>
        <v/>
      </c>
      <c r="K583" t="inlineStr">
        <is>
          <t>S2</t>
        </is>
      </c>
      <c r="L583" s="91" t="inlineStr">
        <is>
          <t>2G</t>
        </is>
      </c>
      <c r="M583" t="n">
        <v>1800</v>
      </c>
      <c r="N583" s="91" t="inlineStr">
        <is>
          <t>AQU4518R9v06</t>
        </is>
      </c>
      <c r="P583" t="n">
        <v>185</v>
      </c>
      <c r="R583" s="92" t="n">
        <v>2</v>
      </c>
      <c r="AB583" s="91" t="inlineStr">
        <is>
          <t>R9264H M901821</t>
        </is>
      </c>
      <c r="AC583" s="91" t="inlineStr">
        <is>
          <t>R9264H M901821*3+R9254E S8500*2+R9264 M1821N*1</t>
        </is>
      </c>
      <c r="AD583" s="91">
        <f>_xlfn.XLOOKUP(AE583,[4]透视表!$G:$G,[4]透视表!$E:$E)</f>
        <v/>
      </c>
      <c r="AE583" s="91">
        <f>A583&amp;K583</f>
        <v/>
      </c>
      <c r="AL583" s="91" t="inlineStr">
        <is>
          <t>高优先级</t>
        </is>
      </c>
    </row>
    <row r="584" hidden="1" ht="15" customHeight="1" s="99">
      <c r="A584" t="inlineStr">
        <is>
          <t>GMYAK3</t>
        </is>
      </c>
      <c r="B584" t="inlineStr">
        <is>
          <t>GMYAK3_0UL00_Koskandawala_IP_Gm</t>
        </is>
      </c>
      <c r="C584" s="89" t="inlineStr">
        <is>
          <t>Huawei</t>
        </is>
      </c>
      <c r="F584" t="n">
        <v>7.07725</v>
      </c>
      <c r="G584" t="n">
        <v>80.0461</v>
      </c>
      <c r="H584" t="inlineStr">
        <is>
          <t>GMYAK3-M-L85-B1</t>
        </is>
      </c>
      <c r="J584" s="91">
        <f>LEFT(RIGHT(H584,2),1)</f>
        <v/>
      </c>
      <c r="K584" s="91">
        <f>_xlfn.XLOOKUP(J584,#REF!,#REF!)</f>
        <v/>
      </c>
      <c r="L584" s="91" t="inlineStr">
        <is>
          <t>4G</t>
        </is>
      </c>
      <c r="M584" s="91" t="n">
        <v>850</v>
      </c>
      <c r="N584" s="91" t="inlineStr">
        <is>
          <t>AQU4518R9v06</t>
        </is>
      </c>
      <c r="O584" s="92" t="n">
        <v>60</v>
      </c>
      <c r="P584" t="n">
        <v>185</v>
      </c>
      <c r="R584" s="92" t="n">
        <v>0</v>
      </c>
      <c r="Y584" t="inlineStr">
        <is>
          <t>2T2R</t>
        </is>
      </c>
      <c r="AB584" s="91" t="inlineStr">
        <is>
          <t>R9254E S8500</t>
        </is>
      </c>
      <c r="AC584" s="91" t="inlineStr">
        <is>
          <t>R9264H M901821*3+R9254E S8500*2+R9264 M1821N*1</t>
        </is>
      </c>
      <c r="AD584" s="91">
        <f>_xlfn.XLOOKUP(AE584,[4]透视表!$G:$G,[4]透视表!$D:$D)</f>
        <v/>
      </c>
      <c r="AE584" s="91">
        <f>A584&amp;K584</f>
        <v/>
      </c>
      <c r="AL584" s="91" t="inlineStr">
        <is>
          <t>高优先级</t>
        </is>
      </c>
    </row>
    <row r="585" hidden="1" ht="15" customHeight="1" s="99">
      <c r="A585" t="inlineStr">
        <is>
          <t>GMYAK3</t>
        </is>
      </c>
      <c r="B585" t="inlineStr">
        <is>
          <t>GMYAK3_0UL00_Koskandawala_IP_Gm</t>
        </is>
      </c>
      <c r="C585" s="89" t="inlineStr">
        <is>
          <t>Huawei</t>
        </is>
      </c>
      <c r="F585" t="n">
        <v>7.07725</v>
      </c>
      <c r="G585" t="n">
        <v>80.0461</v>
      </c>
      <c r="H585" t="inlineStr">
        <is>
          <t>GMYAK3H</t>
        </is>
      </c>
      <c r="J585" s="91">
        <f>RIGHT(H585,1)</f>
        <v/>
      </c>
      <c r="K585" s="91">
        <f>_xlfn.XLOOKUP(J585,#REF!,#REF!)</f>
        <v/>
      </c>
      <c r="L585" s="91" t="inlineStr">
        <is>
          <t>4G</t>
        </is>
      </c>
      <c r="M585" s="91" t="n">
        <v>1800</v>
      </c>
      <c r="N585" s="91" t="inlineStr">
        <is>
          <t>AQU4518R9v06</t>
        </is>
      </c>
      <c r="O585" s="92" t="n">
        <v>60</v>
      </c>
      <c r="P585" t="n">
        <v>185</v>
      </c>
      <c r="R585" s="92" t="n">
        <v>0</v>
      </c>
      <c r="Y585" t="inlineStr">
        <is>
          <t>4T4R</t>
        </is>
      </c>
      <c r="AB585" s="91" t="inlineStr">
        <is>
          <t>R9264H M901821</t>
        </is>
      </c>
      <c r="AC585" s="91" t="inlineStr">
        <is>
          <t>R9264H M901821*3+R9254E S8500*2+R9264 M1821N*1</t>
        </is>
      </c>
      <c r="AD585" s="91">
        <f>_xlfn.XLOOKUP(AE585,[4]透视表!$G:$G,[4]透视表!$E:$E)</f>
        <v/>
      </c>
      <c r="AE585" s="91">
        <f>A585&amp;K585</f>
        <v/>
      </c>
      <c r="AL585" s="91" t="inlineStr">
        <is>
          <t>高优先级</t>
        </is>
      </c>
    </row>
    <row r="586" hidden="1" ht="15" customHeight="1" s="99">
      <c r="A586" t="inlineStr">
        <is>
          <t>GMYAK3</t>
        </is>
      </c>
      <c r="B586" t="inlineStr">
        <is>
          <t>GMYAK3_0UL00_Koskandawala_IP_Gm</t>
        </is>
      </c>
      <c r="C586" s="89" t="inlineStr">
        <is>
          <t>Huawei</t>
        </is>
      </c>
      <c r="F586" t="n">
        <v>7.07725</v>
      </c>
      <c r="G586" t="n">
        <v>80.0461</v>
      </c>
      <c r="H586" t="inlineStr">
        <is>
          <t>GMYAK3-M-L21-B2</t>
        </is>
      </c>
      <c r="J586" s="91">
        <f>LEFT(RIGHT(H586,2),1)</f>
        <v/>
      </c>
      <c r="K586" s="91">
        <f>_xlfn.XLOOKUP(J586,#REF!,#REF!)</f>
        <v/>
      </c>
      <c r="L586" s="91" t="inlineStr">
        <is>
          <t>4G</t>
        </is>
      </c>
      <c r="M586" s="91" t="n">
        <v>2100</v>
      </c>
      <c r="N586" s="91" t="inlineStr"/>
      <c r="O586" s="92" t="n">
        <v>60</v>
      </c>
      <c r="P586" t="n">
        <v>185</v>
      </c>
      <c r="R586" s="92" t="n">
        <v>0</v>
      </c>
      <c r="Y586" t="inlineStr">
        <is>
          <t>4T4R</t>
        </is>
      </c>
      <c r="AB586" s="91" t="inlineStr">
        <is>
          <t>R9264H M901821</t>
        </is>
      </c>
      <c r="AC586" s="91" t="inlineStr">
        <is>
          <t>R9264H M901821*3+R9254E S8500*2+R9264 M1821N*1</t>
        </is>
      </c>
      <c r="AD586" s="91">
        <f>_xlfn.XLOOKUP(AE586,[4]透视表!$G:$G,[4]透视表!$F:$F)</f>
        <v/>
      </c>
      <c r="AE586" s="91">
        <f>A586&amp;K586</f>
        <v/>
      </c>
      <c r="AL586" s="91" t="inlineStr">
        <is>
          <t>高优先级</t>
        </is>
      </c>
    </row>
    <row r="587" hidden="1" ht="15" customHeight="1" s="99">
      <c r="A587" t="inlineStr">
        <is>
          <t>GMYAK3</t>
        </is>
      </c>
      <c r="C587" s="89" t="inlineStr">
        <is>
          <t>Huawei</t>
        </is>
      </c>
      <c r="F587" t="n">
        <v>7.07725</v>
      </c>
      <c r="G587" t="n">
        <v>80.0461</v>
      </c>
      <c r="H587" t="inlineStr">
        <is>
          <t>GMYAK3C</t>
        </is>
      </c>
      <c r="J587" s="91">
        <f>RIGHT(H587,1)</f>
        <v/>
      </c>
      <c r="K587" t="inlineStr">
        <is>
          <t>S3</t>
        </is>
      </c>
      <c r="L587" s="91" t="inlineStr">
        <is>
          <t>2G</t>
        </is>
      </c>
      <c r="M587" t="n">
        <v>900</v>
      </c>
      <c r="N587" s="91" t="e">
        <v>#N/A</v>
      </c>
      <c r="P587" t="n">
        <v>285</v>
      </c>
      <c r="R587" s="92" t="n">
        <v>2</v>
      </c>
      <c r="AB587" s="91" t="inlineStr">
        <is>
          <t>R9264H M901821</t>
        </is>
      </c>
      <c r="AC587" s="91" t="inlineStr">
        <is>
          <t>R9264H M901821*3+R9254E S8500*2+R9264 M1821N*1</t>
        </is>
      </c>
      <c r="AD587" s="91">
        <f>_xlfn.XLOOKUP(AE587,[4]透视表!$G:$G,[4]透视表!$D:$D)</f>
        <v/>
      </c>
      <c r="AE587" s="91">
        <f>A587&amp;K587</f>
        <v/>
      </c>
      <c r="AL587" s="91" t="inlineStr">
        <is>
          <t>高优先级</t>
        </is>
      </c>
    </row>
    <row r="588" hidden="1" ht="15" customHeight="1" s="99">
      <c r="A588" t="inlineStr">
        <is>
          <t>GMYAK3</t>
        </is>
      </c>
      <c r="C588" s="89" t="inlineStr">
        <is>
          <t>Huawei</t>
        </is>
      </c>
      <c r="F588" t="n">
        <v>7.07725</v>
      </c>
      <c r="G588" t="n">
        <v>80.0461</v>
      </c>
      <c r="H588" t="inlineStr">
        <is>
          <t>GMYAK3R</t>
        </is>
      </c>
      <c r="J588" s="91">
        <f>RIGHT(H588,1)</f>
        <v/>
      </c>
      <c r="K588" t="inlineStr">
        <is>
          <t>S3</t>
        </is>
      </c>
      <c r="L588" s="91" t="inlineStr">
        <is>
          <t>2G</t>
        </is>
      </c>
      <c r="M588" t="n">
        <v>1800</v>
      </c>
      <c r="N588" s="91" t="e">
        <v>#N/A</v>
      </c>
      <c r="P588" t="n">
        <v>285</v>
      </c>
      <c r="R588" s="92" t="n">
        <v>2</v>
      </c>
      <c r="AB588" s="91" t="inlineStr">
        <is>
          <t>R9264H M901821</t>
        </is>
      </c>
      <c r="AC588" s="91" t="inlineStr">
        <is>
          <t>R9264H M901821*3+R9254E S8500*2+R9264 M1821N*1</t>
        </is>
      </c>
      <c r="AD588" s="91">
        <f>_xlfn.XLOOKUP(AE588,[4]透视表!$G:$G,[4]透视表!$E:$E)</f>
        <v/>
      </c>
      <c r="AE588" s="91">
        <f>A588&amp;K588</f>
        <v/>
      </c>
      <c r="AL588" s="91" t="inlineStr">
        <is>
          <t>高优先级</t>
        </is>
      </c>
    </row>
    <row r="589" hidden="1" ht="15" customHeight="1" s="99">
      <c r="A589" t="inlineStr">
        <is>
          <t>GMYAK3</t>
        </is>
      </c>
      <c r="C589" s="89" t="n"/>
      <c r="I589" t="inlineStr">
        <is>
          <t>GMYAK3S</t>
        </is>
      </c>
      <c r="K589" t="inlineStr">
        <is>
          <t>S3</t>
        </is>
      </c>
      <c r="L589" s="91" t="inlineStr">
        <is>
          <t>2G</t>
        </is>
      </c>
      <c r="M589" t="n">
        <v>1800</v>
      </c>
      <c r="N589" s="91" t="inlineStr">
        <is>
          <t>1800 MHz天线</t>
        </is>
      </c>
      <c r="P589" t="n">
        <v>285</v>
      </c>
      <c r="AB589" s="91" t="inlineStr">
        <is>
          <t>R9264 M1821N</t>
        </is>
      </c>
      <c r="AC589" s="91" t="inlineStr">
        <is>
          <t>R9264H M901821*3+R9254E S8500*2+R9264 M1821N*1</t>
        </is>
      </c>
      <c r="AD589" s="91">
        <f>_xlfn.XLOOKUP(AE589,[4]透视表!$G:$G,[4]透视表!$E:$E)</f>
        <v/>
      </c>
    </row>
    <row r="590" hidden="1" ht="15" customHeight="1" s="99">
      <c r="A590" t="inlineStr">
        <is>
          <t>GMYAK3</t>
        </is>
      </c>
      <c r="B590" t="inlineStr">
        <is>
          <t>GMYAK3_0UL00_Koskandawala_IP_Gm</t>
        </is>
      </c>
      <c r="C590" s="89" t="inlineStr">
        <is>
          <t>Huawei</t>
        </is>
      </c>
      <c r="F590" t="n">
        <v>7.07725</v>
      </c>
      <c r="G590" t="n">
        <v>80.0461</v>
      </c>
      <c r="H590" t="inlineStr">
        <is>
          <t>GMYAK3-M-L85-C1</t>
        </is>
      </c>
      <c r="J590" s="91">
        <f>LEFT(RIGHT(H590,2),1)</f>
        <v/>
      </c>
      <c r="K590" s="91">
        <f>_xlfn.XLOOKUP(J590,#REF!,#REF!)</f>
        <v/>
      </c>
      <c r="L590" s="91" t="inlineStr">
        <is>
          <t>4G</t>
        </is>
      </c>
      <c r="M590" s="91" t="n">
        <v>850</v>
      </c>
      <c r="N590" s="91" t="e">
        <v>#N/A</v>
      </c>
      <c r="O590" s="92" t="n">
        <v>60</v>
      </c>
      <c r="P590" t="n">
        <v>285</v>
      </c>
      <c r="R590" s="92" t="n">
        <v>0</v>
      </c>
      <c r="Y590" t="inlineStr">
        <is>
          <t>2T2R</t>
        </is>
      </c>
      <c r="AB590" s="91" t="inlineStr">
        <is>
          <t>R9254E S8500</t>
        </is>
      </c>
      <c r="AC590" s="91" t="inlineStr">
        <is>
          <t>R9264H M901821*3+R9254E S8500*2+R9264 M1821N*1</t>
        </is>
      </c>
      <c r="AD590" s="91">
        <f>_xlfn.XLOOKUP(AE590,[4]透视表!$G:$G,[4]透视表!$D:$D)</f>
        <v/>
      </c>
      <c r="AE590" s="91">
        <f>A590&amp;K590</f>
        <v/>
      </c>
      <c r="AL590" s="91" t="inlineStr">
        <is>
          <t>高优先级</t>
        </is>
      </c>
    </row>
    <row r="591" hidden="1" ht="15" customHeight="1" s="99">
      <c r="A591" t="inlineStr">
        <is>
          <t>GMYAK3</t>
        </is>
      </c>
      <c r="B591" t="inlineStr">
        <is>
          <t>GMYAK3_0UL00_Koskandawala_IP_Gm</t>
        </is>
      </c>
      <c r="C591" s="89" t="inlineStr">
        <is>
          <t>Huawei</t>
        </is>
      </c>
      <c r="F591" t="n">
        <v>7.07725</v>
      </c>
      <c r="G591" t="n">
        <v>80.0461</v>
      </c>
      <c r="H591" t="inlineStr">
        <is>
          <t>GMYAK3-M-L18-I1</t>
        </is>
      </c>
      <c r="J591" s="91">
        <f>LEFT(RIGHT(H591,2),1)</f>
        <v/>
      </c>
      <c r="K591" s="91">
        <f>_xlfn.XLOOKUP(J591,#REF!,#REF!)</f>
        <v/>
      </c>
      <c r="L591" s="91" t="inlineStr">
        <is>
          <t>4G</t>
        </is>
      </c>
      <c r="M591" s="91" t="n">
        <v>1800</v>
      </c>
      <c r="N591" s="91" t="e">
        <v>#N/A</v>
      </c>
      <c r="O591" s="92" t="n">
        <v>60</v>
      </c>
      <c r="P591" t="n">
        <v>285</v>
      </c>
      <c r="R591" s="92" t="n">
        <v>0</v>
      </c>
      <c r="Y591" t="inlineStr">
        <is>
          <t>8T8R</t>
        </is>
      </c>
      <c r="AB591" s="91" t="inlineStr">
        <is>
          <t>R9264H M901821</t>
        </is>
      </c>
      <c r="AC591" s="91" t="inlineStr">
        <is>
          <t>R9264H M901821*3+R9254E S8500*2+R9264 M1821N*1</t>
        </is>
      </c>
      <c r="AD591" s="91">
        <f>_xlfn.XLOOKUP(AE591,[4]透视表!$G:$G,[4]透视表!$E:$E)</f>
        <v/>
      </c>
      <c r="AE591" s="91">
        <f>A591&amp;K591</f>
        <v/>
      </c>
      <c r="AL591" s="91" t="inlineStr">
        <is>
          <t>高优先级</t>
        </is>
      </c>
    </row>
    <row r="592" hidden="1" ht="15" customHeight="1" s="99">
      <c r="A592" t="inlineStr">
        <is>
          <t>GMYAK3</t>
        </is>
      </c>
      <c r="B592" t="inlineStr">
        <is>
          <t>GMYAK3_0UL00_Koskandawala_IP_Gm</t>
        </is>
      </c>
      <c r="C592" s="89" t="inlineStr">
        <is>
          <t>Huawei</t>
        </is>
      </c>
      <c r="F592" t="n">
        <v>7.07725</v>
      </c>
      <c r="G592" t="n">
        <v>80.0461</v>
      </c>
      <c r="H592" t="inlineStr">
        <is>
          <t>GMYAK3I</t>
        </is>
      </c>
      <c r="J592" s="91">
        <f>RIGHT(H592,1)</f>
        <v/>
      </c>
      <c r="K592" s="91">
        <f>_xlfn.XLOOKUP(J592,#REF!,#REF!)</f>
        <v/>
      </c>
      <c r="L592" s="91" t="inlineStr">
        <is>
          <t>4G</t>
        </is>
      </c>
      <c r="M592" s="91" t="n">
        <v>1800</v>
      </c>
      <c r="N592" s="91" t="e">
        <v>#N/A</v>
      </c>
      <c r="O592" s="92" t="n">
        <v>60</v>
      </c>
      <c r="P592" t="n">
        <v>285</v>
      </c>
      <c r="R592" s="92" t="n">
        <v>0</v>
      </c>
      <c r="Y592" t="inlineStr">
        <is>
          <t>8T8R</t>
        </is>
      </c>
      <c r="AB592" s="91" t="inlineStr">
        <is>
          <t>R9264 M1821N</t>
        </is>
      </c>
      <c r="AC592" s="91" t="inlineStr">
        <is>
          <t>R9264H M901821*3+R9254E S8500*2+R9264 M1821N*1</t>
        </is>
      </c>
      <c r="AD592" s="91">
        <f>_xlfn.XLOOKUP(AE592,[4]透视表!$G:$G,[4]透视表!$E:$E)</f>
        <v/>
      </c>
      <c r="AE592" s="91">
        <f>A592&amp;K592</f>
        <v/>
      </c>
      <c r="AL592" s="91" t="inlineStr">
        <is>
          <t>高优先级</t>
        </is>
      </c>
    </row>
    <row r="593" hidden="1" ht="15" customHeight="1" s="99">
      <c r="A593" t="inlineStr">
        <is>
          <t>GMYAK3</t>
        </is>
      </c>
      <c r="B593" t="inlineStr">
        <is>
          <t>GMYAK3_0UL00_Koskandawala_IP_Gm</t>
        </is>
      </c>
      <c r="C593" s="89" t="inlineStr">
        <is>
          <t>Huawei</t>
        </is>
      </c>
      <c r="F593" t="n">
        <v>7.07725</v>
      </c>
      <c r="G593" t="n">
        <v>80.0461</v>
      </c>
      <c r="H593" t="inlineStr">
        <is>
          <t>GMYAK3-M-L21-C2</t>
        </is>
      </c>
      <c r="J593" s="91">
        <f>LEFT(RIGHT(H593,2),1)</f>
        <v/>
      </c>
      <c r="K593" s="91">
        <f>_xlfn.XLOOKUP(J593,#REF!,#REF!)</f>
        <v/>
      </c>
      <c r="L593" s="91" t="inlineStr">
        <is>
          <t>4G</t>
        </is>
      </c>
      <c r="M593" s="91" t="n">
        <v>2100</v>
      </c>
      <c r="N593" s="91" t="e">
        <v>#N/A</v>
      </c>
      <c r="O593" s="92" t="n">
        <v>60</v>
      </c>
      <c r="P593" t="n">
        <v>285</v>
      </c>
      <c r="R593" s="92" t="n">
        <v>0</v>
      </c>
      <c r="Y593" t="inlineStr">
        <is>
          <t>8T8R</t>
        </is>
      </c>
      <c r="AB593" s="91" t="inlineStr">
        <is>
          <t>R9264H M901821</t>
        </is>
      </c>
      <c r="AC593" s="91" t="inlineStr">
        <is>
          <t>R9264H M901821*3+R9254E S8500*2+R9264 M1821N*1</t>
        </is>
      </c>
      <c r="AD593" s="91">
        <f>_xlfn.XLOOKUP(AE593,[4]透视表!$G:$G,[4]透视表!$F:$F)</f>
        <v/>
      </c>
      <c r="AE593" s="91">
        <f>A593&amp;K593</f>
        <v/>
      </c>
      <c r="AL593" s="91" t="inlineStr">
        <is>
          <t>高优先级</t>
        </is>
      </c>
    </row>
    <row r="594" hidden="1" ht="15" customHeight="1" s="99">
      <c r="A594" t="inlineStr">
        <is>
          <t>GMYAK3</t>
        </is>
      </c>
      <c r="B594" t="inlineStr">
        <is>
          <t>GMYAK3_0UL00_Koskandawala_IP_Gm</t>
        </is>
      </c>
      <c r="C594" s="89" t="inlineStr">
        <is>
          <t>Huawei</t>
        </is>
      </c>
      <c r="F594" t="n">
        <v>7.07725</v>
      </c>
      <c r="G594" t="n">
        <v>80.0461</v>
      </c>
      <c r="H594" t="inlineStr">
        <is>
          <t>GMYAK3-M-L21-C1</t>
        </is>
      </c>
      <c r="J594" s="91">
        <f>LEFT(RIGHT(H594,2),1)</f>
        <v/>
      </c>
      <c r="K594" s="91">
        <f>_xlfn.XLOOKUP(J594,#REF!,#REF!)</f>
        <v/>
      </c>
      <c r="L594" s="91" t="inlineStr">
        <is>
          <t>4G</t>
        </is>
      </c>
      <c r="M594" s="91" t="n">
        <v>2100</v>
      </c>
      <c r="N594" s="91" t="e">
        <v>#N/A</v>
      </c>
      <c r="O594" s="92" t="n">
        <v>60</v>
      </c>
      <c r="P594" t="n">
        <v>285</v>
      </c>
      <c r="R594" s="92" t="n">
        <v>0</v>
      </c>
      <c r="Y594" t="inlineStr">
        <is>
          <t>8T8R</t>
        </is>
      </c>
      <c r="AB594" s="91" t="inlineStr">
        <is>
          <t>R9264 M1821N</t>
        </is>
      </c>
      <c r="AC594" s="91" t="inlineStr">
        <is>
          <t>R9264H M901821*3+R9254E S8500*2+R9264 M1821N*1</t>
        </is>
      </c>
      <c r="AD594" s="91">
        <f>_xlfn.XLOOKUP(AE594,[4]透视表!$G:$G,[4]透视表!$F:$F)</f>
        <v/>
      </c>
      <c r="AE594" s="91">
        <f>A594&amp;K594</f>
        <v/>
      </c>
      <c r="AL594" s="91" t="inlineStr">
        <is>
          <t>高优先级</t>
        </is>
      </c>
    </row>
    <row r="595" hidden="1" ht="15" customHeight="1" s="99">
      <c r="A595" t="inlineStr">
        <is>
          <t>GMYAK4</t>
        </is>
      </c>
      <c r="C595" s="89" t="inlineStr">
        <is>
          <t>Huawei</t>
        </is>
      </c>
      <c r="F595" t="n">
        <v>7.08969</v>
      </c>
      <c r="G595" t="n">
        <v>80.0278</v>
      </c>
      <c r="H595" t="inlineStr">
        <is>
          <t>GMYAK4A</t>
        </is>
      </c>
      <c r="J595" s="91">
        <f>RIGHT(H595,1)</f>
        <v/>
      </c>
      <c r="K595" t="inlineStr">
        <is>
          <t>S1</t>
        </is>
      </c>
      <c r="L595" s="91" t="inlineStr">
        <is>
          <t>2G</t>
        </is>
      </c>
      <c r="M595" t="n">
        <v>900</v>
      </c>
      <c r="N595" s="91" t="inlineStr">
        <is>
          <t>APE4517R0v06</t>
        </is>
      </c>
      <c r="P595" t="n">
        <v>0</v>
      </c>
      <c r="R595" s="92" t="n">
        <v>2</v>
      </c>
      <c r="AB595" s="91" t="inlineStr">
        <is>
          <t>R9264H M901821</t>
        </is>
      </c>
      <c r="AC595" s="91" t="inlineStr">
        <is>
          <t>R9254E S1800*3+R9244 S9000*2</t>
        </is>
      </c>
      <c r="AD595" s="91">
        <f>_xlfn.XLOOKUP(AE595,[4]透视表!$G:$G,[4]透视表!$D:$D)</f>
        <v/>
      </c>
      <c r="AE595" s="91">
        <f>A595&amp;K595</f>
        <v/>
      </c>
      <c r="AL595" s="91" t="inlineStr">
        <is>
          <t>高优先级</t>
        </is>
      </c>
    </row>
    <row r="596" hidden="1" ht="15" customHeight="1" s="99">
      <c r="A596" t="inlineStr">
        <is>
          <t>GMYAK4</t>
        </is>
      </c>
      <c r="C596" s="89" t="inlineStr">
        <is>
          <t>Huawei</t>
        </is>
      </c>
      <c r="F596" t="n">
        <v>7.08969</v>
      </c>
      <c r="G596" t="n">
        <v>80.0278</v>
      </c>
      <c r="H596" t="inlineStr">
        <is>
          <t>GMYAK4P</t>
        </is>
      </c>
      <c r="J596" s="91">
        <f>RIGHT(H596,1)</f>
        <v/>
      </c>
      <c r="K596" t="inlineStr">
        <is>
          <t>S1</t>
        </is>
      </c>
      <c r="L596" s="91" t="inlineStr">
        <is>
          <t>2G</t>
        </is>
      </c>
      <c r="M596" t="n">
        <v>1800</v>
      </c>
      <c r="N596" s="91" t="inlineStr">
        <is>
          <t>APE4517R0v06</t>
        </is>
      </c>
      <c r="P596" t="n">
        <v>0</v>
      </c>
      <c r="R596" s="92" t="n">
        <v>2</v>
      </c>
      <c r="AB596" s="91" t="inlineStr">
        <is>
          <t>R9254E S1800</t>
        </is>
      </c>
      <c r="AC596" s="91" t="inlineStr">
        <is>
          <t>R9254E S1800*3+R9244 S9000*2</t>
        </is>
      </c>
      <c r="AD596" s="91">
        <f>_xlfn.XLOOKUP(AE596,[4]透视表!$G:$G,[4]透视表!$E:$E)</f>
        <v/>
      </c>
      <c r="AE596" s="91">
        <f>A596&amp;K596</f>
        <v/>
      </c>
      <c r="AL596" s="91" t="inlineStr">
        <is>
          <t>高优先级</t>
        </is>
      </c>
    </row>
    <row r="597" hidden="1" ht="15" customHeight="1" s="99">
      <c r="A597" t="inlineStr">
        <is>
          <t>GMYAK4</t>
        </is>
      </c>
      <c r="B597" t="inlineStr">
        <is>
          <t>GMYAK4_G0L00_Yakkala4_8_IP_Gm</t>
        </is>
      </c>
      <c r="C597" s="89" t="inlineStr">
        <is>
          <t>Huawei</t>
        </is>
      </c>
      <c r="F597" t="n">
        <v>7.08969</v>
      </c>
      <c r="G597" t="n">
        <v>80.0278</v>
      </c>
      <c r="H597" t="inlineStr">
        <is>
          <t>GMYAK4G</t>
        </is>
      </c>
      <c r="J597" s="91">
        <f>RIGHT(H597,1)</f>
        <v/>
      </c>
      <c r="K597" s="91">
        <f>_xlfn.XLOOKUP(J597,#REF!,#REF!)</f>
        <v/>
      </c>
      <c r="L597" s="91" t="inlineStr">
        <is>
          <t>4G</t>
        </is>
      </c>
      <c r="M597" s="91" t="n">
        <v>1800</v>
      </c>
      <c r="N597" s="91" t="inlineStr">
        <is>
          <t>APE4517R0v06</t>
        </is>
      </c>
      <c r="O597" s="92" t="n">
        <v>9</v>
      </c>
      <c r="P597" t="n">
        <v>0</v>
      </c>
      <c r="R597" s="92" t="n">
        <v>0</v>
      </c>
      <c r="Y597" t="inlineStr">
        <is>
          <t>2T2R</t>
        </is>
      </c>
      <c r="AB597" s="91" t="inlineStr">
        <is>
          <t>R9254E S1800</t>
        </is>
      </c>
      <c r="AC597" s="91" t="inlineStr">
        <is>
          <t>R9254E S1800*3+R9244 S9000*2</t>
        </is>
      </c>
      <c r="AD597" s="91">
        <f>_xlfn.XLOOKUP(AE597,[4]透视表!$G:$G,[4]透视表!$E:$E)</f>
        <v/>
      </c>
      <c r="AE597" s="91">
        <f>A597&amp;K597</f>
        <v/>
      </c>
      <c r="AL597" s="91" t="inlineStr">
        <is>
          <t>高优先级</t>
        </is>
      </c>
    </row>
    <row r="598" hidden="1" ht="15" customHeight="1" s="99">
      <c r="A598" t="inlineStr">
        <is>
          <t>GMYAK4</t>
        </is>
      </c>
      <c r="C598" s="89" t="inlineStr">
        <is>
          <t>Huawei</t>
        </is>
      </c>
      <c r="F598" t="n">
        <v>7.08969</v>
      </c>
      <c r="G598" t="n">
        <v>80.0278</v>
      </c>
      <c r="H598" t="inlineStr">
        <is>
          <t>GMYAK4B</t>
        </is>
      </c>
      <c r="J598" s="91">
        <f>RIGHT(H598,1)</f>
        <v/>
      </c>
      <c r="K598" t="inlineStr">
        <is>
          <t>S2</t>
        </is>
      </c>
      <c r="L598" s="91" t="inlineStr">
        <is>
          <t>2G</t>
        </is>
      </c>
      <c r="M598" t="n">
        <v>900</v>
      </c>
      <c r="N598" s="91" t="inlineStr">
        <is>
          <t>APE4517R0v06</t>
        </is>
      </c>
      <c r="P598" t="n">
        <v>120</v>
      </c>
      <c r="R598" s="92" t="n">
        <v>2</v>
      </c>
      <c r="AB598" s="91" t="inlineStr">
        <is>
          <t>R9264H M901821</t>
        </is>
      </c>
      <c r="AC598" s="91" t="inlineStr">
        <is>
          <t>R9254E S1800*3+R9244 S9000*2</t>
        </is>
      </c>
      <c r="AD598" s="91">
        <f>_xlfn.XLOOKUP(AE598,[4]透视表!$G:$G,[4]透视表!$D:$D)</f>
        <v/>
      </c>
      <c r="AE598" s="91">
        <f>A598&amp;K598</f>
        <v/>
      </c>
      <c r="AL598" s="91" t="inlineStr">
        <is>
          <t>高优先级</t>
        </is>
      </c>
    </row>
    <row r="599" hidden="1" ht="15" customHeight="1" s="99">
      <c r="A599" t="inlineStr">
        <is>
          <t>GMYAK4</t>
        </is>
      </c>
      <c r="C599" s="89" t="inlineStr">
        <is>
          <t>Huawei</t>
        </is>
      </c>
      <c r="F599" t="n">
        <v>7.08969</v>
      </c>
      <c r="G599" t="n">
        <v>80.0278</v>
      </c>
      <c r="H599" t="inlineStr">
        <is>
          <t>GMYAK4Q</t>
        </is>
      </c>
      <c r="J599" s="91">
        <f>RIGHT(H599,1)</f>
        <v/>
      </c>
      <c r="K599" t="inlineStr">
        <is>
          <t>S2</t>
        </is>
      </c>
      <c r="L599" s="91" t="inlineStr">
        <is>
          <t>2G</t>
        </is>
      </c>
      <c r="M599" t="n">
        <v>1800</v>
      </c>
      <c r="N599" s="91" t="inlineStr">
        <is>
          <t>APE4517R0v06</t>
        </is>
      </c>
      <c r="P599" t="n">
        <v>120</v>
      </c>
      <c r="R599" s="92" t="n">
        <v>2</v>
      </c>
      <c r="AB599" s="91" t="inlineStr">
        <is>
          <t>R9254E S1800</t>
        </is>
      </c>
      <c r="AC599" s="91" t="inlineStr">
        <is>
          <t>R9254E S1800*3+R9244 S9000*2</t>
        </is>
      </c>
      <c r="AD599" s="91">
        <f>_xlfn.XLOOKUP(AE599,[4]透视表!$G:$G,[4]透视表!$E:$E)</f>
        <v/>
      </c>
      <c r="AE599" s="91">
        <f>A599&amp;K599</f>
        <v/>
      </c>
      <c r="AL599" s="91" t="inlineStr">
        <is>
          <t>高优先级</t>
        </is>
      </c>
    </row>
    <row r="600" hidden="1" ht="15" customHeight="1" s="99">
      <c r="A600" t="inlineStr">
        <is>
          <t>GMYAK4</t>
        </is>
      </c>
      <c r="B600" t="inlineStr">
        <is>
          <t>GMYAK4_G0L00_Yakkala4_8_IP_Gm</t>
        </is>
      </c>
      <c r="C600" s="89" t="inlineStr">
        <is>
          <t>Huawei</t>
        </is>
      </c>
      <c r="F600" t="n">
        <v>7.08969</v>
      </c>
      <c r="G600" t="n">
        <v>80.0278</v>
      </c>
      <c r="H600" t="inlineStr">
        <is>
          <t>GMYAK4H</t>
        </is>
      </c>
      <c r="J600" s="91">
        <f>RIGHT(H600,1)</f>
        <v/>
      </c>
      <c r="K600" s="91">
        <f>_xlfn.XLOOKUP(J600,#REF!,#REF!)</f>
        <v/>
      </c>
      <c r="L600" s="91" t="inlineStr">
        <is>
          <t>4G</t>
        </is>
      </c>
      <c r="M600" s="91" t="n">
        <v>1800</v>
      </c>
      <c r="N600" s="91" t="inlineStr">
        <is>
          <t>APE4517R0v06</t>
        </is>
      </c>
      <c r="O600" s="92" t="n">
        <v>9</v>
      </c>
      <c r="P600" t="n">
        <v>120</v>
      </c>
      <c r="R600" s="92" t="n">
        <v>0</v>
      </c>
      <c r="Y600" t="inlineStr">
        <is>
          <t>2T2R</t>
        </is>
      </c>
      <c r="AB600" s="91" t="inlineStr">
        <is>
          <t>R9254E S1800</t>
        </is>
      </c>
      <c r="AC600" s="91" t="inlineStr">
        <is>
          <t>R9254E S1800*3+R9244 S9000*2</t>
        </is>
      </c>
      <c r="AD600" s="91">
        <f>_xlfn.XLOOKUP(AE600,[4]透视表!$G:$G,[4]透视表!$E:$E)</f>
        <v/>
      </c>
      <c r="AE600" s="91">
        <f>A600&amp;K600</f>
        <v/>
      </c>
      <c r="AL600" s="91" t="inlineStr">
        <is>
          <t>高优先级</t>
        </is>
      </c>
    </row>
    <row r="601" hidden="1" ht="15" customHeight="1" s="99">
      <c r="A601" t="inlineStr">
        <is>
          <t>GMYAK4</t>
        </is>
      </c>
      <c r="C601" s="89" t="inlineStr">
        <is>
          <t>Huawei</t>
        </is>
      </c>
      <c r="F601" t="n">
        <v>7.08969</v>
      </c>
      <c r="G601" t="n">
        <v>80.0278</v>
      </c>
      <c r="H601" t="inlineStr">
        <is>
          <t>GMYAK4C</t>
        </is>
      </c>
      <c r="J601" s="91">
        <f>RIGHT(H601,1)</f>
        <v/>
      </c>
      <c r="K601" t="inlineStr">
        <is>
          <t>S3</t>
        </is>
      </c>
      <c r="L601" s="91" t="inlineStr">
        <is>
          <t>2G</t>
        </is>
      </c>
      <c r="M601" t="n">
        <v>900</v>
      </c>
      <c r="N601" s="91" t="inlineStr">
        <is>
          <t>APE4517R0v06</t>
        </is>
      </c>
      <c r="P601" t="n">
        <v>260</v>
      </c>
      <c r="R601" s="92" t="n">
        <v>2</v>
      </c>
      <c r="AB601" s="91" t="inlineStr">
        <is>
          <t>R9264H M901821</t>
        </is>
      </c>
      <c r="AC601" s="91" t="inlineStr">
        <is>
          <t>R9254E S1800*3+R9244 S9000*2</t>
        </is>
      </c>
      <c r="AD601" s="91">
        <f>_xlfn.XLOOKUP(AE601,[4]透视表!$G:$G,[4]透视表!$D:$D)</f>
        <v/>
      </c>
      <c r="AE601" s="91">
        <f>A601&amp;K601</f>
        <v/>
      </c>
      <c r="AL601" s="91" t="inlineStr">
        <is>
          <t>高优先级</t>
        </is>
      </c>
    </row>
    <row r="602" hidden="1" ht="15" customHeight="1" s="99">
      <c r="A602" t="inlineStr">
        <is>
          <t>GMYAK4</t>
        </is>
      </c>
      <c r="C602" s="89" t="inlineStr">
        <is>
          <t>Huawei</t>
        </is>
      </c>
      <c r="F602" t="n">
        <v>7.08969</v>
      </c>
      <c r="G602" t="n">
        <v>80.0278</v>
      </c>
      <c r="H602" t="inlineStr">
        <is>
          <t>GMYAK4R</t>
        </is>
      </c>
      <c r="J602" s="91">
        <f>RIGHT(H602,1)</f>
        <v/>
      </c>
      <c r="K602" t="inlineStr">
        <is>
          <t>S3</t>
        </is>
      </c>
      <c r="L602" s="91" t="inlineStr">
        <is>
          <t>2G</t>
        </is>
      </c>
      <c r="M602" t="n">
        <v>1800</v>
      </c>
      <c r="N602" s="91" t="inlineStr">
        <is>
          <t>APE4517R0v06</t>
        </is>
      </c>
      <c r="P602" t="n">
        <v>260</v>
      </c>
      <c r="R602" s="92" t="n">
        <v>2</v>
      </c>
      <c r="AB602" s="91" t="inlineStr">
        <is>
          <t>R9254E S1800</t>
        </is>
      </c>
      <c r="AC602" s="91" t="inlineStr">
        <is>
          <t>R9254E S1800*3+R9244 S9000*2</t>
        </is>
      </c>
      <c r="AD602" s="91">
        <f>_xlfn.XLOOKUP(AE602,[4]透视表!$G:$G,[4]透视表!$E:$E)</f>
        <v/>
      </c>
      <c r="AE602" s="91">
        <f>A602&amp;K602</f>
        <v/>
      </c>
      <c r="AL602" s="91" t="inlineStr">
        <is>
          <t>高优先级</t>
        </is>
      </c>
    </row>
    <row r="603" hidden="1" ht="15" customHeight="1" s="99">
      <c r="A603" t="inlineStr">
        <is>
          <t>GMYAK4</t>
        </is>
      </c>
      <c r="B603" t="inlineStr">
        <is>
          <t>GMYAK4_G0L00_Yakkala4_8_IP_Gm</t>
        </is>
      </c>
      <c r="C603" s="89" t="inlineStr">
        <is>
          <t>Huawei</t>
        </is>
      </c>
      <c r="F603" t="n">
        <v>7.08969</v>
      </c>
      <c r="G603" t="n">
        <v>80.0278</v>
      </c>
      <c r="H603" t="inlineStr">
        <is>
          <t>GMYAK4I</t>
        </is>
      </c>
      <c r="J603" s="91">
        <f>RIGHT(H603,1)</f>
        <v/>
      </c>
      <c r="K603" s="91">
        <f>_xlfn.XLOOKUP(J603,#REF!,#REF!)</f>
        <v/>
      </c>
      <c r="L603" s="91" t="inlineStr">
        <is>
          <t>4G</t>
        </is>
      </c>
      <c r="M603" s="91" t="n">
        <v>1800</v>
      </c>
      <c r="N603" s="91" t="inlineStr">
        <is>
          <t>APE4517R0v06</t>
        </is>
      </c>
      <c r="O603" s="92" t="n">
        <v>9</v>
      </c>
      <c r="P603" t="n">
        <v>260</v>
      </c>
      <c r="R603" s="92" t="n">
        <v>0</v>
      </c>
      <c r="Y603" t="inlineStr">
        <is>
          <t>2T2R</t>
        </is>
      </c>
      <c r="AB603" s="91" t="inlineStr">
        <is>
          <t>R9254E S1800</t>
        </is>
      </c>
      <c r="AC603" s="91" t="inlineStr">
        <is>
          <t>R9254E S1800*3+R9244 S9000*2</t>
        </is>
      </c>
      <c r="AD603" s="91">
        <f>_xlfn.XLOOKUP(AE603,[4]透视表!$G:$G,[4]透视表!$E:$E)</f>
        <v/>
      </c>
      <c r="AE603" s="91">
        <f>A603&amp;K603</f>
        <v/>
      </c>
      <c r="AL603" s="91" t="inlineStr">
        <is>
          <t>高优先级</t>
        </is>
      </c>
    </row>
    <row r="604" hidden="1" ht="15" customHeight="1" s="99">
      <c r="A604" t="inlineStr">
        <is>
          <t>GMYAK5</t>
        </is>
      </c>
      <c r="C604" s="89" t="inlineStr">
        <is>
          <t>Huawei</t>
        </is>
      </c>
      <c r="F604" t="n">
        <v>7.09042</v>
      </c>
      <c r="G604" t="n">
        <v>80.03279999999999</v>
      </c>
      <c r="H604" t="inlineStr">
        <is>
          <t>GMYAK5A</t>
        </is>
      </c>
      <c r="J604" s="91">
        <f>RIGHT(H604,1)</f>
        <v/>
      </c>
      <c r="K604" t="inlineStr">
        <is>
          <t>S1</t>
        </is>
      </c>
      <c r="L604" s="91" t="inlineStr">
        <is>
          <t>2G</t>
        </is>
      </c>
      <c r="M604" t="n">
        <v>900</v>
      </c>
      <c r="N604" s="91" t="inlineStr">
        <is>
          <t>AQU4518R9v06</t>
        </is>
      </c>
      <c r="P604" t="n">
        <v>50</v>
      </c>
      <c r="R604" s="92" t="n">
        <v>2</v>
      </c>
      <c r="AB604" s="91" t="inlineStr">
        <is>
          <t>R9264H M901821</t>
        </is>
      </c>
      <c r="AC604" s="91" t="inlineStr">
        <is>
          <t>A9652 S35*3+R9264H M901821*3+R9254E S8500*2</t>
        </is>
      </c>
      <c r="AD604" s="91">
        <f>_xlfn.XLOOKUP(AE604,[4]透视表!$G:$G,[4]透视表!$D:$D)</f>
        <v/>
      </c>
      <c r="AE604" s="91">
        <f>A604&amp;K604</f>
        <v/>
      </c>
      <c r="AL604" s="91" t="inlineStr">
        <is>
          <t>高优先级</t>
        </is>
      </c>
    </row>
    <row r="605" hidden="1" ht="15" customHeight="1" s="99">
      <c r="A605" t="inlineStr">
        <is>
          <t>GMYAK5</t>
        </is>
      </c>
      <c r="C605" s="89" t="inlineStr">
        <is>
          <t>Huawei</t>
        </is>
      </c>
      <c r="F605" t="n">
        <v>7.09042</v>
      </c>
      <c r="G605" t="n">
        <v>80.03279999999999</v>
      </c>
      <c r="H605" t="inlineStr">
        <is>
          <t>GMYAK5P</t>
        </is>
      </c>
      <c r="J605" s="91">
        <f>RIGHT(H605,1)</f>
        <v/>
      </c>
      <c r="K605" t="inlineStr">
        <is>
          <t>S1</t>
        </is>
      </c>
      <c r="L605" s="91" t="inlineStr">
        <is>
          <t>2G</t>
        </is>
      </c>
      <c r="M605" t="n">
        <v>1800</v>
      </c>
      <c r="N605" s="91" t="inlineStr">
        <is>
          <t>AQU4518R9v06</t>
        </is>
      </c>
      <c r="P605" t="n">
        <v>50</v>
      </c>
      <c r="R605" s="92" t="n">
        <v>2</v>
      </c>
      <c r="AB605" s="91" t="inlineStr">
        <is>
          <t>R9264H M901821</t>
        </is>
      </c>
      <c r="AC605" s="91" t="inlineStr">
        <is>
          <t>A9652 S35*3+R9264H M901821*3+R9254E S8500*2</t>
        </is>
      </c>
      <c r="AD605" s="91">
        <f>_xlfn.XLOOKUP(AE605,[4]透视表!$G:$G,[4]透视表!$E:$E)</f>
        <v/>
      </c>
      <c r="AE605" s="91">
        <f>A605&amp;K605</f>
        <v/>
      </c>
      <c r="AL605" s="91" t="inlineStr">
        <is>
          <t>高优先级</t>
        </is>
      </c>
    </row>
    <row r="606" hidden="1" ht="15" customHeight="1" s="99">
      <c r="A606" t="inlineStr">
        <is>
          <t>GMYAK5</t>
        </is>
      </c>
      <c r="B606" t="inlineStr">
        <is>
          <t>GMYAK5_00L00_Yakkala5_Gm</t>
        </is>
      </c>
      <c r="C606" s="89" t="inlineStr">
        <is>
          <t>Huawei</t>
        </is>
      </c>
      <c r="F606" t="n">
        <v>7.09042</v>
      </c>
      <c r="G606" t="n">
        <v>80.03279999999999</v>
      </c>
      <c r="H606" t="inlineStr">
        <is>
          <t>GMYAK5-M-L85-A1</t>
        </is>
      </c>
      <c r="J606" s="91">
        <f>LEFT(RIGHT(H606,2),1)</f>
        <v/>
      </c>
      <c r="K606" s="91">
        <f>_xlfn.XLOOKUP(J606,#REF!,#REF!)</f>
        <v/>
      </c>
      <c r="L606" s="91" t="inlineStr">
        <is>
          <t>4G</t>
        </is>
      </c>
      <c r="M606" s="91" t="n">
        <v>850</v>
      </c>
      <c r="N606" s="91" t="inlineStr">
        <is>
          <t>AQU4518R9v06</t>
        </is>
      </c>
      <c r="O606" s="92" t="n">
        <v>60</v>
      </c>
      <c r="P606" t="n">
        <v>50</v>
      </c>
      <c r="R606" s="92" t="n">
        <v>0</v>
      </c>
      <c r="Y606" t="inlineStr">
        <is>
          <t>2T2R</t>
        </is>
      </c>
      <c r="AB606" s="91" t="inlineStr">
        <is>
          <t>R9254E S8500</t>
        </is>
      </c>
      <c r="AC606" s="91" t="inlineStr">
        <is>
          <t>A9652 S35*3+R9264H M901821*3+R9254E S8500*2</t>
        </is>
      </c>
      <c r="AD606" s="91">
        <f>_xlfn.XLOOKUP(AE606,[4]透视表!$G:$G,[4]透视表!$D:$D)</f>
        <v/>
      </c>
      <c r="AE606" s="91">
        <f>A606&amp;K606</f>
        <v/>
      </c>
      <c r="AL606" s="91" t="inlineStr">
        <is>
          <t>高优先级</t>
        </is>
      </c>
    </row>
    <row r="607" hidden="1" ht="15" customHeight="1" s="99">
      <c r="A607" t="inlineStr">
        <is>
          <t>GMYAK5</t>
        </is>
      </c>
      <c r="B607" t="inlineStr">
        <is>
          <t>GMYAK5_00L00_Yakkala5_Gm</t>
        </is>
      </c>
      <c r="C607" s="89" t="inlineStr">
        <is>
          <t>Huawei</t>
        </is>
      </c>
      <c r="F607" t="n">
        <v>7.09042</v>
      </c>
      <c r="G607" t="n">
        <v>80.03279999999999</v>
      </c>
      <c r="H607" t="inlineStr">
        <is>
          <t>GMYAK5G</t>
        </is>
      </c>
      <c r="J607" s="91">
        <f>RIGHT(H607,1)</f>
        <v/>
      </c>
      <c r="K607" s="91">
        <f>_xlfn.XLOOKUP(J607,#REF!,#REF!)</f>
        <v/>
      </c>
      <c r="L607" s="91" t="inlineStr">
        <is>
          <t>4G</t>
        </is>
      </c>
      <c r="M607" s="91" t="n">
        <v>1800</v>
      </c>
      <c r="N607" s="91" t="inlineStr">
        <is>
          <t>AQU4518R9v06</t>
        </is>
      </c>
      <c r="O607" s="92" t="n">
        <v>60</v>
      </c>
      <c r="P607" t="n">
        <v>50</v>
      </c>
      <c r="R607" s="92" t="n">
        <v>0</v>
      </c>
      <c r="Y607" t="inlineStr">
        <is>
          <t>2T2R</t>
        </is>
      </c>
      <c r="AB607" s="91" t="inlineStr">
        <is>
          <t>R9264H M901821</t>
        </is>
      </c>
      <c r="AC607" s="91" t="inlineStr">
        <is>
          <t>A9652 S35*3+R9264H M901821*3+R9254E S8500*2</t>
        </is>
      </c>
      <c r="AD607" s="91">
        <f>_xlfn.XLOOKUP(AE607,[4]透视表!$G:$G,[4]透视表!$E:$E)</f>
        <v/>
      </c>
      <c r="AE607" s="91">
        <f>A607&amp;K607</f>
        <v/>
      </c>
      <c r="AL607" s="91" t="inlineStr">
        <is>
          <t>高优先级</t>
        </is>
      </c>
    </row>
    <row r="608" hidden="1" ht="15" customHeight="1" s="99">
      <c r="A608" t="inlineStr">
        <is>
          <t>GMYAK5</t>
        </is>
      </c>
      <c r="C608" s="89" t="inlineStr">
        <is>
          <t>Huawei</t>
        </is>
      </c>
      <c r="F608" t="n">
        <v>7.09042</v>
      </c>
      <c r="G608" t="n">
        <v>80.03279999999999</v>
      </c>
      <c r="H608" t="inlineStr">
        <is>
          <t>GMYAK5B</t>
        </is>
      </c>
      <c r="J608" s="91">
        <f>RIGHT(H608,1)</f>
        <v/>
      </c>
      <c r="K608" t="inlineStr">
        <is>
          <t>S2</t>
        </is>
      </c>
      <c r="L608" s="91" t="inlineStr">
        <is>
          <t>2G</t>
        </is>
      </c>
      <c r="M608" t="n">
        <v>900</v>
      </c>
      <c r="N608" s="91" t="inlineStr">
        <is>
          <t>AQU4518R9v06</t>
        </is>
      </c>
      <c r="P608" t="n">
        <v>150</v>
      </c>
      <c r="R608" s="92" t="n">
        <v>2</v>
      </c>
      <c r="AB608" s="91" t="inlineStr">
        <is>
          <t>R9264H M901821</t>
        </is>
      </c>
      <c r="AC608" s="91" t="inlineStr">
        <is>
          <t>A9652 S35*3+R9264H M901821*3+R9254E S8500*2</t>
        </is>
      </c>
      <c r="AD608" s="91">
        <f>_xlfn.XLOOKUP(AE608,[4]透视表!$G:$G,[4]透视表!$D:$D)</f>
        <v/>
      </c>
      <c r="AE608" s="91">
        <f>A608&amp;K608</f>
        <v/>
      </c>
      <c r="AL608" s="91" t="inlineStr">
        <is>
          <t>高优先级</t>
        </is>
      </c>
    </row>
    <row r="609" hidden="1" ht="15" customHeight="1" s="99">
      <c r="A609" t="inlineStr">
        <is>
          <t>GMYAK5</t>
        </is>
      </c>
      <c r="C609" s="89" t="inlineStr">
        <is>
          <t>Huawei</t>
        </is>
      </c>
      <c r="F609" t="n">
        <v>7.09042</v>
      </c>
      <c r="G609" t="n">
        <v>80.03279999999999</v>
      </c>
      <c r="H609" t="inlineStr">
        <is>
          <t>GMYAK5Q</t>
        </is>
      </c>
      <c r="J609" s="91">
        <f>RIGHT(H609,1)</f>
        <v/>
      </c>
      <c r="K609" t="inlineStr">
        <is>
          <t>S2</t>
        </is>
      </c>
      <c r="L609" s="91" t="inlineStr">
        <is>
          <t>2G</t>
        </is>
      </c>
      <c r="M609" t="n">
        <v>1800</v>
      </c>
      <c r="N609" s="91" t="inlineStr">
        <is>
          <t>AQU4518R9v06</t>
        </is>
      </c>
      <c r="P609" t="n">
        <v>150</v>
      </c>
      <c r="R609" s="92" t="n">
        <v>2</v>
      </c>
      <c r="AB609" s="91" t="inlineStr">
        <is>
          <t>R9264H M901821</t>
        </is>
      </c>
      <c r="AC609" s="91" t="inlineStr">
        <is>
          <t>A9652 S35*3+R9264H M901821*3+R9254E S8500*2</t>
        </is>
      </c>
      <c r="AD609" s="91">
        <f>_xlfn.XLOOKUP(AE609,[4]透视表!$G:$G,[4]透视表!$E:$E)</f>
        <v/>
      </c>
      <c r="AE609" s="91">
        <f>A609&amp;K609</f>
        <v/>
      </c>
      <c r="AL609" s="91" t="inlineStr">
        <is>
          <t>高优先级</t>
        </is>
      </c>
    </row>
    <row r="610" hidden="1" ht="15" customHeight="1" s="99">
      <c r="A610" t="inlineStr">
        <is>
          <t>GMYAK5</t>
        </is>
      </c>
      <c r="B610" t="inlineStr">
        <is>
          <t>GMYAK5_00L00_Yakkala5_Gm</t>
        </is>
      </c>
      <c r="C610" s="89" t="inlineStr">
        <is>
          <t>Huawei</t>
        </is>
      </c>
      <c r="F610" t="n">
        <v>7.09042</v>
      </c>
      <c r="G610" t="n">
        <v>80.03279999999999</v>
      </c>
      <c r="H610" t="inlineStr">
        <is>
          <t>GMYAK5-M-L85-B1</t>
        </is>
      </c>
      <c r="J610" s="91">
        <f>LEFT(RIGHT(H610,2),1)</f>
        <v/>
      </c>
      <c r="K610" s="91">
        <f>_xlfn.XLOOKUP(J610,#REF!,#REF!)</f>
        <v/>
      </c>
      <c r="L610" s="91" t="inlineStr">
        <is>
          <t>4G</t>
        </is>
      </c>
      <c r="M610" s="91" t="n">
        <v>850</v>
      </c>
      <c r="N610" s="91" t="inlineStr">
        <is>
          <t>AQU4518R9v06</t>
        </is>
      </c>
      <c r="O610" s="92" t="n">
        <v>60</v>
      </c>
      <c r="P610" t="n">
        <v>150</v>
      </c>
      <c r="R610" s="92" t="n">
        <v>0</v>
      </c>
      <c r="Y610" t="inlineStr">
        <is>
          <t>2T2R</t>
        </is>
      </c>
      <c r="AB610" s="91" t="inlineStr">
        <is>
          <t>R9254E S8500</t>
        </is>
      </c>
      <c r="AC610" s="91" t="inlineStr">
        <is>
          <t>A9652 S35*3+R9264H M901821*3+R9254E S8500*2</t>
        </is>
      </c>
      <c r="AD610" s="91">
        <f>_xlfn.XLOOKUP(AE610,[4]透视表!$G:$G,[4]透视表!$D:$D)</f>
        <v/>
      </c>
      <c r="AE610" s="91">
        <f>A610&amp;K610</f>
        <v/>
      </c>
      <c r="AL610" s="91" t="inlineStr">
        <is>
          <t>高优先级</t>
        </is>
      </c>
    </row>
    <row r="611" hidden="1" ht="15" customHeight="1" s="99">
      <c r="A611" t="inlineStr">
        <is>
          <t>GMYAK5</t>
        </is>
      </c>
      <c r="B611" t="inlineStr">
        <is>
          <t>GMYAK5_00L00_Yakkala5_Gm</t>
        </is>
      </c>
      <c r="C611" s="89" t="inlineStr">
        <is>
          <t>Huawei</t>
        </is>
      </c>
      <c r="F611" t="n">
        <v>7.09042</v>
      </c>
      <c r="G611" t="n">
        <v>80.03279999999999</v>
      </c>
      <c r="H611" t="inlineStr">
        <is>
          <t>GMYAK5H</t>
        </is>
      </c>
      <c r="J611" s="91">
        <f>RIGHT(H611,1)</f>
        <v/>
      </c>
      <c r="K611" s="91">
        <f>_xlfn.XLOOKUP(J611,#REF!,#REF!)</f>
        <v/>
      </c>
      <c r="L611" s="91" t="inlineStr">
        <is>
          <t>4G</t>
        </is>
      </c>
      <c r="M611" s="91" t="n">
        <v>1800</v>
      </c>
      <c r="N611" s="91" t="inlineStr">
        <is>
          <t>AQU4518R9v06</t>
        </is>
      </c>
      <c r="O611" s="92" t="n">
        <v>60</v>
      </c>
      <c r="P611" t="n">
        <v>150</v>
      </c>
      <c r="R611" s="92" t="n">
        <v>0</v>
      </c>
      <c r="Y611" t="inlineStr">
        <is>
          <t>2T2R</t>
        </is>
      </c>
      <c r="AB611" s="91" t="inlineStr">
        <is>
          <t>R9264H M901821</t>
        </is>
      </c>
      <c r="AC611" s="91" t="inlineStr">
        <is>
          <t>A9652 S35*3+R9264H M901821*3+R9254E S8500*2</t>
        </is>
      </c>
      <c r="AD611" s="91">
        <f>_xlfn.XLOOKUP(AE611,[4]透视表!$G:$G,[4]透视表!$E:$E)</f>
        <v/>
      </c>
      <c r="AE611" s="91">
        <f>A611&amp;K611</f>
        <v/>
      </c>
      <c r="AL611" s="91" t="inlineStr">
        <is>
          <t>高优先级</t>
        </is>
      </c>
    </row>
    <row r="612" hidden="1" ht="15" customHeight="1" s="99">
      <c r="A612" t="inlineStr">
        <is>
          <t>GMYAK5</t>
        </is>
      </c>
      <c r="C612" s="89" t="inlineStr">
        <is>
          <t>Huawei</t>
        </is>
      </c>
      <c r="F612" t="n">
        <v>7.09042</v>
      </c>
      <c r="G612" t="n">
        <v>80.03279999999999</v>
      </c>
      <c r="H612" t="inlineStr">
        <is>
          <t>GMYAK5C</t>
        </is>
      </c>
      <c r="J612" s="91">
        <f>RIGHT(H612,1)</f>
        <v/>
      </c>
      <c r="K612" t="inlineStr">
        <is>
          <t>S3</t>
        </is>
      </c>
      <c r="L612" s="91" t="inlineStr">
        <is>
          <t>2G</t>
        </is>
      </c>
      <c r="M612" t="n">
        <v>900</v>
      </c>
      <c r="N612" s="91" t="inlineStr">
        <is>
          <t>AQU4518R9v06</t>
        </is>
      </c>
      <c r="P612" t="n">
        <v>350</v>
      </c>
      <c r="R612" s="92" t="n">
        <v>2</v>
      </c>
      <c r="AB612" s="91" t="inlineStr">
        <is>
          <t>R9264H M901821</t>
        </is>
      </c>
      <c r="AC612" s="91" t="inlineStr">
        <is>
          <t>A9652 S35*3+R9264H M901821*3+R9254E S8500*2</t>
        </is>
      </c>
      <c r="AD612" s="91">
        <f>_xlfn.XLOOKUP(AE612,[4]透视表!$G:$G,[4]透视表!$D:$D)</f>
        <v/>
      </c>
      <c r="AE612" s="91">
        <f>A612&amp;K612</f>
        <v/>
      </c>
      <c r="AL612" s="91" t="inlineStr">
        <is>
          <t>高优先级</t>
        </is>
      </c>
    </row>
    <row r="613" hidden="1" ht="15" customHeight="1" s="99">
      <c r="A613" t="inlineStr">
        <is>
          <t>GMYAK5</t>
        </is>
      </c>
      <c r="C613" s="89" t="inlineStr">
        <is>
          <t>Huawei</t>
        </is>
      </c>
      <c r="F613" t="n">
        <v>7.09042</v>
      </c>
      <c r="G613" t="n">
        <v>80.03279999999999</v>
      </c>
      <c r="H613" t="inlineStr">
        <is>
          <t>GMYAK5R</t>
        </is>
      </c>
      <c r="J613" s="91">
        <f>RIGHT(H613,1)</f>
        <v/>
      </c>
      <c r="K613" t="inlineStr">
        <is>
          <t>S3</t>
        </is>
      </c>
      <c r="L613" s="91" t="inlineStr">
        <is>
          <t>2G</t>
        </is>
      </c>
      <c r="M613" t="n">
        <v>1800</v>
      </c>
      <c r="N613" s="91" t="inlineStr"/>
      <c r="P613" t="n">
        <v>350</v>
      </c>
      <c r="R613" s="92" t="n">
        <v>2</v>
      </c>
      <c r="AB613" s="91" t="inlineStr">
        <is>
          <t>R9264H M901821</t>
        </is>
      </c>
      <c r="AC613" s="91" t="inlineStr">
        <is>
          <t>A9652 S35*3+R9264H M901821*3+R9254E S8500*2</t>
        </is>
      </c>
      <c r="AD613" s="91">
        <f>_xlfn.XLOOKUP(AE613,[4]透视表!$G:$G,[4]透视表!$E:$E)</f>
        <v/>
      </c>
      <c r="AE613" s="91">
        <f>A613&amp;K613</f>
        <v/>
      </c>
      <c r="AL613" s="91" t="inlineStr">
        <is>
          <t>高优先级</t>
        </is>
      </c>
    </row>
    <row r="614" hidden="1" ht="15" customHeight="1" s="99">
      <c r="A614" t="inlineStr">
        <is>
          <t>GMYAK5</t>
        </is>
      </c>
      <c r="C614" s="89" t="n"/>
      <c r="I614" t="inlineStr">
        <is>
          <t>GMYAK5S</t>
        </is>
      </c>
      <c r="J614" s="91">
        <f>RIGHT(I614,1)</f>
        <v/>
      </c>
      <c r="K614" t="inlineStr">
        <is>
          <t>S3</t>
        </is>
      </c>
      <c r="L614" s="91" t="inlineStr">
        <is>
          <t>2G</t>
        </is>
      </c>
      <c r="M614" t="n">
        <v>1800</v>
      </c>
      <c r="N614" s="91" t="n"/>
      <c r="P614" t="n">
        <v>350</v>
      </c>
      <c r="AB614" s="91" t="inlineStr">
        <is>
          <t>R9264H M901821</t>
        </is>
      </c>
      <c r="AC614" s="91" t="inlineStr">
        <is>
          <t>A9652 S35*3+R9264H M901821*3+R9254E S8500*2</t>
        </is>
      </c>
    </row>
    <row r="615" hidden="1" ht="15" customHeight="1" s="99">
      <c r="A615" t="inlineStr">
        <is>
          <t>GMYAK5</t>
        </is>
      </c>
      <c r="B615" t="inlineStr">
        <is>
          <t>GMYAK5_00L00_Yakkala5_Gm</t>
        </is>
      </c>
      <c r="C615" s="89" t="inlineStr">
        <is>
          <t>Huawei</t>
        </is>
      </c>
      <c r="F615" t="n">
        <v>7.09042</v>
      </c>
      <c r="G615" t="n">
        <v>80.03279999999999</v>
      </c>
      <c r="H615" t="inlineStr">
        <is>
          <t>GMYAK5-M-L85-C1</t>
        </is>
      </c>
      <c r="J615" s="91">
        <f>LEFT(RIGHT(H615,2),1)</f>
        <v/>
      </c>
      <c r="K615" s="91">
        <f>_xlfn.XLOOKUP(J615,#REF!,#REF!)</f>
        <v/>
      </c>
      <c r="L615" s="91" t="inlineStr">
        <is>
          <t>4G</t>
        </is>
      </c>
      <c r="M615" s="91" t="n">
        <v>850</v>
      </c>
      <c r="N615" s="91" t="inlineStr">
        <is>
          <t>AQU4518R9v06</t>
        </is>
      </c>
      <c r="O615" s="92" t="n">
        <v>60</v>
      </c>
      <c r="P615" t="n">
        <v>350</v>
      </c>
      <c r="R615" s="92" t="n">
        <v>0</v>
      </c>
      <c r="Y615" t="inlineStr">
        <is>
          <t>2T2R</t>
        </is>
      </c>
      <c r="AB615" s="91" t="inlineStr">
        <is>
          <t>R9254E S8500</t>
        </is>
      </c>
      <c r="AC615" s="91" t="inlineStr">
        <is>
          <t>A9652 S35*3+R9264H M901821*3+R9254E S8500*2</t>
        </is>
      </c>
      <c r="AD615" s="91">
        <f>_xlfn.XLOOKUP(AE615,[4]透视表!$G:$G,[4]透视表!$D:$D)</f>
        <v/>
      </c>
      <c r="AE615" s="91">
        <f>A615&amp;K615</f>
        <v/>
      </c>
      <c r="AL615" s="91" t="inlineStr">
        <is>
          <t>高优先级</t>
        </is>
      </c>
    </row>
    <row r="616" hidden="1" ht="15" customHeight="1" s="99">
      <c r="A616" t="inlineStr">
        <is>
          <t>GMYAK5</t>
        </is>
      </c>
      <c r="B616" t="inlineStr">
        <is>
          <t>GMYAK5_00L00_Yakkala5_Gm</t>
        </is>
      </c>
      <c r="C616" s="89" t="inlineStr">
        <is>
          <t>Huawei</t>
        </is>
      </c>
      <c r="E616" s="91" t="inlineStr">
        <is>
          <t>劈裂</t>
        </is>
      </c>
      <c r="F616" t="n">
        <v>7.09042</v>
      </c>
      <c r="G616" t="n">
        <v>80.03279999999999</v>
      </c>
      <c r="H616" t="inlineStr">
        <is>
          <t>GMYAK5-M-L18-I1</t>
        </is>
      </c>
      <c r="J616" s="91">
        <f>LEFT(RIGHT(H616,2),1)</f>
        <v/>
      </c>
      <c r="K616" s="91">
        <f>_xlfn.XLOOKUP(J616,#REF!,#REF!)</f>
        <v/>
      </c>
      <c r="L616" s="91" t="inlineStr">
        <is>
          <t>4G</t>
        </is>
      </c>
      <c r="M616" s="91" t="n">
        <v>1800</v>
      </c>
      <c r="N616" s="91" t="inlineStr">
        <is>
          <t>AMB4519R6v06</t>
        </is>
      </c>
      <c r="O616" s="92" t="n">
        <v>60</v>
      </c>
      <c r="P616" t="n">
        <v>350</v>
      </c>
      <c r="R616" s="92" t="n">
        <v>0</v>
      </c>
      <c r="Y616" t="inlineStr">
        <is>
          <t>2T2R</t>
        </is>
      </c>
      <c r="AB616" s="91" t="inlineStr">
        <is>
          <t>R9264H M901821</t>
        </is>
      </c>
      <c r="AC616" s="91" t="inlineStr">
        <is>
          <t>A9652 S35*3+R9264H M901821*3+R9254E S8500*2</t>
        </is>
      </c>
      <c r="AD616" s="91" t="inlineStr">
        <is>
          <t>AMB4519R6v06</t>
        </is>
      </c>
      <c r="AE616" s="91">
        <f>A616&amp;K616</f>
        <v/>
      </c>
      <c r="AL616" s="91" t="inlineStr">
        <is>
          <t>高优先级</t>
        </is>
      </c>
    </row>
    <row r="617" hidden="1" ht="15" customHeight="1" s="99">
      <c r="A617" t="inlineStr">
        <is>
          <t>GMYAK5</t>
        </is>
      </c>
      <c r="B617" t="inlineStr">
        <is>
          <t>GMYAK5_00L00_Yakkala5_Gm</t>
        </is>
      </c>
      <c r="C617" s="89" t="inlineStr">
        <is>
          <t>Huawei</t>
        </is>
      </c>
      <c r="E617" s="91" t="inlineStr">
        <is>
          <t>劈裂</t>
        </is>
      </c>
      <c r="F617" t="n">
        <v>7.09042</v>
      </c>
      <c r="G617" t="n">
        <v>80.03279999999999</v>
      </c>
      <c r="H617" t="inlineStr">
        <is>
          <t>GMYAK5I</t>
        </is>
      </c>
      <c r="J617" s="91">
        <f>RIGHT(H617,1)</f>
        <v/>
      </c>
      <c r="K617" s="91">
        <f>_xlfn.XLOOKUP(J617,#REF!,#REF!)</f>
        <v/>
      </c>
      <c r="L617" s="91" t="inlineStr">
        <is>
          <t>4G</t>
        </is>
      </c>
      <c r="M617" s="91" t="n">
        <v>1800</v>
      </c>
      <c r="N617" s="91" t="inlineStr">
        <is>
          <t>AMB4519R6v06</t>
        </is>
      </c>
      <c r="O617" s="92" t="n">
        <v>60</v>
      </c>
      <c r="P617" t="n">
        <v>350</v>
      </c>
      <c r="R617" s="92" t="n">
        <v>0</v>
      </c>
      <c r="Y617" t="inlineStr">
        <is>
          <t>2T2R</t>
        </is>
      </c>
      <c r="AB617" s="91" t="inlineStr">
        <is>
          <t>R9264H M901821</t>
        </is>
      </c>
      <c r="AC617" s="91" t="inlineStr">
        <is>
          <t>A9652 S35*3+R9264H M901821*3+R9254E S8500*2</t>
        </is>
      </c>
      <c r="AD617" s="91" t="inlineStr">
        <is>
          <t>AMB4519R6v06</t>
        </is>
      </c>
      <c r="AE617" s="91">
        <f>A617&amp;K617</f>
        <v/>
      </c>
      <c r="AL617" s="91" t="inlineStr">
        <is>
          <t>高优先级</t>
        </is>
      </c>
    </row>
    <row r="618" hidden="1" ht="15" customHeight="1" s="99">
      <c r="A618" t="inlineStr">
        <is>
          <t>GMYGD1</t>
        </is>
      </c>
      <c r="C618" s="89" t="inlineStr">
        <is>
          <t>Huawei</t>
        </is>
      </c>
      <c r="F618" t="n">
        <v>7.06311</v>
      </c>
      <c r="G618" t="n">
        <v>79.9812</v>
      </c>
      <c r="H618" t="inlineStr">
        <is>
          <t>GMYGD1A</t>
        </is>
      </c>
      <c r="J618" s="91">
        <f>RIGHT(H618,1)</f>
        <v/>
      </c>
      <c r="K618" t="inlineStr">
        <is>
          <t>S1</t>
        </is>
      </c>
      <c r="L618" s="91" t="inlineStr">
        <is>
          <t>2G</t>
        </is>
      </c>
      <c r="M618" t="n">
        <v>900</v>
      </c>
      <c r="N618" s="91" t="inlineStr">
        <is>
          <t>AQU4518R9v06</t>
        </is>
      </c>
      <c r="P618" t="n">
        <v>120</v>
      </c>
      <c r="R618" s="92" t="n">
        <v>2</v>
      </c>
      <c r="AB618" s="91" t="inlineStr">
        <is>
          <t>R9264H M901821</t>
        </is>
      </c>
      <c r="AC618" s="91" t="inlineStr">
        <is>
          <t>R9264H M901821*3+R9254E S8500*2</t>
        </is>
      </c>
      <c r="AD618" s="91">
        <f>_xlfn.XLOOKUP(AE618,[4]透视表!$G:$G,[4]透视表!$D:$D)</f>
        <v/>
      </c>
      <c r="AE618" s="91">
        <f>A618&amp;K618</f>
        <v/>
      </c>
      <c r="AL618" s="91" t="inlineStr">
        <is>
          <t>高优先级</t>
        </is>
      </c>
    </row>
    <row r="619" hidden="1" ht="15" customHeight="1" s="99">
      <c r="A619" t="inlineStr">
        <is>
          <t>GMYGD1</t>
        </is>
      </c>
      <c r="C619" s="89" t="inlineStr">
        <is>
          <t>Huawei</t>
        </is>
      </c>
      <c r="F619" t="n">
        <v>7.06311</v>
      </c>
      <c r="G619" t="n">
        <v>79.9812</v>
      </c>
      <c r="H619" t="inlineStr">
        <is>
          <t>GMYGD1P</t>
        </is>
      </c>
      <c r="J619" s="91">
        <f>RIGHT(H619,1)</f>
        <v/>
      </c>
      <c r="K619" t="inlineStr">
        <is>
          <t>S1</t>
        </is>
      </c>
      <c r="L619" s="91" t="inlineStr">
        <is>
          <t>2G</t>
        </is>
      </c>
      <c r="M619" t="n">
        <v>1800</v>
      </c>
      <c r="N619" s="91" t="inlineStr">
        <is>
          <t>AQU4518R9v06</t>
        </is>
      </c>
      <c r="P619" t="n">
        <v>120</v>
      </c>
      <c r="R619" s="92" t="n">
        <v>2</v>
      </c>
      <c r="AB619" s="91" t="inlineStr">
        <is>
          <t>R9264H M901821</t>
        </is>
      </c>
      <c r="AC619" s="91" t="inlineStr">
        <is>
          <t>R9264H M901821*3+R9254E S8500*2</t>
        </is>
      </c>
      <c r="AD619" s="91">
        <f>_xlfn.XLOOKUP(AE619,[4]透视表!$G:$G,[4]透视表!$E:$E)</f>
        <v/>
      </c>
      <c r="AE619" s="91">
        <f>A619&amp;K619</f>
        <v/>
      </c>
      <c r="AL619" s="91" t="inlineStr">
        <is>
          <t>高优先级</t>
        </is>
      </c>
    </row>
    <row r="620" hidden="1" ht="15" customHeight="1" s="99">
      <c r="A620" t="inlineStr">
        <is>
          <t>GMYGD1</t>
        </is>
      </c>
      <c r="B620" t="inlineStr">
        <is>
          <t>GMYGD1_GUL00_Yagoda_IP_Kd</t>
        </is>
      </c>
      <c r="C620" s="89" t="inlineStr">
        <is>
          <t>Huawei</t>
        </is>
      </c>
      <c r="F620" t="n">
        <v>7.06311</v>
      </c>
      <c r="G620" t="n">
        <v>79.9812</v>
      </c>
      <c r="H620" t="inlineStr">
        <is>
          <t>GMYGD1-M-L85-A1</t>
        </is>
      </c>
      <c r="J620" s="91">
        <f>LEFT(RIGHT(H620,2),1)</f>
        <v/>
      </c>
      <c r="K620" s="91">
        <f>_xlfn.XLOOKUP(J620,#REF!,#REF!)</f>
        <v/>
      </c>
      <c r="L620" s="91" t="inlineStr">
        <is>
          <t>4G</t>
        </is>
      </c>
      <c r="M620" s="91" t="n">
        <v>850</v>
      </c>
      <c r="N620" s="91" t="inlineStr">
        <is>
          <t>AQU4518R9v06</t>
        </is>
      </c>
      <c r="O620" s="92" t="n">
        <v>70</v>
      </c>
      <c r="P620" t="n">
        <v>120</v>
      </c>
      <c r="R620" s="92" t="n">
        <v>0</v>
      </c>
      <c r="Y620" t="inlineStr">
        <is>
          <t>2T2R</t>
        </is>
      </c>
      <c r="AB620" s="91" t="inlineStr">
        <is>
          <t>R9254E S8500</t>
        </is>
      </c>
      <c r="AC620" s="91" t="inlineStr">
        <is>
          <t>R9264H M901821*3+R9254E S8500*2</t>
        </is>
      </c>
      <c r="AD620" s="91">
        <f>_xlfn.XLOOKUP(AE620,[4]透视表!$G:$G,[4]透视表!$D:$D)</f>
        <v/>
      </c>
      <c r="AE620" s="91">
        <f>A620&amp;K620</f>
        <v/>
      </c>
      <c r="AL620" s="91" t="inlineStr">
        <is>
          <t>高优先级</t>
        </is>
      </c>
    </row>
    <row r="621" hidden="1" ht="15" customHeight="1" s="99">
      <c r="A621" t="inlineStr">
        <is>
          <t>GMYGD1</t>
        </is>
      </c>
      <c r="B621" t="inlineStr">
        <is>
          <t>GMYGD1_GUL00_Yagoda_IP_Kd</t>
        </is>
      </c>
      <c r="C621" s="89" t="inlineStr">
        <is>
          <t>Huawei</t>
        </is>
      </c>
      <c r="F621" t="n">
        <v>7.06311</v>
      </c>
      <c r="G621" t="n">
        <v>79.9812</v>
      </c>
      <c r="H621" t="inlineStr">
        <is>
          <t>GMYGD1G</t>
        </is>
      </c>
      <c r="J621" s="91">
        <f>RIGHT(H621,1)</f>
        <v/>
      </c>
      <c r="K621" s="91">
        <f>_xlfn.XLOOKUP(J621,#REF!,#REF!)</f>
        <v/>
      </c>
      <c r="L621" s="91" t="inlineStr">
        <is>
          <t>4G</t>
        </is>
      </c>
      <c r="M621" s="91" t="n">
        <v>1800</v>
      </c>
      <c r="N621" s="91" t="inlineStr">
        <is>
          <t>AQU4518R9v06</t>
        </is>
      </c>
      <c r="O621" s="92" t="n">
        <v>70</v>
      </c>
      <c r="P621" t="n">
        <v>120</v>
      </c>
      <c r="R621" s="92" t="n">
        <v>0</v>
      </c>
      <c r="Y621" t="inlineStr">
        <is>
          <t>4T4R</t>
        </is>
      </c>
      <c r="AB621" s="91" t="inlineStr">
        <is>
          <t>R9264H M901821</t>
        </is>
      </c>
      <c r="AC621" s="91" t="inlineStr">
        <is>
          <t>R9264H M901821*3+R9254E S8500*2</t>
        </is>
      </c>
      <c r="AD621" s="91">
        <f>_xlfn.XLOOKUP(AE621,[4]透视表!$G:$G,[4]透视表!$E:$E)</f>
        <v/>
      </c>
      <c r="AE621" s="91">
        <f>A621&amp;K621</f>
        <v/>
      </c>
      <c r="AL621" s="91" t="inlineStr">
        <is>
          <t>高优先级</t>
        </is>
      </c>
    </row>
    <row r="622" hidden="1" ht="15" customHeight="1" s="99">
      <c r="A622" t="inlineStr">
        <is>
          <t>GMYGD1</t>
        </is>
      </c>
      <c r="C622" s="89" t="inlineStr">
        <is>
          <t>Huawei</t>
        </is>
      </c>
      <c r="F622" t="n">
        <v>7.06311</v>
      </c>
      <c r="G622" t="n">
        <v>79.9812</v>
      </c>
      <c r="H622" t="inlineStr">
        <is>
          <t>GMYGD1B</t>
        </is>
      </c>
      <c r="J622" s="91">
        <f>RIGHT(H622,1)</f>
        <v/>
      </c>
      <c r="K622" t="inlineStr">
        <is>
          <t>S2</t>
        </is>
      </c>
      <c r="L622" s="91" t="inlineStr">
        <is>
          <t>2G</t>
        </is>
      </c>
      <c r="M622" t="n">
        <v>900</v>
      </c>
      <c r="N622" s="91" t="inlineStr">
        <is>
          <t>AQU4518R9v06</t>
        </is>
      </c>
      <c r="P622" t="n">
        <v>250</v>
      </c>
      <c r="R622" s="92" t="n">
        <v>2</v>
      </c>
      <c r="AB622" s="91" t="inlineStr">
        <is>
          <t>R9264H M901821</t>
        </is>
      </c>
      <c r="AC622" s="91" t="inlineStr">
        <is>
          <t>R9264H M901821*3+R9254E S8500*2</t>
        </is>
      </c>
      <c r="AD622" s="91">
        <f>_xlfn.XLOOKUP(AE622,[4]透视表!$G:$G,[4]透视表!$D:$D)</f>
        <v/>
      </c>
      <c r="AE622" s="91">
        <f>A622&amp;K622</f>
        <v/>
      </c>
      <c r="AL622" s="91" t="inlineStr">
        <is>
          <t>高优先级</t>
        </is>
      </c>
    </row>
    <row r="623" hidden="1" ht="15" customHeight="1" s="99">
      <c r="A623" t="inlineStr">
        <is>
          <t>GMYGD1</t>
        </is>
      </c>
      <c r="C623" s="89" t="inlineStr">
        <is>
          <t>Huawei</t>
        </is>
      </c>
      <c r="F623" t="n">
        <v>7.06311</v>
      </c>
      <c r="G623" t="n">
        <v>79.9812</v>
      </c>
      <c r="H623" t="inlineStr">
        <is>
          <t>GMYGD1Q</t>
        </is>
      </c>
      <c r="J623" s="91">
        <f>RIGHT(H623,1)</f>
        <v/>
      </c>
      <c r="K623" t="inlineStr">
        <is>
          <t>S2</t>
        </is>
      </c>
      <c r="L623" s="91" t="inlineStr">
        <is>
          <t>2G</t>
        </is>
      </c>
      <c r="M623" t="n">
        <v>1800</v>
      </c>
      <c r="N623" s="91" t="inlineStr">
        <is>
          <t>AQU4518R9v06</t>
        </is>
      </c>
      <c r="P623" t="n">
        <v>250</v>
      </c>
      <c r="R623" s="92" t="n">
        <v>2</v>
      </c>
      <c r="AB623" s="91" t="inlineStr">
        <is>
          <t>R9264H M901821</t>
        </is>
      </c>
      <c r="AC623" s="91" t="inlineStr">
        <is>
          <t>R9264H M901821*3+R9254E S8500*2</t>
        </is>
      </c>
      <c r="AD623" s="91">
        <f>_xlfn.XLOOKUP(AE623,[4]透视表!$G:$G,[4]透视表!$E:$E)</f>
        <v/>
      </c>
      <c r="AE623" s="91">
        <f>A623&amp;K623</f>
        <v/>
      </c>
      <c r="AL623" s="91" t="inlineStr">
        <is>
          <t>高优先级</t>
        </is>
      </c>
    </row>
    <row r="624" hidden="1" ht="15" customHeight="1" s="99">
      <c r="A624" t="inlineStr">
        <is>
          <t>GMYGD1</t>
        </is>
      </c>
      <c r="B624" t="inlineStr">
        <is>
          <t>GMYGD1_GUL00_Yagoda_IP_Kd</t>
        </is>
      </c>
      <c r="C624" s="89" t="inlineStr">
        <is>
          <t>Huawei</t>
        </is>
      </c>
      <c r="F624" t="n">
        <v>7.06311</v>
      </c>
      <c r="G624" t="n">
        <v>79.9812</v>
      </c>
      <c r="H624" t="inlineStr">
        <is>
          <t>GMYGD1-M-L85-B1</t>
        </is>
      </c>
      <c r="J624" s="91">
        <f>LEFT(RIGHT(H624,2),1)</f>
        <v/>
      </c>
      <c r="K624" s="91">
        <f>_xlfn.XLOOKUP(J624,#REF!,#REF!)</f>
        <v/>
      </c>
      <c r="L624" s="91" t="inlineStr">
        <is>
          <t>4G</t>
        </is>
      </c>
      <c r="M624" s="91" t="n">
        <v>850</v>
      </c>
      <c r="N624" s="91" t="inlineStr">
        <is>
          <t>AQU4518R9v06</t>
        </is>
      </c>
      <c r="O624" s="92" t="n">
        <v>70</v>
      </c>
      <c r="P624" t="n">
        <v>250</v>
      </c>
      <c r="R624" s="92" t="n">
        <v>0</v>
      </c>
      <c r="Y624" t="inlineStr">
        <is>
          <t>2T2R</t>
        </is>
      </c>
      <c r="AB624" s="91" t="inlineStr">
        <is>
          <t>R9254E S8500</t>
        </is>
      </c>
      <c r="AC624" s="91" t="inlineStr">
        <is>
          <t>R9264H M901821*3+R9254E S8500*2</t>
        </is>
      </c>
      <c r="AD624" s="91">
        <f>_xlfn.XLOOKUP(AE624,[4]透视表!$G:$G,[4]透视表!$D:$D)</f>
        <v/>
      </c>
      <c r="AE624" s="91">
        <f>A624&amp;K624</f>
        <v/>
      </c>
      <c r="AL624" s="91" t="inlineStr">
        <is>
          <t>高优先级</t>
        </is>
      </c>
    </row>
    <row r="625" hidden="1" ht="15" customHeight="1" s="99">
      <c r="A625" t="inlineStr">
        <is>
          <t>GMYGD1</t>
        </is>
      </c>
      <c r="B625" t="inlineStr">
        <is>
          <t>GMYGD1_GUL00_Yagoda_IP_Kd</t>
        </is>
      </c>
      <c r="C625" s="89" t="inlineStr">
        <is>
          <t>Huawei</t>
        </is>
      </c>
      <c r="F625" t="n">
        <v>7.06311</v>
      </c>
      <c r="G625" t="n">
        <v>79.9812</v>
      </c>
      <c r="H625" t="inlineStr">
        <is>
          <t>GMYGD1H</t>
        </is>
      </c>
      <c r="J625" s="91">
        <f>RIGHT(H625,1)</f>
        <v/>
      </c>
      <c r="K625" s="91">
        <f>_xlfn.XLOOKUP(J625,#REF!,#REF!)</f>
        <v/>
      </c>
      <c r="L625" s="91" t="inlineStr">
        <is>
          <t>4G</t>
        </is>
      </c>
      <c r="M625" s="91" t="n">
        <v>1800</v>
      </c>
      <c r="N625" s="91" t="inlineStr">
        <is>
          <t>AQU4518R9v06</t>
        </is>
      </c>
      <c r="O625" s="92" t="n">
        <v>70</v>
      </c>
      <c r="P625" t="n">
        <v>250</v>
      </c>
      <c r="R625" s="92" t="n">
        <v>0</v>
      </c>
      <c r="Y625" t="inlineStr">
        <is>
          <t>4T4R</t>
        </is>
      </c>
      <c r="AB625" s="91" t="inlineStr">
        <is>
          <t>R9264H M901821</t>
        </is>
      </c>
      <c r="AC625" s="91" t="inlineStr">
        <is>
          <t>R9264H M901821*3+R9254E S8500*2</t>
        </is>
      </c>
      <c r="AD625" s="91">
        <f>_xlfn.XLOOKUP(AE625,[4]透视表!$G:$G,[4]透视表!$E:$E)</f>
        <v/>
      </c>
      <c r="AE625" s="91">
        <f>A625&amp;K625</f>
        <v/>
      </c>
      <c r="AL625" s="91" t="inlineStr">
        <is>
          <t>高优先级</t>
        </is>
      </c>
    </row>
    <row r="626" hidden="1" ht="15" customHeight="1" s="99">
      <c r="A626" t="inlineStr">
        <is>
          <t>GMYGD1</t>
        </is>
      </c>
      <c r="C626" s="89" t="inlineStr">
        <is>
          <t>Huawei</t>
        </is>
      </c>
      <c r="F626" t="n">
        <v>7.06311</v>
      </c>
      <c r="G626" t="n">
        <v>79.9812</v>
      </c>
      <c r="H626" t="inlineStr">
        <is>
          <t>GMYGD1C</t>
        </is>
      </c>
      <c r="J626" s="91">
        <f>RIGHT(H626,1)</f>
        <v/>
      </c>
      <c r="K626" t="inlineStr">
        <is>
          <t>S3</t>
        </is>
      </c>
      <c r="L626" s="91" t="inlineStr">
        <is>
          <t>2G</t>
        </is>
      </c>
      <c r="M626" t="n">
        <v>900</v>
      </c>
      <c r="N626" s="91" t="inlineStr">
        <is>
          <t>AQU4518R9v06</t>
        </is>
      </c>
      <c r="P626" t="n">
        <v>320</v>
      </c>
      <c r="R626" s="92" t="n">
        <v>2</v>
      </c>
      <c r="AB626" s="91" t="inlineStr">
        <is>
          <t>R9264H M901821</t>
        </is>
      </c>
      <c r="AC626" s="91" t="inlineStr">
        <is>
          <t>R9264H M901821*3+R9254E S8500*2</t>
        </is>
      </c>
      <c r="AD626" s="91">
        <f>_xlfn.XLOOKUP(AE626,[4]透视表!$G:$G,[4]透视表!$D:$D)</f>
        <v/>
      </c>
      <c r="AE626" s="91">
        <f>A626&amp;K626</f>
        <v/>
      </c>
      <c r="AL626" s="91" t="inlineStr">
        <is>
          <t>高优先级</t>
        </is>
      </c>
    </row>
    <row r="627" hidden="1" ht="15" customHeight="1" s="99">
      <c r="A627" t="inlineStr">
        <is>
          <t>GMYGD1</t>
        </is>
      </c>
      <c r="C627" s="89" t="inlineStr">
        <is>
          <t>Huawei</t>
        </is>
      </c>
      <c r="F627" t="n">
        <v>7.06311</v>
      </c>
      <c r="G627" t="n">
        <v>79.9812</v>
      </c>
      <c r="H627" t="inlineStr">
        <is>
          <t>GMYGD1R</t>
        </is>
      </c>
      <c r="J627" s="91">
        <f>RIGHT(H627,1)</f>
        <v/>
      </c>
      <c r="K627" t="inlineStr">
        <is>
          <t>S3</t>
        </is>
      </c>
      <c r="L627" s="91" t="inlineStr">
        <is>
          <t>2G</t>
        </is>
      </c>
      <c r="M627" t="n">
        <v>1800</v>
      </c>
      <c r="N627" s="91" t="inlineStr">
        <is>
          <t>AQU4518R9v06</t>
        </is>
      </c>
      <c r="P627" t="n">
        <v>320</v>
      </c>
      <c r="R627" s="92" t="n">
        <v>2</v>
      </c>
      <c r="AB627" s="91" t="inlineStr">
        <is>
          <t>R9264H M901821</t>
        </is>
      </c>
      <c r="AC627" s="91" t="inlineStr">
        <is>
          <t>R9264H M901821*3+R9254E S8500*2</t>
        </is>
      </c>
      <c r="AD627" s="91">
        <f>_xlfn.XLOOKUP(AE627,[4]透视表!$G:$G,[4]透视表!$E:$E)</f>
        <v/>
      </c>
      <c r="AE627" s="91">
        <f>A627&amp;K627</f>
        <v/>
      </c>
      <c r="AL627" s="91" t="inlineStr">
        <is>
          <t>高优先级</t>
        </is>
      </c>
    </row>
    <row r="628" hidden="1" ht="15" customHeight="1" s="99">
      <c r="A628" t="inlineStr">
        <is>
          <t>GMYGD1</t>
        </is>
      </c>
      <c r="B628" t="inlineStr">
        <is>
          <t>GMYGD1_GUL00_Yagoda_IP_Kd</t>
        </is>
      </c>
      <c r="C628" s="89" t="inlineStr">
        <is>
          <t>Huawei</t>
        </is>
      </c>
      <c r="F628" t="n">
        <v>7.06311</v>
      </c>
      <c r="G628" t="n">
        <v>79.9812</v>
      </c>
      <c r="H628" t="inlineStr">
        <is>
          <t>GMYGD1-M-L85-C1</t>
        </is>
      </c>
      <c r="J628" s="91">
        <f>LEFT(RIGHT(H628,2),1)</f>
        <v/>
      </c>
      <c r="K628" s="91">
        <f>_xlfn.XLOOKUP(J628,#REF!,#REF!)</f>
        <v/>
      </c>
      <c r="L628" s="91" t="inlineStr">
        <is>
          <t>4G</t>
        </is>
      </c>
      <c r="M628" s="91" t="n">
        <v>850</v>
      </c>
      <c r="N628" s="91" t="inlineStr">
        <is>
          <t>AQU4518R9v06</t>
        </is>
      </c>
      <c r="O628" s="92" t="n">
        <v>70</v>
      </c>
      <c r="P628" t="n">
        <v>320</v>
      </c>
      <c r="R628" s="92" t="n">
        <v>0</v>
      </c>
      <c r="Y628" t="inlineStr">
        <is>
          <t>2T2R</t>
        </is>
      </c>
      <c r="AB628" s="91" t="inlineStr">
        <is>
          <t>R9254E S8500</t>
        </is>
      </c>
      <c r="AC628" s="91" t="inlineStr">
        <is>
          <t>R9264H M901821*3+R9254E S8500*2</t>
        </is>
      </c>
      <c r="AD628" s="91">
        <f>_xlfn.XLOOKUP(AE628,[4]透视表!$G:$G,[4]透视表!$D:$D)</f>
        <v/>
      </c>
      <c r="AE628" s="91">
        <f>A628&amp;K628</f>
        <v/>
      </c>
      <c r="AL628" s="91" t="inlineStr">
        <is>
          <t>高优先级</t>
        </is>
      </c>
    </row>
    <row r="629" hidden="1" ht="15" customHeight="1" s="99">
      <c r="A629" t="inlineStr">
        <is>
          <t>GMYGD1</t>
        </is>
      </c>
      <c r="B629" t="inlineStr">
        <is>
          <t>GMYGD1_GUL00_Yagoda_IP_Kd</t>
        </is>
      </c>
      <c r="C629" s="89" t="inlineStr">
        <is>
          <t>Huawei</t>
        </is>
      </c>
      <c r="F629" t="n">
        <v>7.06311</v>
      </c>
      <c r="G629" t="n">
        <v>79.9812</v>
      </c>
      <c r="H629" t="inlineStr">
        <is>
          <t>GMYGD1I</t>
        </is>
      </c>
      <c r="J629" s="91">
        <f>RIGHT(H629,1)</f>
        <v/>
      </c>
      <c r="K629" s="91">
        <f>_xlfn.XLOOKUP(J629,#REF!,#REF!)</f>
        <v/>
      </c>
      <c r="L629" s="91" t="inlineStr">
        <is>
          <t>4G</t>
        </is>
      </c>
      <c r="M629" s="91" t="n">
        <v>1800</v>
      </c>
      <c r="N629" s="91" t="inlineStr">
        <is>
          <t>AQU4518R9v06</t>
        </is>
      </c>
      <c r="O629" s="92" t="n">
        <v>70</v>
      </c>
      <c r="P629" t="n">
        <v>320</v>
      </c>
      <c r="R629" s="92" t="n">
        <v>0</v>
      </c>
      <c r="Y629" t="inlineStr">
        <is>
          <t>4T4R</t>
        </is>
      </c>
      <c r="AB629" s="91" t="inlineStr">
        <is>
          <t>R9264H M901821</t>
        </is>
      </c>
      <c r="AC629" s="91" t="inlineStr">
        <is>
          <t>R9264H M901821*3+R9254E S8500*2</t>
        </is>
      </c>
      <c r="AD629" s="91">
        <f>_xlfn.XLOOKUP(AE629,[4]透视表!$G:$G,[4]透视表!$E:$E)</f>
        <v/>
      </c>
      <c r="AE629" s="91">
        <f>A629&amp;K629</f>
        <v/>
      </c>
      <c r="AL629" s="91" t="inlineStr">
        <is>
          <t>高优先级</t>
        </is>
      </c>
    </row>
    <row r="630" hidden="1" ht="15" customHeight="1" s="99">
      <c r="A630" t="inlineStr">
        <is>
          <t>GMYGD2</t>
        </is>
      </c>
      <c r="C630" s="89" t="inlineStr">
        <is>
          <t>Huawei</t>
        </is>
      </c>
      <c r="F630" t="n">
        <v>7.0568</v>
      </c>
      <c r="G630" t="n">
        <v>79.9923</v>
      </c>
      <c r="H630" t="inlineStr">
        <is>
          <t>GMYGD2A</t>
        </is>
      </c>
      <c r="J630" s="91">
        <f>RIGHT(H630,1)</f>
        <v/>
      </c>
      <c r="K630" t="inlineStr">
        <is>
          <t>S1</t>
        </is>
      </c>
      <c r="L630" s="91" t="inlineStr">
        <is>
          <t>2G</t>
        </is>
      </c>
      <c r="M630" t="n">
        <v>900</v>
      </c>
      <c r="N630" s="91" t="e">
        <v>#N/A</v>
      </c>
      <c r="P630" t="n">
        <v>95</v>
      </c>
      <c r="R630" s="92" t="n">
        <v>2</v>
      </c>
      <c r="AB630" s="91" t="inlineStr">
        <is>
          <t>R9264H M901821</t>
        </is>
      </c>
      <c r="AC630" s="91" t="inlineStr">
        <is>
          <t>R9264H M901821*3+R9254E S8500*2</t>
        </is>
      </c>
      <c r="AD630" s="91">
        <f>_xlfn.XLOOKUP(AE630,[4]透视表!$G:$G,[4]透视表!$D:$D)</f>
        <v/>
      </c>
      <c r="AE630" s="91">
        <f>A630&amp;K630</f>
        <v/>
      </c>
      <c r="AL630" s="91" t="inlineStr">
        <is>
          <t>高优先级</t>
        </is>
      </c>
    </row>
    <row r="631" hidden="1" ht="15" customHeight="1" s="99">
      <c r="A631" t="inlineStr">
        <is>
          <t>GMYGD2</t>
        </is>
      </c>
      <c r="C631" s="89" t="inlineStr">
        <is>
          <t>Huawei</t>
        </is>
      </c>
      <c r="F631" t="n">
        <v>7.0568</v>
      </c>
      <c r="G631" t="n">
        <v>79.9923</v>
      </c>
      <c r="H631" t="inlineStr">
        <is>
          <t>GMYGD2P</t>
        </is>
      </c>
      <c r="J631" s="91">
        <f>RIGHT(H631,1)</f>
        <v/>
      </c>
      <c r="K631" t="inlineStr">
        <is>
          <t>S1</t>
        </is>
      </c>
      <c r="L631" s="91" t="inlineStr">
        <is>
          <t>2G</t>
        </is>
      </c>
      <c r="M631" t="n">
        <v>1800</v>
      </c>
      <c r="N631" s="91" t="e">
        <v>#N/A</v>
      </c>
      <c r="P631" t="n">
        <v>95</v>
      </c>
      <c r="R631" s="92" t="n">
        <v>2</v>
      </c>
      <c r="AB631" s="91" t="inlineStr">
        <is>
          <t>R9264H M901821</t>
        </is>
      </c>
      <c r="AC631" s="91" t="inlineStr">
        <is>
          <t>R9264H M901821*3+R9254E S8500*2</t>
        </is>
      </c>
      <c r="AD631" s="91">
        <f>_xlfn.XLOOKUP(AE631,[4]透视表!$G:$G,[4]透视表!$E:$E)</f>
        <v/>
      </c>
      <c r="AE631" s="91">
        <f>A631&amp;K631</f>
        <v/>
      </c>
      <c r="AL631" s="91" t="inlineStr">
        <is>
          <t>高优先级</t>
        </is>
      </c>
    </row>
    <row r="632" hidden="1" ht="15" customHeight="1" s="99">
      <c r="A632" t="inlineStr">
        <is>
          <t>GMYGD2</t>
        </is>
      </c>
      <c r="B632" t="inlineStr">
        <is>
          <t>GMYGD2_0UL00_Yagoda2_IP_Kd</t>
        </is>
      </c>
      <c r="C632" s="89" t="inlineStr">
        <is>
          <t>Huawei</t>
        </is>
      </c>
      <c r="F632" t="n">
        <v>7.0568</v>
      </c>
      <c r="G632" t="n">
        <v>79.9923</v>
      </c>
      <c r="H632" t="inlineStr">
        <is>
          <t>GMYGD2-M-L85-A1</t>
        </is>
      </c>
      <c r="J632" s="91">
        <f>LEFT(RIGHT(H632,2),1)</f>
        <v/>
      </c>
      <c r="K632" s="91">
        <f>_xlfn.XLOOKUP(J632,#REF!,#REF!)</f>
        <v/>
      </c>
      <c r="L632" s="91" t="inlineStr">
        <is>
          <t>4G</t>
        </is>
      </c>
      <c r="M632" s="91" t="n">
        <v>850</v>
      </c>
      <c r="N632" s="91" t="e">
        <v>#N/A</v>
      </c>
      <c r="O632" s="92" t="n">
        <v>40</v>
      </c>
      <c r="P632" t="n">
        <v>95</v>
      </c>
      <c r="R632" s="92" t="n">
        <v>0</v>
      </c>
      <c r="Y632" t="inlineStr">
        <is>
          <t>2T2R</t>
        </is>
      </c>
      <c r="AB632" s="91" t="inlineStr">
        <is>
          <t>R9254E S8500</t>
        </is>
      </c>
      <c r="AC632" s="91" t="inlineStr">
        <is>
          <t>R9264H M901821*3+R9254E S8500*2</t>
        </is>
      </c>
      <c r="AD632" s="91">
        <f>_xlfn.XLOOKUP(AE632,[4]透视表!$G:$G,[4]透视表!$D:$D)</f>
        <v/>
      </c>
      <c r="AE632" s="91">
        <f>A632&amp;K632</f>
        <v/>
      </c>
      <c r="AL632" s="91" t="inlineStr">
        <is>
          <t>高优先级</t>
        </is>
      </c>
    </row>
    <row r="633" hidden="1" ht="15" customHeight="1" s="99">
      <c r="A633" t="inlineStr">
        <is>
          <t>GMYGD2</t>
        </is>
      </c>
      <c r="B633" t="inlineStr">
        <is>
          <t>GMYGD2_0UL00_Yagoda2_IP_Kd</t>
        </is>
      </c>
      <c r="C633" s="89" t="inlineStr">
        <is>
          <t>Huawei</t>
        </is>
      </c>
      <c r="F633" t="n">
        <v>7.0568</v>
      </c>
      <c r="G633" t="n">
        <v>79.9923</v>
      </c>
      <c r="H633" t="inlineStr">
        <is>
          <t>GMYGD2G</t>
        </is>
      </c>
      <c r="J633" s="91">
        <f>RIGHT(H633,1)</f>
        <v/>
      </c>
      <c r="K633" s="91">
        <f>_xlfn.XLOOKUP(J633,#REF!,#REF!)</f>
        <v/>
      </c>
      <c r="L633" s="91" t="inlineStr">
        <is>
          <t>4G</t>
        </is>
      </c>
      <c r="M633" s="91" t="n">
        <v>1800</v>
      </c>
      <c r="N633" s="91" t="e">
        <v>#N/A</v>
      </c>
      <c r="O633" s="92" t="n">
        <v>40</v>
      </c>
      <c r="P633" t="n">
        <v>95</v>
      </c>
      <c r="R633" s="92" t="n">
        <v>0</v>
      </c>
      <c r="Y633" t="inlineStr">
        <is>
          <t>2T2R</t>
        </is>
      </c>
      <c r="AB633" s="91" t="inlineStr">
        <is>
          <t>R9264H M901821</t>
        </is>
      </c>
      <c r="AC633" s="91" t="inlineStr">
        <is>
          <t>R9264H M901821*3+R9254E S8500*2</t>
        </is>
      </c>
      <c r="AD633" s="91">
        <f>_xlfn.XLOOKUP(AE633,[4]透视表!$G:$G,[4]透视表!$E:$E)</f>
        <v/>
      </c>
      <c r="AE633" s="91">
        <f>A633&amp;K633</f>
        <v/>
      </c>
      <c r="AL633" s="91" t="inlineStr">
        <is>
          <t>高优先级</t>
        </is>
      </c>
    </row>
    <row r="634" hidden="1" ht="15" customHeight="1" s="99">
      <c r="A634" t="inlineStr">
        <is>
          <t>GMYGD2</t>
        </is>
      </c>
      <c r="C634" s="89" t="inlineStr">
        <is>
          <t>Huawei</t>
        </is>
      </c>
      <c r="F634" t="n">
        <v>7.0568</v>
      </c>
      <c r="G634" t="n">
        <v>79.9923</v>
      </c>
      <c r="H634" t="inlineStr">
        <is>
          <t>GMYGD2B</t>
        </is>
      </c>
      <c r="J634" s="91">
        <f>RIGHT(H634,1)</f>
        <v/>
      </c>
      <c r="K634" t="inlineStr">
        <is>
          <t>S2</t>
        </is>
      </c>
      <c r="L634" s="91" t="inlineStr">
        <is>
          <t>2G</t>
        </is>
      </c>
      <c r="M634" t="n">
        <v>900</v>
      </c>
      <c r="N634" s="91" t="e">
        <v>#N/A</v>
      </c>
      <c r="P634" t="n">
        <v>180</v>
      </c>
      <c r="R634" s="92" t="n">
        <v>2</v>
      </c>
      <c r="AB634" s="91" t="inlineStr">
        <is>
          <t>R9264H M901821</t>
        </is>
      </c>
      <c r="AC634" s="91" t="inlineStr">
        <is>
          <t>R9264H M901821*3+R9254E S8500*2</t>
        </is>
      </c>
      <c r="AD634" s="91">
        <f>_xlfn.XLOOKUP(AE634,[4]透视表!$G:$G,[4]透视表!$D:$D)</f>
        <v/>
      </c>
      <c r="AE634" s="91">
        <f>A634&amp;K634</f>
        <v/>
      </c>
      <c r="AL634" s="91" t="inlineStr">
        <is>
          <t>高优先级</t>
        </is>
      </c>
    </row>
    <row r="635" hidden="1" ht="15" customHeight="1" s="99">
      <c r="A635" t="inlineStr">
        <is>
          <t>GMYGD2</t>
        </is>
      </c>
      <c r="C635" s="89" t="inlineStr">
        <is>
          <t>Huawei</t>
        </is>
      </c>
      <c r="F635" t="n">
        <v>7.0568</v>
      </c>
      <c r="G635" t="n">
        <v>79.9923</v>
      </c>
      <c r="H635" t="inlineStr">
        <is>
          <t>GMYGD2Q</t>
        </is>
      </c>
      <c r="J635" s="91">
        <f>RIGHT(H635,1)</f>
        <v/>
      </c>
      <c r="K635" t="inlineStr">
        <is>
          <t>S2</t>
        </is>
      </c>
      <c r="L635" s="91" t="inlineStr">
        <is>
          <t>2G</t>
        </is>
      </c>
      <c r="M635" t="n">
        <v>1800</v>
      </c>
      <c r="N635" s="91" t="e">
        <v>#N/A</v>
      </c>
      <c r="P635" t="n">
        <v>180</v>
      </c>
      <c r="R635" s="92" t="n">
        <v>2</v>
      </c>
      <c r="AB635" s="91" t="inlineStr">
        <is>
          <t>R9264H M901821</t>
        </is>
      </c>
      <c r="AC635" s="91" t="inlineStr">
        <is>
          <t>R9264H M901821*3+R9254E S8500*2</t>
        </is>
      </c>
      <c r="AD635" s="91">
        <f>_xlfn.XLOOKUP(AE635,[4]透视表!$G:$G,[4]透视表!$E:$E)</f>
        <v/>
      </c>
      <c r="AE635" s="91">
        <f>A635&amp;K635</f>
        <v/>
      </c>
      <c r="AL635" s="91" t="inlineStr">
        <is>
          <t>高优先级</t>
        </is>
      </c>
    </row>
    <row r="636" hidden="1" ht="15" customHeight="1" s="99">
      <c r="A636" t="inlineStr">
        <is>
          <t>GMYGD2</t>
        </is>
      </c>
      <c r="B636" t="inlineStr">
        <is>
          <t>GMYGD2_0UL00_Yagoda2_IP_Kd</t>
        </is>
      </c>
      <c r="C636" s="89" t="inlineStr">
        <is>
          <t>Huawei</t>
        </is>
      </c>
      <c r="F636" t="n">
        <v>7.0568</v>
      </c>
      <c r="G636" t="n">
        <v>79.9923</v>
      </c>
      <c r="H636" t="inlineStr">
        <is>
          <t>GMYGD2-M-L85-B1</t>
        </is>
      </c>
      <c r="J636" s="91">
        <f>LEFT(RIGHT(H636,2),1)</f>
        <v/>
      </c>
      <c r="K636" s="91">
        <f>_xlfn.XLOOKUP(J636,#REF!,#REF!)</f>
        <v/>
      </c>
      <c r="L636" s="91" t="inlineStr">
        <is>
          <t>4G</t>
        </is>
      </c>
      <c r="M636" s="91" t="n">
        <v>850</v>
      </c>
      <c r="N636" s="91" t="e">
        <v>#N/A</v>
      </c>
      <c r="O636" s="92" t="n">
        <v>40</v>
      </c>
      <c r="P636" t="n">
        <v>180</v>
      </c>
      <c r="R636" s="92" t="n">
        <v>0</v>
      </c>
      <c r="Y636" t="inlineStr">
        <is>
          <t>2T2R</t>
        </is>
      </c>
      <c r="AB636" s="91" t="inlineStr">
        <is>
          <t>R9254E S8500</t>
        </is>
      </c>
      <c r="AC636" s="91" t="inlineStr">
        <is>
          <t>R9264H M901821*3+R9254E S8500*2</t>
        </is>
      </c>
      <c r="AD636" s="91">
        <f>_xlfn.XLOOKUP(AE636,[4]透视表!$G:$G,[4]透视表!$D:$D)</f>
        <v/>
      </c>
      <c r="AE636" s="91">
        <f>A636&amp;K636</f>
        <v/>
      </c>
      <c r="AL636" s="91" t="inlineStr">
        <is>
          <t>高优先级</t>
        </is>
      </c>
    </row>
    <row r="637" hidden="1" ht="15" customHeight="1" s="99">
      <c r="A637" t="inlineStr">
        <is>
          <t>GMYGD2</t>
        </is>
      </c>
      <c r="B637" t="inlineStr">
        <is>
          <t>GMYGD2_0UL00_Yagoda2_IP_Kd</t>
        </is>
      </c>
      <c r="C637" s="89" t="inlineStr">
        <is>
          <t>Huawei</t>
        </is>
      </c>
      <c r="F637" t="n">
        <v>7.0568</v>
      </c>
      <c r="G637" t="n">
        <v>79.9923</v>
      </c>
      <c r="H637" t="inlineStr">
        <is>
          <t>GMYGD2H</t>
        </is>
      </c>
      <c r="J637" s="91">
        <f>RIGHT(H637,1)</f>
        <v/>
      </c>
      <c r="K637" s="91">
        <f>_xlfn.XLOOKUP(J637,#REF!,#REF!)</f>
        <v/>
      </c>
      <c r="L637" s="91" t="inlineStr">
        <is>
          <t>4G</t>
        </is>
      </c>
      <c r="M637" s="91" t="n">
        <v>1800</v>
      </c>
      <c r="N637" s="91" t="e">
        <v>#N/A</v>
      </c>
      <c r="O637" s="92" t="n">
        <v>40</v>
      </c>
      <c r="P637" t="n">
        <v>180</v>
      </c>
      <c r="R637" s="92" t="n">
        <v>0</v>
      </c>
      <c r="Y637" t="inlineStr">
        <is>
          <t>2T2R</t>
        </is>
      </c>
      <c r="AB637" s="91" t="inlineStr">
        <is>
          <t>R9264H M901821</t>
        </is>
      </c>
      <c r="AC637" s="91" t="inlineStr">
        <is>
          <t>R9264H M901821*3+R9254E S8500*2</t>
        </is>
      </c>
      <c r="AD637" s="91">
        <f>_xlfn.XLOOKUP(AE637,[4]透视表!$G:$G,[4]透视表!$E:$E)</f>
        <v/>
      </c>
      <c r="AE637" s="91">
        <f>A637&amp;K637</f>
        <v/>
      </c>
      <c r="AL637" s="91" t="inlineStr">
        <is>
          <t>高优先级</t>
        </is>
      </c>
    </row>
    <row r="638" hidden="1" ht="15" customHeight="1" s="99">
      <c r="A638" t="inlineStr">
        <is>
          <t>GMYGD2</t>
        </is>
      </c>
      <c r="C638" s="89" t="inlineStr">
        <is>
          <t>Huawei</t>
        </is>
      </c>
      <c r="F638" t="n">
        <v>7.0568</v>
      </c>
      <c r="G638" t="n">
        <v>79.9923</v>
      </c>
      <c r="H638" t="inlineStr">
        <is>
          <t>GMYGD2C</t>
        </is>
      </c>
      <c r="J638" s="91">
        <f>RIGHT(H638,1)</f>
        <v/>
      </c>
      <c r="K638" t="inlineStr">
        <is>
          <t>S3</t>
        </is>
      </c>
      <c r="L638" s="91" t="inlineStr">
        <is>
          <t>2G</t>
        </is>
      </c>
      <c r="M638" t="n">
        <v>900</v>
      </c>
      <c r="N638" s="91" t="e">
        <v>#N/A</v>
      </c>
      <c r="P638" t="n">
        <v>340</v>
      </c>
      <c r="R638" s="92" t="n">
        <v>2</v>
      </c>
      <c r="AB638" s="91" t="inlineStr">
        <is>
          <t>R9264H M901821</t>
        </is>
      </c>
      <c r="AC638" s="91" t="inlineStr">
        <is>
          <t>R9264H M901821*3+R9254E S8500*2</t>
        </is>
      </c>
      <c r="AD638" s="91">
        <f>_xlfn.XLOOKUP(AE638,[4]透视表!$G:$G,[4]透视表!$D:$D)</f>
        <v/>
      </c>
      <c r="AE638" s="91">
        <f>A638&amp;K638</f>
        <v/>
      </c>
      <c r="AL638" s="91" t="inlineStr">
        <is>
          <t>高优先级</t>
        </is>
      </c>
    </row>
    <row r="639" hidden="1" ht="15" customHeight="1" s="99">
      <c r="A639" t="inlineStr">
        <is>
          <t>GMYGD2</t>
        </is>
      </c>
      <c r="C639" s="89" t="inlineStr">
        <is>
          <t>Huawei</t>
        </is>
      </c>
      <c r="F639" t="n">
        <v>7.0568</v>
      </c>
      <c r="G639" t="n">
        <v>79.9923</v>
      </c>
      <c r="H639" t="inlineStr">
        <is>
          <t>GMYGD2R</t>
        </is>
      </c>
      <c r="J639" s="91">
        <f>RIGHT(H639,1)</f>
        <v/>
      </c>
      <c r="K639" t="inlineStr">
        <is>
          <t>S3</t>
        </is>
      </c>
      <c r="L639" s="91" t="inlineStr">
        <is>
          <t>2G</t>
        </is>
      </c>
      <c r="M639" t="n">
        <v>1800</v>
      </c>
      <c r="N639" s="91" t="e">
        <v>#N/A</v>
      </c>
      <c r="P639" t="n">
        <v>340</v>
      </c>
      <c r="R639" s="92" t="n">
        <v>2</v>
      </c>
      <c r="AB639" s="91" t="inlineStr">
        <is>
          <t>R9264H M901821</t>
        </is>
      </c>
      <c r="AC639" s="91" t="inlineStr">
        <is>
          <t>R9264H M901821*3+R9254E S8500*2</t>
        </is>
      </c>
      <c r="AD639" s="91">
        <f>_xlfn.XLOOKUP(AE639,[4]透视表!$G:$G,[4]透视表!$E:$E)</f>
        <v/>
      </c>
      <c r="AE639" s="91">
        <f>A639&amp;K639</f>
        <v/>
      </c>
      <c r="AL639" s="91" t="inlineStr">
        <is>
          <t>高优先级</t>
        </is>
      </c>
    </row>
    <row r="640" hidden="1" ht="15" customHeight="1" s="99">
      <c r="A640" t="inlineStr">
        <is>
          <t>GMYGD2</t>
        </is>
      </c>
      <c r="B640" t="inlineStr">
        <is>
          <t>GMYGD2_0UL00_Yagoda2_IP_Kd</t>
        </is>
      </c>
      <c r="C640" s="89" t="inlineStr">
        <is>
          <t>Huawei</t>
        </is>
      </c>
      <c r="F640" t="n">
        <v>7.0568</v>
      </c>
      <c r="G640" t="n">
        <v>79.9923</v>
      </c>
      <c r="H640" t="inlineStr">
        <is>
          <t>GMYGD2-M-L85-C1</t>
        </is>
      </c>
      <c r="J640" s="91">
        <f>LEFT(RIGHT(H640,2),1)</f>
        <v/>
      </c>
      <c r="K640" s="91">
        <f>_xlfn.XLOOKUP(J640,#REF!,#REF!)</f>
        <v/>
      </c>
      <c r="L640" s="91" t="inlineStr">
        <is>
          <t>4G</t>
        </is>
      </c>
      <c r="M640" s="91" t="n">
        <v>850</v>
      </c>
      <c r="N640" s="91" t="e">
        <v>#N/A</v>
      </c>
      <c r="O640" s="92" t="n">
        <v>40</v>
      </c>
      <c r="P640" t="n">
        <v>340</v>
      </c>
      <c r="R640" s="92" t="n">
        <v>0</v>
      </c>
      <c r="Y640" t="inlineStr">
        <is>
          <t>2T2R</t>
        </is>
      </c>
      <c r="AB640" s="91" t="inlineStr">
        <is>
          <t>R9254E S8500</t>
        </is>
      </c>
      <c r="AC640" s="91" t="inlineStr">
        <is>
          <t>R9264H M901821*3+R9254E S8500*2</t>
        </is>
      </c>
      <c r="AD640" s="91">
        <f>_xlfn.XLOOKUP(AE640,[4]透视表!$G:$G,[4]透视表!$D:$D)</f>
        <v/>
      </c>
      <c r="AE640" s="91">
        <f>A640&amp;K640</f>
        <v/>
      </c>
      <c r="AL640" s="91" t="inlineStr">
        <is>
          <t>高优先级</t>
        </is>
      </c>
    </row>
    <row r="641" hidden="1" ht="15" customHeight="1" s="99">
      <c r="A641" t="inlineStr">
        <is>
          <t>GMYGD2</t>
        </is>
      </c>
      <c r="B641" t="inlineStr">
        <is>
          <t>GMYGD2_0UL00_Yagoda2_IP_Kd</t>
        </is>
      </c>
      <c r="C641" s="89" t="inlineStr">
        <is>
          <t>Huawei</t>
        </is>
      </c>
      <c r="F641" t="n">
        <v>7.0568</v>
      </c>
      <c r="G641" t="n">
        <v>79.9923</v>
      </c>
      <c r="H641" t="inlineStr">
        <is>
          <t>GMYGD2I</t>
        </is>
      </c>
      <c r="J641" s="91">
        <f>RIGHT(H641,1)</f>
        <v/>
      </c>
      <c r="K641" s="91">
        <f>_xlfn.XLOOKUP(J641,#REF!,#REF!)</f>
        <v/>
      </c>
      <c r="L641" s="91" t="inlineStr">
        <is>
          <t>4G</t>
        </is>
      </c>
      <c r="M641" s="91" t="n">
        <v>1800</v>
      </c>
      <c r="N641" s="91" t="e">
        <v>#N/A</v>
      </c>
      <c r="O641" s="92" t="n">
        <v>40</v>
      </c>
      <c r="P641" t="n">
        <v>340</v>
      </c>
      <c r="R641" s="92" t="n">
        <v>0</v>
      </c>
      <c r="Y641" t="inlineStr">
        <is>
          <t>2T2R</t>
        </is>
      </c>
      <c r="AB641" s="91" t="inlineStr">
        <is>
          <t>R9264H M901821</t>
        </is>
      </c>
      <c r="AC641" s="91" t="inlineStr">
        <is>
          <t>R9264H M901821*3+R9254E S8500*2</t>
        </is>
      </c>
      <c r="AD641" s="91">
        <f>_xlfn.XLOOKUP(AE641,[4]透视表!$G:$G,[4]透视表!$E:$E)</f>
        <v/>
      </c>
      <c r="AE641" s="91">
        <f>A641&amp;K641</f>
        <v/>
      </c>
      <c r="AL641" s="91" t="inlineStr">
        <is>
          <t>高优先级</t>
        </is>
      </c>
    </row>
    <row r="642" hidden="1" ht="15" customHeight="1" s="99">
      <c r="A642" t="inlineStr">
        <is>
          <t>GMYGD3</t>
        </is>
      </c>
      <c r="B642" t="inlineStr">
        <is>
          <t>GMYGD3_0UL00_Pahala_Yagoda_IP_Kd</t>
        </is>
      </c>
      <c r="C642" s="89" t="inlineStr">
        <is>
          <t>Huawei</t>
        </is>
      </c>
      <c r="D642" s="91" t="inlineStr">
        <is>
          <t>射频需要换成2100频段</t>
        </is>
      </c>
      <c r="F642" t="n">
        <v>7.0709</v>
      </c>
      <c r="G642" t="n">
        <v>79.977</v>
      </c>
      <c r="H642" t="inlineStr">
        <is>
          <t>GMYGD3-M-L21-A2</t>
        </is>
      </c>
      <c r="J642" s="91">
        <f>LEFT(RIGHT(H642,2),1)</f>
        <v/>
      </c>
      <c r="K642" s="91">
        <f>_xlfn.XLOOKUP(J642,#REF!,#REF!)</f>
        <v/>
      </c>
      <c r="L642" s="91" t="inlineStr">
        <is>
          <t>4G</t>
        </is>
      </c>
      <c r="M642" s="91" t="n">
        <v>2100</v>
      </c>
      <c r="N642" s="91" t="e">
        <v>#N/A</v>
      </c>
      <c r="O642" s="92" t="n">
        <v>50</v>
      </c>
      <c r="P642" t="n">
        <v>0</v>
      </c>
      <c r="R642" s="92" t="n">
        <v>0</v>
      </c>
      <c r="Y642" t="inlineStr">
        <is>
          <t>2T2R</t>
        </is>
      </c>
      <c r="AB642" s="91" t="inlineStr">
        <is>
          <t>？</t>
        </is>
      </c>
      <c r="AC642" s="91" t="inlineStr">
        <is>
          <t>R9254E S1800*3</t>
        </is>
      </c>
      <c r="AD642" s="91">
        <f>_xlfn.XLOOKUP(AE642,[4]透视表!$G:$G,[4]透视表!$F:$F)</f>
        <v/>
      </c>
      <c r="AE642" s="91">
        <f>A642&amp;K642</f>
        <v/>
      </c>
      <c r="AL642" s="91" t="inlineStr">
        <is>
          <t>高优先级</t>
        </is>
      </c>
    </row>
    <row r="643" hidden="1" ht="15" customHeight="1" s="99">
      <c r="A643" t="inlineStr">
        <is>
          <t>GMYGD3</t>
        </is>
      </c>
      <c r="B643" t="inlineStr">
        <is>
          <t>GMYGD3_0UL00_Pahala_Yagoda_IP_Kd</t>
        </is>
      </c>
      <c r="C643" s="89" t="inlineStr">
        <is>
          <t>Huawei</t>
        </is>
      </c>
      <c r="D643" s="91" t="inlineStr">
        <is>
          <t>射频需要换成2100频段</t>
        </is>
      </c>
      <c r="F643" t="n">
        <v>7.0709</v>
      </c>
      <c r="G643" t="n">
        <v>79.977</v>
      </c>
      <c r="H643" t="inlineStr">
        <is>
          <t>GMYGD3-M-L21-B2</t>
        </is>
      </c>
      <c r="J643" s="91">
        <f>LEFT(RIGHT(H643,2),1)</f>
        <v/>
      </c>
      <c r="K643" s="91">
        <f>_xlfn.XLOOKUP(J643,#REF!,#REF!)</f>
        <v/>
      </c>
      <c r="L643" s="91" t="inlineStr">
        <is>
          <t>4G</t>
        </is>
      </c>
      <c r="M643" s="91" t="n">
        <v>2100</v>
      </c>
      <c r="N643" s="91" t="e">
        <v>#N/A</v>
      </c>
      <c r="O643" s="92" t="n">
        <v>50</v>
      </c>
      <c r="P643" t="n">
        <v>90</v>
      </c>
      <c r="R643" s="92" t="n">
        <v>0</v>
      </c>
      <c r="Y643" t="inlineStr">
        <is>
          <t>2T2R</t>
        </is>
      </c>
      <c r="AB643" s="91" t="inlineStr">
        <is>
          <t>？</t>
        </is>
      </c>
      <c r="AC643" s="91" t="inlineStr">
        <is>
          <t>R9254E S1800*3</t>
        </is>
      </c>
      <c r="AD643" s="91">
        <f>_xlfn.XLOOKUP(AE643,[4]透视表!$G:$G,[4]透视表!$F:$F)</f>
        <v/>
      </c>
      <c r="AE643" s="91">
        <f>A643&amp;K643</f>
        <v/>
      </c>
      <c r="AL643" s="91" t="inlineStr">
        <is>
          <t>高优先级</t>
        </is>
      </c>
    </row>
    <row r="644" hidden="1" ht="15" customHeight="1" s="99">
      <c r="A644" t="inlineStr">
        <is>
          <t>GMYGD3</t>
        </is>
      </c>
      <c r="B644" t="inlineStr">
        <is>
          <t>GMYGD3_0UL00_Pahala_Yagoda_IP_Kd</t>
        </is>
      </c>
      <c r="C644" s="89" t="inlineStr">
        <is>
          <t>Huawei</t>
        </is>
      </c>
      <c r="D644" s="91" t="inlineStr">
        <is>
          <t>射频需要换成2100频段</t>
        </is>
      </c>
      <c r="F644" t="n">
        <v>7.0709</v>
      </c>
      <c r="G644" t="n">
        <v>79.977</v>
      </c>
      <c r="H644" t="inlineStr">
        <is>
          <t>GMYGD3-M-L21-C2</t>
        </is>
      </c>
      <c r="J644" s="91">
        <f>LEFT(RIGHT(H644,2),1)</f>
        <v/>
      </c>
      <c r="K644" s="91">
        <f>_xlfn.XLOOKUP(J644,#REF!,#REF!)</f>
        <v/>
      </c>
      <c r="L644" s="91" t="inlineStr">
        <is>
          <t>4G</t>
        </is>
      </c>
      <c r="M644" s="91" t="n">
        <v>2100</v>
      </c>
      <c r="N644" s="91" t="e">
        <v>#N/A</v>
      </c>
      <c r="O644" s="92" t="n">
        <v>50</v>
      </c>
      <c r="P644" t="n">
        <v>180</v>
      </c>
      <c r="R644" s="92" t="n">
        <v>0</v>
      </c>
      <c r="Y644" t="inlineStr">
        <is>
          <t>2T2R</t>
        </is>
      </c>
      <c r="AB644" s="91" t="inlineStr">
        <is>
          <t>？</t>
        </is>
      </c>
      <c r="AC644" s="91" t="inlineStr">
        <is>
          <t>R9254E S1800*3</t>
        </is>
      </c>
      <c r="AD644" s="91">
        <f>_xlfn.XLOOKUP(AE644,[4]透视表!$G:$G,[4]透视表!$F:$F)</f>
        <v/>
      </c>
      <c r="AE644" s="91">
        <f>A644&amp;K644</f>
        <v/>
      </c>
      <c r="AL644" s="91" t="inlineStr">
        <is>
          <t>高优先级</t>
        </is>
      </c>
    </row>
    <row r="645" hidden="1" ht="15" customHeight="1" s="99">
      <c r="A645" t="inlineStr">
        <is>
          <t>LGM041</t>
        </is>
      </c>
      <c r="B645" t="inlineStr">
        <is>
          <t>LGM041_0UL00_Orutota_Rd_Lamp_Gm</t>
        </is>
      </c>
      <c r="C645" s="89" t="inlineStr">
        <is>
          <t>Huawei</t>
        </is>
      </c>
      <c r="D645" s="91" t="inlineStr">
        <is>
          <t>射频需要换成2100频段</t>
        </is>
      </c>
      <c r="F645" t="n">
        <v>7.0881</v>
      </c>
      <c r="G645" t="n">
        <v>79.98990000000001</v>
      </c>
      <c r="H645" t="inlineStr">
        <is>
          <t>LGM041-M-L21-A2</t>
        </is>
      </c>
      <c r="J645" s="91">
        <f>LEFT(RIGHT(H645,2),1)</f>
        <v/>
      </c>
      <c r="K645" s="91">
        <f>_xlfn.XLOOKUP(J645,#REF!,#REF!)</f>
        <v/>
      </c>
      <c r="L645" s="91" t="inlineStr">
        <is>
          <t>4G</t>
        </is>
      </c>
      <c r="M645" s="91" t="n">
        <v>2100</v>
      </c>
      <c r="N645" s="91" t="e">
        <v>#N/A</v>
      </c>
      <c r="O645" s="92" t="n">
        <v>20</v>
      </c>
      <c r="P645" t="n">
        <v>0</v>
      </c>
      <c r="R645" s="92" t="n">
        <v>0</v>
      </c>
      <c r="Y645" t="inlineStr">
        <is>
          <t>2T2R</t>
        </is>
      </c>
      <c r="AB645" s="91" t="inlineStr">
        <is>
          <t>？</t>
        </is>
      </c>
      <c r="AC645" s="91" t="inlineStr">
        <is>
          <t>A9165 M1821*3</t>
        </is>
      </c>
      <c r="AD645" s="91">
        <f>_xlfn.XLOOKUP(AE645,[4]透视表!$G:$G,[4]透视表!$F:$F)</f>
        <v/>
      </c>
      <c r="AE645" s="91">
        <f>A645&amp;K645</f>
        <v/>
      </c>
      <c r="AL645" s="91" t="inlineStr">
        <is>
          <t>高优先级</t>
        </is>
      </c>
    </row>
    <row r="646" hidden="1" ht="15" customHeight="1" s="99">
      <c r="A646" t="inlineStr">
        <is>
          <t>LGM041</t>
        </is>
      </c>
      <c r="B646" t="inlineStr">
        <is>
          <t>LGM041_0UL00_Orutota_Rd_Lamp_Gm</t>
        </is>
      </c>
      <c r="C646" s="89" t="inlineStr">
        <is>
          <t>Huawei</t>
        </is>
      </c>
      <c r="D646" s="91" t="inlineStr">
        <is>
          <t>射频需要换成2100频段</t>
        </is>
      </c>
      <c r="F646" t="n">
        <v>7.0881</v>
      </c>
      <c r="G646" t="n">
        <v>79.98990000000001</v>
      </c>
      <c r="H646" t="inlineStr">
        <is>
          <t>LGM041-M-L21-B2</t>
        </is>
      </c>
      <c r="J646" s="91">
        <f>LEFT(RIGHT(H646,2),1)</f>
        <v/>
      </c>
      <c r="K646" s="91">
        <f>_xlfn.XLOOKUP(J646,#REF!,#REF!)</f>
        <v/>
      </c>
      <c r="L646" s="91" t="inlineStr">
        <is>
          <t>4G</t>
        </is>
      </c>
      <c r="M646" s="91" t="n">
        <v>2100</v>
      </c>
      <c r="N646" s="91" t="e">
        <v>#N/A</v>
      </c>
      <c r="O646" s="92" t="n">
        <v>20</v>
      </c>
      <c r="P646" t="n">
        <v>90</v>
      </c>
      <c r="R646" s="92" t="n">
        <v>0</v>
      </c>
      <c r="Y646" t="inlineStr">
        <is>
          <t>2T2R</t>
        </is>
      </c>
      <c r="AB646" s="91" t="inlineStr">
        <is>
          <t>？</t>
        </is>
      </c>
      <c r="AC646" s="91" t="inlineStr">
        <is>
          <t>A9165 M1821*3</t>
        </is>
      </c>
      <c r="AD646" s="91">
        <f>_xlfn.XLOOKUP(AE646,[4]透视表!$G:$G,[4]透视表!$F:$F)</f>
        <v/>
      </c>
      <c r="AE646" s="91">
        <f>A646&amp;K646</f>
        <v/>
      </c>
      <c r="AL646" s="91" t="inlineStr">
        <is>
          <t>高优先级</t>
        </is>
      </c>
    </row>
    <row r="647" hidden="1" ht="15" customHeight="1" s="99">
      <c r="A647" t="inlineStr">
        <is>
          <t>LGM041</t>
        </is>
      </c>
      <c r="B647" t="inlineStr">
        <is>
          <t>LGM041_0UL00_Orutota_Rd_Lamp_Gm</t>
        </is>
      </c>
      <c r="C647" s="89" t="inlineStr">
        <is>
          <t>Huawei</t>
        </is>
      </c>
      <c r="D647" s="91" t="inlineStr">
        <is>
          <t>射频需要换成2100频段</t>
        </is>
      </c>
      <c r="F647" t="n">
        <v>7.0881</v>
      </c>
      <c r="G647" t="n">
        <v>79.98990000000001</v>
      </c>
      <c r="H647" t="inlineStr">
        <is>
          <t>LGM041-M-L21-C2</t>
        </is>
      </c>
      <c r="J647" s="91">
        <f>LEFT(RIGHT(H647,2),1)</f>
        <v/>
      </c>
      <c r="K647" s="91">
        <f>_xlfn.XLOOKUP(J647,#REF!,#REF!)</f>
        <v/>
      </c>
      <c r="L647" s="91" t="inlineStr">
        <is>
          <t>4G</t>
        </is>
      </c>
      <c r="M647" s="91" t="n">
        <v>2100</v>
      </c>
      <c r="N647" s="91" t="e">
        <v>#N/A</v>
      </c>
      <c r="O647" s="92" t="n">
        <v>20</v>
      </c>
      <c r="P647" t="n">
        <v>180</v>
      </c>
      <c r="R647" s="92" t="n">
        <v>0</v>
      </c>
      <c r="Y647" t="inlineStr">
        <is>
          <t>2T2R</t>
        </is>
      </c>
      <c r="AB647" s="91" t="inlineStr">
        <is>
          <t>？</t>
        </is>
      </c>
      <c r="AC647" s="91" t="inlineStr">
        <is>
          <t>A9165 M1821*3</t>
        </is>
      </c>
      <c r="AD647" s="91">
        <f>_xlfn.XLOOKUP(AE647,[4]透视表!$G:$G,[4]透视表!$F:$F)</f>
        <v/>
      </c>
      <c r="AE647" s="91">
        <f>A647&amp;K647</f>
        <v/>
      </c>
      <c r="AL647" s="91" t="inlineStr">
        <is>
          <t>高优先级</t>
        </is>
      </c>
    </row>
    <row r="648" hidden="1" ht="15" customHeight="1" s="99">
      <c r="A648" t="inlineStr">
        <is>
          <t>LGM044</t>
        </is>
      </c>
      <c r="C648" s="89" t="inlineStr">
        <is>
          <t>Huawei</t>
        </is>
      </c>
      <c r="F648" t="n">
        <v>7.059133</v>
      </c>
      <c r="G648" t="n">
        <v>79.95453000000001</v>
      </c>
      <c r="H648" t="inlineStr">
        <is>
          <t>LGM044P</t>
        </is>
      </c>
      <c r="J648" s="91">
        <f>RIGHT(H648,1)</f>
        <v/>
      </c>
      <c r="K648" t="inlineStr">
        <is>
          <t>S1</t>
        </is>
      </c>
      <c r="L648" s="91" t="inlineStr">
        <is>
          <t>2G</t>
        </is>
      </c>
      <c r="M648" t="n">
        <v>1800</v>
      </c>
      <c r="N648" s="91" t="inlineStr">
        <is>
          <t>ADU4518R6v06</t>
        </is>
      </c>
      <c r="P648" t="n">
        <v>50</v>
      </c>
      <c r="R648" s="92" t="n">
        <v>2</v>
      </c>
      <c r="AB648" s="91" t="inlineStr">
        <is>
          <t>A9165 M1821</t>
        </is>
      </c>
      <c r="AC648" s="91" t="inlineStr">
        <is>
          <t>A9165 M1821*3</t>
        </is>
      </c>
      <c r="AD648" s="91">
        <f>_xlfn.XLOOKUP(AE648,[4]透视表!$G:$G,[4]透视表!$E:$E)</f>
        <v/>
      </c>
      <c r="AE648" s="91">
        <f>A648&amp;K648</f>
        <v/>
      </c>
      <c r="AL648" s="91" t="inlineStr">
        <is>
          <t>高优先级</t>
        </is>
      </c>
    </row>
    <row r="649" hidden="1" ht="15" customHeight="1" s="99">
      <c r="A649" t="inlineStr">
        <is>
          <t>LGM044</t>
        </is>
      </c>
      <c r="B649" t="inlineStr">
        <is>
          <t>LGM044_G0L00_Ganemulla_South_Lamp_Kd</t>
        </is>
      </c>
      <c r="C649" s="89" t="inlineStr">
        <is>
          <t>Huawei</t>
        </is>
      </c>
      <c r="F649" t="n">
        <v>7.059133</v>
      </c>
      <c r="G649" t="n">
        <v>79.95453000000001</v>
      </c>
      <c r="H649" t="inlineStr">
        <is>
          <t>LGM044G</t>
        </is>
      </c>
      <c r="J649" s="91">
        <f>RIGHT(H649,1)</f>
        <v/>
      </c>
      <c r="K649" s="91">
        <f>_xlfn.XLOOKUP(J649,#REF!,#REF!)</f>
        <v/>
      </c>
      <c r="L649" s="91" t="inlineStr">
        <is>
          <t>4G</t>
        </is>
      </c>
      <c r="M649" s="91" t="n">
        <v>1800</v>
      </c>
      <c r="N649" s="91" t="inlineStr">
        <is>
          <t>ADU4518R6v06</t>
        </is>
      </c>
      <c r="O649" s="92" t="n">
        <v>20</v>
      </c>
      <c r="P649" t="n">
        <v>50</v>
      </c>
      <c r="R649" s="92" t="n">
        <v>0</v>
      </c>
      <c r="Y649" t="inlineStr">
        <is>
          <t>2T2R</t>
        </is>
      </c>
      <c r="AB649" s="91" t="inlineStr">
        <is>
          <t>A9165 M1821</t>
        </is>
      </c>
      <c r="AC649" s="91" t="inlineStr">
        <is>
          <t>A9165 M1821*3</t>
        </is>
      </c>
      <c r="AD649" s="91">
        <f>_xlfn.XLOOKUP(AE649,[4]透视表!$G:$G,[4]透视表!$E:$E)</f>
        <v/>
      </c>
      <c r="AE649" s="91">
        <f>A649&amp;K649</f>
        <v/>
      </c>
      <c r="AL649" s="91" t="inlineStr">
        <is>
          <t>高优先级</t>
        </is>
      </c>
    </row>
    <row r="650" hidden="1" ht="15" customHeight="1" s="99">
      <c r="A650" t="inlineStr">
        <is>
          <t>LGM044</t>
        </is>
      </c>
      <c r="C650" s="89" t="inlineStr">
        <is>
          <t>Huawei</t>
        </is>
      </c>
      <c r="F650" t="n">
        <v>7.059133</v>
      </c>
      <c r="G650" t="n">
        <v>79.95453000000001</v>
      </c>
      <c r="H650" t="inlineStr">
        <is>
          <t>LGM044Q</t>
        </is>
      </c>
      <c r="J650" s="91">
        <f>RIGHT(H650,1)</f>
        <v/>
      </c>
      <c r="K650" t="inlineStr">
        <is>
          <t>S2</t>
        </is>
      </c>
      <c r="L650" s="91" t="inlineStr">
        <is>
          <t>2G</t>
        </is>
      </c>
      <c r="M650" t="n">
        <v>1800</v>
      </c>
      <c r="N650" s="91" t="inlineStr">
        <is>
          <t>ADU4518R6v06</t>
        </is>
      </c>
      <c r="P650" t="n">
        <v>120</v>
      </c>
      <c r="R650" s="92" t="n">
        <v>2</v>
      </c>
      <c r="AB650" s="91" t="inlineStr">
        <is>
          <t>A9165 M1821</t>
        </is>
      </c>
      <c r="AC650" s="91" t="inlineStr">
        <is>
          <t>A9165 M1821*3</t>
        </is>
      </c>
      <c r="AD650" s="91">
        <f>_xlfn.XLOOKUP(AE650,[4]透视表!$G:$G,[4]透视表!$E:$E)</f>
        <v/>
      </c>
      <c r="AE650" s="91">
        <f>A650&amp;K650</f>
        <v/>
      </c>
      <c r="AL650" s="91" t="inlineStr">
        <is>
          <t>高优先级</t>
        </is>
      </c>
    </row>
    <row r="651" hidden="1" ht="15" customHeight="1" s="99">
      <c r="A651" t="inlineStr">
        <is>
          <t>LGM044</t>
        </is>
      </c>
      <c r="B651" t="inlineStr">
        <is>
          <t>LGM044_G0L00_Ganemulla_South_Lamp_Kd</t>
        </is>
      </c>
      <c r="C651" s="89" t="inlineStr">
        <is>
          <t>Huawei</t>
        </is>
      </c>
      <c r="F651" t="n">
        <v>7.059133</v>
      </c>
      <c r="G651" t="n">
        <v>79.95453000000001</v>
      </c>
      <c r="H651" t="inlineStr">
        <is>
          <t>LGM044H</t>
        </is>
      </c>
      <c r="J651" s="91">
        <f>RIGHT(H651,1)</f>
        <v/>
      </c>
      <c r="K651" s="91">
        <f>_xlfn.XLOOKUP(J651,#REF!,#REF!)</f>
        <v/>
      </c>
      <c r="L651" s="91" t="inlineStr">
        <is>
          <t>4G</t>
        </is>
      </c>
      <c r="M651" s="91" t="n">
        <v>1800</v>
      </c>
      <c r="N651" s="91" t="inlineStr">
        <is>
          <t>ADU4518R6v06</t>
        </is>
      </c>
      <c r="O651" s="92" t="n">
        <v>20</v>
      </c>
      <c r="P651" t="n">
        <v>120</v>
      </c>
      <c r="R651" s="92" t="n">
        <v>0</v>
      </c>
      <c r="Y651" t="inlineStr">
        <is>
          <t>2T2R</t>
        </is>
      </c>
      <c r="AB651" s="91" t="inlineStr">
        <is>
          <t>A9165 M1821</t>
        </is>
      </c>
      <c r="AC651" s="91" t="inlineStr">
        <is>
          <t>A9165 M1821*3</t>
        </is>
      </c>
      <c r="AD651" s="91">
        <f>_xlfn.XLOOKUP(AE651,[4]透视表!$G:$G,[4]透视表!$E:$E)</f>
        <v/>
      </c>
      <c r="AE651" s="91">
        <f>A651&amp;K651</f>
        <v/>
      </c>
      <c r="AL651" s="91" t="inlineStr">
        <is>
          <t>高优先级</t>
        </is>
      </c>
    </row>
    <row r="652" hidden="1" ht="15" customHeight="1" s="99">
      <c r="A652" t="inlineStr">
        <is>
          <t>LGM044</t>
        </is>
      </c>
      <c r="C652" s="89" t="inlineStr">
        <is>
          <t>Huawei</t>
        </is>
      </c>
      <c r="F652" t="n">
        <v>7.059133</v>
      </c>
      <c r="G652" t="n">
        <v>79.95453000000001</v>
      </c>
      <c r="H652" t="inlineStr">
        <is>
          <t>LGM044R</t>
        </is>
      </c>
      <c r="J652" s="91">
        <f>RIGHT(H652,1)</f>
        <v/>
      </c>
      <c r="K652" t="inlineStr">
        <is>
          <t>S3</t>
        </is>
      </c>
      <c r="L652" s="91" t="inlineStr">
        <is>
          <t>2G</t>
        </is>
      </c>
      <c r="M652" t="n">
        <v>1800</v>
      </c>
      <c r="N652" s="91" t="inlineStr">
        <is>
          <t>ADU4518R6v06</t>
        </is>
      </c>
      <c r="P652" t="n">
        <v>290</v>
      </c>
      <c r="R652" s="92" t="n">
        <v>2</v>
      </c>
      <c r="AB652" s="91" t="inlineStr">
        <is>
          <t>A9165 M1821</t>
        </is>
      </c>
      <c r="AC652" s="91" t="inlineStr">
        <is>
          <t>A9165 M1821*3</t>
        </is>
      </c>
      <c r="AD652" s="91">
        <f>_xlfn.XLOOKUP(AE652,[4]透视表!$G:$G,[4]透视表!$E:$E)</f>
        <v/>
      </c>
      <c r="AE652" s="91">
        <f>A652&amp;K652</f>
        <v/>
      </c>
      <c r="AL652" s="91" t="inlineStr">
        <is>
          <t>高优先级</t>
        </is>
      </c>
    </row>
    <row r="653" hidden="1" ht="15" customHeight="1" s="99">
      <c r="A653" t="inlineStr">
        <is>
          <t>LGM044</t>
        </is>
      </c>
      <c r="B653" t="inlineStr">
        <is>
          <t>LGM044_G0L00_Ganemulla_South_Lamp_Kd</t>
        </is>
      </c>
      <c r="C653" s="89" t="inlineStr">
        <is>
          <t>Huawei</t>
        </is>
      </c>
      <c r="F653" t="n">
        <v>7.059133</v>
      </c>
      <c r="G653" t="n">
        <v>79.95453000000001</v>
      </c>
      <c r="H653" t="inlineStr">
        <is>
          <t>LGM044I</t>
        </is>
      </c>
      <c r="J653" s="91">
        <f>RIGHT(H653,1)</f>
        <v/>
      </c>
      <c r="K653" s="91">
        <f>_xlfn.XLOOKUP(J653,#REF!,#REF!)</f>
        <v/>
      </c>
      <c r="L653" s="91" t="inlineStr">
        <is>
          <t>4G</t>
        </is>
      </c>
      <c r="M653" s="91" t="n">
        <v>1800</v>
      </c>
      <c r="N653" s="91" t="inlineStr">
        <is>
          <t>ADU4518R6v06</t>
        </is>
      </c>
      <c r="O653" s="92" t="n">
        <v>20</v>
      </c>
      <c r="P653" t="n">
        <v>290</v>
      </c>
      <c r="R653" s="92" t="n">
        <v>0</v>
      </c>
      <c r="Y653" t="inlineStr">
        <is>
          <t>2T2R</t>
        </is>
      </c>
      <c r="AB653" s="91" t="inlineStr">
        <is>
          <t>A9165 M1821</t>
        </is>
      </c>
      <c r="AC653" s="91" t="inlineStr">
        <is>
          <t>A9165 M1821*3</t>
        </is>
      </c>
      <c r="AD653" s="91">
        <f>_xlfn.XLOOKUP(AE653,[4]透视表!$G:$G,[4]透视表!$E:$E)</f>
        <v/>
      </c>
      <c r="AE653" s="91">
        <f>A653&amp;K653</f>
        <v/>
      </c>
      <c r="AL653" s="91" t="inlineStr">
        <is>
          <t>高优先级</t>
        </is>
      </c>
    </row>
    <row r="654" hidden="1" ht="15" customHeight="1" s="99">
      <c r="A654" t="inlineStr">
        <is>
          <t>GMBLW1</t>
        </is>
      </c>
      <c r="B654" t="inlineStr"/>
      <c r="F654">
        <f>_xlfn.XLOOKUP(A654,'[1]4G Parameters'!$E:$E,'[1]4G Parameters'!$J:$J)</f>
        <v/>
      </c>
      <c r="G654">
        <f>_xlfn.XLOOKUP(A654,'[1]4G Parameters'!$E:$E,'[1]4G Parameters'!$I:$I)</f>
        <v/>
      </c>
      <c r="H654" t="inlineStr">
        <is>
          <t>GMBLW1A</t>
        </is>
      </c>
      <c r="K654" t="inlineStr">
        <is>
          <t>S1</t>
        </is>
      </c>
      <c r="L654" t="inlineStr">
        <is>
          <t>2G</t>
        </is>
      </c>
      <c r="M654" t="inlineStr">
        <is>
          <t>900</t>
        </is>
      </c>
      <c r="N654" t="inlineStr"/>
      <c r="O654" t="n">
        <v>50</v>
      </c>
      <c r="P654" t="n">
        <v>0</v>
      </c>
      <c r="Q654" t="n">
        <v>2</v>
      </c>
      <c r="Y654" t="inlineStr"/>
      <c r="AB654" t="inlineStr">
        <is>
          <t>R9264H M901821</t>
        </is>
      </c>
      <c r="AC654" t="inlineStr">
        <is>
          <t>A9652 S35*3+R9264H M901821*3+R9254E S8500*2</t>
        </is>
      </c>
    </row>
    <row r="655" hidden="1" ht="15" customHeight="1" s="99">
      <c r="A655" t="inlineStr">
        <is>
          <t>GMBLW1</t>
        </is>
      </c>
      <c r="B655" t="inlineStr"/>
      <c r="F655">
        <f>_xlfn.XLOOKUP(A655,'[1]4G Parameters'!$E:$E,'[1]4G Parameters'!$J:$J)</f>
        <v/>
      </c>
      <c r="G655">
        <f>_xlfn.XLOOKUP(A655,'[1]4G Parameters'!$E:$E,'[1]4G Parameters'!$I:$I)</f>
        <v/>
      </c>
      <c r="H655" t="inlineStr">
        <is>
          <t>GMBLW1P</t>
        </is>
      </c>
      <c r="K655" t="inlineStr">
        <is>
          <t>S1</t>
        </is>
      </c>
      <c r="L655" t="inlineStr">
        <is>
          <t>2G</t>
        </is>
      </c>
      <c r="M655" t="inlineStr">
        <is>
          <t>1800</t>
        </is>
      </c>
      <c r="N655" t="inlineStr"/>
      <c r="O655" t="n">
        <v>50</v>
      </c>
      <c r="P655" t="n">
        <v>0</v>
      </c>
      <c r="Q655" t="n">
        <v>2</v>
      </c>
      <c r="Y655" t="inlineStr"/>
      <c r="AB655" t="inlineStr">
        <is>
          <t>R9264H M901821</t>
        </is>
      </c>
      <c r="AC655" t="inlineStr">
        <is>
          <t>A9652 S35*3+R9264H M901821*3+R9254E S8500*2</t>
        </is>
      </c>
    </row>
    <row r="656" hidden="1" ht="15" customHeight="1" s="99">
      <c r="A656" t="inlineStr">
        <is>
          <t>GMBLW1</t>
        </is>
      </c>
      <c r="B656" t="inlineStr">
        <is>
          <t>GMBLW1_GUL00_Bolawalana_Ne</t>
        </is>
      </c>
      <c r="F656" t="n">
        <v>7.20187</v>
      </c>
      <c r="G656" t="n">
        <v>79.8527</v>
      </c>
      <c r="H656" t="inlineStr">
        <is>
          <t>GMBLW1-M-L85-A1</t>
        </is>
      </c>
      <c r="K656" t="inlineStr">
        <is>
          <t>S1</t>
        </is>
      </c>
      <c r="L656" t="inlineStr">
        <is>
          <t>4G</t>
        </is>
      </c>
      <c r="M656" t="inlineStr">
        <is>
          <t>850</t>
        </is>
      </c>
      <c r="N656" t="inlineStr">
        <is>
          <t>AQU4518R9v06</t>
        </is>
      </c>
      <c r="O656" t="n">
        <v>50</v>
      </c>
      <c r="P656" t="n">
        <v>0</v>
      </c>
      <c r="Q656" t="n">
        <v>0</v>
      </c>
      <c r="Y656" t="inlineStr">
        <is>
          <t>2T2R</t>
        </is>
      </c>
      <c r="AB656" t="inlineStr">
        <is>
          <t>R9254E S8500</t>
        </is>
      </c>
      <c r="AC656" t="inlineStr">
        <is>
          <t>A9652 S35*3+R9264H M901821*3+R9254E S8500*2</t>
        </is>
      </c>
    </row>
    <row r="657" hidden="1" ht="15" customHeight="1" s="99">
      <c r="A657" t="inlineStr">
        <is>
          <t>GMBLW1</t>
        </is>
      </c>
      <c r="B657" t="inlineStr">
        <is>
          <t>GMBLW1_GUL00_Bolawalana_Ne</t>
        </is>
      </c>
      <c r="F657" t="n">
        <v>7.20187</v>
      </c>
      <c r="G657" t="n">
        <v>79.8527</v>
      </c>
      <c r="H657" t="inlineStr">
        <is>
          <t>GMBLW1-M-L21-A2</t>
        </is>
      </c>
      <c r="K657" t="inlineStr">
        <is>
          <t>S1</t>
        </is>
      </c>
      <c r="L657" t="inlineStr">
        <is>
          <t>4G</t>
        </is>
      </c>
      <c r="M657" t="inlineStr">
        <is>
          <t>2100</t>
        </is>
      </c>
      <c r="N657" t="inlineStr">
        <is>
          <t>AQU4518R9v06</t>
        </is>
      </c>
      <c r="O657" t="n">
        <v>50</v>
      </c>
      <c r="P657" t="n">
        <v>0</v>
      </c>
      <c r="Q657" t="n">
        <v>0</v>
      </c>
      <c r="Y657" t="inlineStr">
        <is>
          <t>2T2R</t>
        </is>
      </c>
      <c r="AB657" t="inlineStr">
        <is>
          <t>R9264H M901821</t>
        </is>
      </c>
      <c r="AC657" t="inlineStr">
        <is>
          <t>A9652 S35*3+R9264H M901821*3+R9254E S8500*2</t>
        </is>
      </c>
    </row>
    <row r="658" hidden="1" ht="15" customHeight="1" s="99">
      <c r="A658" t="inlineStr">
        <is>
          <t>GMBLW1</t>
        </is>
      </c>
      <c r="B658" t="inlineStr">
        <is>
          <t>GMBLW1_GUL00_Bolawalana_Ne</t>
        </is>
      </c>
      <c r="F658" t="n">
        <v>7.20187</v>
      </c>
      <c r="G658" t="n">
        <v>79.8527</v>
      </c>
      <c r="H658" t="inlineStr">
        <is>
          <t>GMBLW1G</t>
        </is>
      </c>
      <c r="K658" t="inlineStr">
        <is>
          <t>S1</t>
        </is>
      </c>
      <c r="L658" t="inlineStr">
        <is>
          <t>4G</t>
        </is>
      </c>
      <c r="M658" t="inlineStr">
        <is>
          <t>1800</t>
        </is>
      </c>
      <c r="N658" t="inlineStr">
        <is>
          <t>AQU4518R9v06</t>
        </is>
      </c>
      <c r="O658" t="n">
        <v>50</v>
      </c>
      <c r="P658" t="n">
        <v>0</v>
      </c>
      <c r="Q658" t="n">
        <v>0</v>
      </c>
      <c r="Y658" t="inlineStr">
        <is>
          <t>4T4R</t>
        </is>
      </c>
      <c r="AB658" t="inlineStr">
        <is>
          <t>R9264H M901821</t>
        </is>
      </c>
      <c r="AC658" t="inlineStr">
        <is>
          <t>A9652 S35*3+R9264H M901821*3+R9254E S8500*2</t>
        </is>
      </c>
    </row>
    <row r="659" hidden="1" ht="15" customHeight="1" s="99">
      <c r="A659" t="inlineStr">
        <is>
          <t>GMBLW1</t>
        </is>
      </c>
      <c r="B659" t="inlineStr"/>
      <c r="F659">
        <f>_xlfn.XLOOKUP(A659,'[1]4G Parameters'!$E:$E,'[1]4G Parameters'!$J:$J)</f>
        <v/>
      </c>
      <c r="G659">
        <f>_xlfn.XLOOKUP(A659,'[1]4G Parameters'!$E:$E,'[1]4G Parameters'!$I:$I)</f>
        <v/>
      </c>
      <c r="H659" t="inlineStr">
        <is>
          <t>GMBLW1B</t>
        </is>
      </c>
      <c r="K659" t="inlineStr">
        <is>
          <t>S2</t>
        </is>
      </c>
      <c r="L659" t="inlineStr">
        <is>
          <t>2G</t>
        </is>
      </c>
      <c r="M659" t="inlineStr">
        <is>
          <t>900</t>
        </is>
      </c>
      <c r="N659" t="inlineStr"/>
      <c r="O659" t="n">
        <v>50</v>
      </c>
      <c r="P659" t="n">
        <v>120</v>
      </c>
      <c r="Q659" t="n">
        <v>2</v>
      </c>
      <c r="Y659" t="inlineStr"/>
      <c r="AB659" t="inlineStr">
        <is>
          <t>R9264H M901821</t>
        </is>
      </c>
      <c r="AC659" t="inlineStr">
        <is>
          <t>A9652 S35*3+R9264H M901821*3+R9254E S8500*2</t>
        </is>
      </c>
    </row>
    <row r="660" hidden="1" ht="15" customHeight="1" s="99">
      <c r="A660" t="inlineStr">
        <is>
          <t>GMBLW1</t>
        </is>
      </c>
      <c r="B660" t="inlineStr"/>
      <c r="F660">
        <f>_xlfn.XLOOKUP(A660,'[1]4G Parameters'!$E:$E,'[1]4G Parameters'!$J:$J)</f>
        <v/>
      </c>
      <c r="G660">
        <f>_xlfn.XLOOKUP(A660,'[1]4G Parameters'!$E:$E,'[1]4G Parameters'!$I:$I)</f>
        <v/>
      </c>
      <c r="H660" t="inlineStr">
        <is>
          <t>GMBLW1Q</t>
        </is>
      </c>
      <c r="K660" t="inlineStr">
        <is>
          <t>S2</t>
        </is>
      </c>
      <c r="L660" t="inlineStr">
        <is>
          <t>2G</t>
        </is>
      </c>
      <c r="M660" t="inlineStr">
        <is>
          <t>1800</t>
        </is>
      </c>
      <c r="N660" t="inlineStr"/>
      <c r="O660" t="n">
        <v>50</v>
      </c>
      <c r="P660" t="n">
        <v>120</v>
      </c>
      <c r="Q660" t="n">
        <v>2</v>
      </c>
      <c r="Y660" t="inlineStr"/>
      <c r="AB660" t="inlineStr">
        <is>
          <t>R9264H M901821</t>
        </is>
      </c>
      <c r="AC660" t="inlineStr">
        <is>
          <t>A9652 S35*3+R9264H M901821*3+R9254E S8500*2</t>
        </is>
      </c>
    </row>
    <row r="661" hidden="1" ht="15" customHeight="1" s="99">
      <c r="A661" t="inlineStr">
        <is>
          <t>GMBLW1</t>
        </is>
      </c>
      <c r="B661" t="inlineStr">
        <is>
          <t>GMBLW1_GUL00_Bolawalana_Ne</t>
        </is>
      </c>
      <c r="F661" t="n">
        <v>7.20187</v>
      </c>
      <c r="G661" t="n">
        <v>79.8527</v>
      </c>
      <c r="H661" t="inlineStr">
        <is>
          <t>GMBLW1-M-L85-B1</t>
        </is>
      </c>
      <c r="K661" t="inlineStr">
        <is>
          <t>S2</t>
        </is>
      </c>
      <c r="L661" t="inlineStr">
        <is>
          <t>4G</t>
        </is>
      </c>
      <c r="M661" t="inlineStr">
        <is>
          <t>850</t>
        </is>
      </c>
      <c r="N661" t="inlineStr">
        <is>
          <t>AQU4518R9v06</t>
        </is>
      </c>
      <c r="O661" t="n">
        <v>50</v>
      </c>
      <c r="P661" t="n">
        <v>120</v>
      </c>
      <c r="Q661" t="n">
        <v>0</v>
      </c>
      <c r="Y661" t="inlineStr">
        <is>
          <t>2T2R</t>
        </is>
      </c>
      <c r="AB661" t="inlineStr">
        <is>
          <t>R9254E S8500</t>
        </is>
      </c>
      <c r="AC661" t="inlineStr">
        <is>
          <t>A9652 S35*3+R9264H M901821*3+R9254E S8500*2</t>
        </is>
      </c>
    </row>
    <row r="662" hidden="1" ht="15" customHeight="1" s="99">
      <c r="A662" t="inlineStr">
        <is>
          <t>GMBLW1</t>
        </is>
      </c>
      <c r="B662" t="inlineStr">
        <is>
          <t>GMBLW1_GUL00_Bolawalana_Ne</t>
        </is>
      </c>
      <c r="F662" t="n">
        <v>7.20187</v>
      </c>
      <c r="G662" t="n">
        <v>79.8527</v>
      </c>
      <c r="H662" t="inlineStr">
        <is>
          <t>GMBLW1-M-L21-B2</t>
        </is>
      </c>
      <c r="K662" t="inlineStr">
        <is>
          <t>S2</t>
        </is>
      </c>
      <c r="L662" t="inlineStr">
        <is>
          <t>4G</t>
        </is>
      </c>
      <c r="M662" t="inlineStr">
        <is>
          <t>2100</t>
        </is>
      </c>
      <c r="N662" t="inlineStr">
        <is>
          <t>AQU4518R9v06</t>
        </is>
      </c>
      <c r="O662" t="n">
        <v>50</v>
      </c>
      <c r="P662" t="n">
        <v>120</v>
      </c>
      <c r="Q662" t="n">
        <v>0</v>
      </c>
      <c r="Y662" t="inlineStr">
        <is>
          <t>2T2R</t>
        </is>
      </c>
      <c r="AB662" t="inlineStr">
        <is>
          <t>R9264H M901821</t>
        </is>
      </c>
      <c r="AC662" t="inlineStr">
        <is>
          <t>A9652 S35*3+R9264H M901821*3+R9254E S8500*2</t>
        </is>
      </c>
    </row>
    <row r="663" hidden="1" ht="15" customHeight="1" s="99">
      <c r="A663" t="inlineStr">
        <is>
          <t>GMBLW1</t>
        </is>
      </c>
      <c r="B663" t="inlineStr">
        <is>
          <t>GMBLW1_GUL00_Bolawalana_Ne</t>
        </is>
      </c>
      <c r="F663" t="n">
        <v>7.20187</v>
      </c>
      <c r="G663" t="n">
        <v>79.8527</v>
      </c>
      <c r="H663" t="inlineStr">
        <is>
          <t>GMBLW1H</t>
        </is>
      </c>
      <c r="K663" t="inlineStr">
        <is>
          <t>S2</t>
        </is>
      </c>
      <c r="L663" t="inlineStr">
        <is>
          <t>4G</t>
        </is>
      </c>
      <c r="M663" t="inlineStr">
        <is>
          <t>1800</t>
        </is>
      </c>
      <c r="N663" t="inlineStr">
        <is>
          <t>AQU4518R9v06</t>
        </is>
      </c>
      <c r="O663" t="n">
        <v>50</v>
      </c>
      <c r="P663" t="n">
        <v>120</v>
      </c>
      <c r="Q663" t="n">
        <v>0</v>
      </c>
      <c r="Y663" t="inlineStr">
        <is>
          <t>4T4R</t>
        </is>
      </c>
      <c r="AB663" t="inlineStr">
        <is>
          <t>R9264H M901821</t>
        </is>
      </c>
      <c r="AC663" t="inlineStr">
        <is>
          <t>A9652 S35*3+R9264H M901821*3+R9254E S8500*2</t>
        </is>
      </c>
    </row>
    <row r="664" hidden="1" ht="15" customHeight="1" s="99">
      <c r="A664" t="inlineStr">
        <is>
          <t>GMBLW1</t>
        </is>
      </c>
      <c r="B664" t="inlineStr"/>
      <c r="F664">
        <f>_xlfn.XLOOKUP(A664,'[1]4G Parameters'!$E:$E,'[1]4G Parameters'!$J:$J)</f>
        <v/>
      </c>
      <c r="G664">
        <f>_xlfn.XLOOKUP(A664,'[1]4G Parameters'!$E:$E,'[1]4G Parameters'!$I:$I)</f>
        <v/>
      </c>
      <c r="H664" t="inlineStr">
        <is>
          <t>GMBLW1C</t>
        </is>
      </c>
      <c r="K664" t="inlineStr">
        <is>
          <t>S3</t>
        </is>
      </c>
      <c r="L664" t="inlineStr">
        <is>
          <t>2G</t>
        </is>
      </c>
      <c r="M664" t="inlineStr">
        <is>
          <t>900</t>
        </is>
      </c>
      <c r="N664" t="inlineStr"/>
      <c r="O664" t="n">
        <v>50</v>
      </c>
      <c r="P664" t="n">
        <v>260</v>
      </c>
      <c r="Q664" t="n">
        <v>2</v>
      </c>
      <c r="Y664" t="inlineStr"/>
      <c r="AB664" t="inlineStr">
        <is>
          <t>R9264H M901821</t>
        </is>
      </c>
      <c r="AC664" t="inlineStr">
        <is>
          <t>A9652 S35*3+R9264H M901821*3+R9254E S8500*2</t>
        </is>
      </c>
    </row>
    <row r="665" hidden="1" ht="15" customHeight="1" s="99">
      <c r="A665" t="inlineStr">
        <is>
          <t>GMBLW1</t>
        </is>
      </c>
      <c r="B665" t="inlineStr"/>
      <c r="F665">
        <f>_xlfn.XLOOKUP(A665,'[1]4G Parameters'!$E:$E,'[1]4G Parameters'!$J:$J)</f>
        <v/>
      </c>
      <c r="G665">
        <f>_xlfn.XLOOKUP(A665,'[1]4G Parameters'!$E:$E,'[1]4G Parameters'!$I:$I)</f>
        <v/>
      </c>
      <c r="H665" t="inlineStr">
        <is>
          <t>GMBLW1R</t>
        </is>
      </c>
      <c r="K665" t="inlineStr">
        <is>
          <t>S3</t>
        </is>
      </c>
      <c r="L665" t="inlineStr">
        <is>
          <t>2G</t>
        </is>
      </c>
      <c r="M665" t="inlineStr">
        <is>
          <t>1800</t>
        </is>
      </c>
      <c r="N665" t="inlineStr"/>
      <c r="O665" t="n">
        <v>50</v>
      </c>
      <c r="P665" t="n">
        <v>260</v>
      </c>
      <c r="Q665" t="n">
        <v>2</v>
      </c>
      <c r="Y665" t="inlineStr"/>
      <c r="AB665" t="inlineStr">
        <is>
          <t>R9264H M901821</t>
        </is>
      </c>
      <c r="AC665" t="inlineStr">
        <is>
          <t>A9652 S35*3+R9264H M901821*3+R9254E S8500*2</t>
        </is>
      </c>
    </row>
    <row r="666" hidden="1" ht="15" customHeight="1" s="99">
      <c r="A666" t="inlineStr">
        <is>
          <t>GMBLW1</t>
        </is>
      </c>
      <c r="B666" t="inlineStr">
        <is>
          <t>GMBLW1_GUL00_Bolawalana_Ne</t>
        </is>
      </c>
      <c r="F666" t="n">
        <v>7.20187</v>
      </c>
      <c r="G666" t="n">
        <v>79.8527</v>
      </c>
      <c r="H666" t="inlineStr">
        <is>
          <t>GMBLW1-M-L85-C1</t>
        </is>
      </c>
      <c r="K666" t="inlineStr">
        <is>
          <t>S3</t>
        </is>
      </c>
      <c r="L666" t="inlineStr">
        <is>
          <t>4G</t>
        </is>
      </c>
      <c r="M666" t="inlineStr">
        <is>
          <t>850</t>
        </is>
      </c>
      <c r="N666" t="inlineStr">
        <is>
          <t>AQU4518R9v06</t>
        </is>
      </c>
      <c r="O666" t="n">
        <v>50</v>
      </c>
      <c r="P666" t="n">
        <v>260</v>
      </c>
      <c r="Q666" t="n">
        <v>0</v>
      </c>
      <c r="Y666" t="inlineStr">
        <is>
          <t>2T2R</t>
        </is>
      </c>
      <c r="AB666" t="inlineStr">
        <is>
          <t>R9254E S8500</t>
        </is>
      </c>
      <c r="AC666" t="inlineStr">
        <is>
          <t>A9652 S35*3+R9264H M901821*3+R9254E S8500*2</t>
        </is>
      </c>
    </row>
    <row r="667" hidden="1" ht="15" customHeight="1" s="99">
      <c r="A667" t="inlineStr">
        <is>
          <t>GMBLW1</t>
        </is>
      </c>
      <c r="B667" t="inlineStr">
        <is>
          <t>GMBLW1_GUL00_Bolawalana_Ne</t>
        </is>
      </c>
      <c r="F667" t="n">
        <v>7.20187</v>
      </c>
      <c r="G667" t="n">
        <v>79.8527</v>
      </c>
      <c r="H667" t="inlineStr">
        <is>
          <t>GMBLW1-M-L21-C2</t>
        </is>
      </c>
      <c r="K667" t="inlineStr">
        <is>
          <t>S3</t>
        </is>
      </c>
      <c r="L667" t="inlineStr">
        <is>
          <t>4G</t>
        </is>
      </c>
      <c r="M667" t="inlineStr">
        <is>
          <t>2100</t>
        </is>
      </c>
      <c r="N667" t="inlineStr">
        <is>
          <t>AQU4518R9v06</t>
        </is>
      </c>
      <c r="O667" t="n">
        <v>50</v>
      </c>
      <c r="P667" t="n">
        <v>260</v>
      </c>
      <c r="Q667" t="n">
        <v>0</v>
      </c>
      <c r="Y667" t="inlineStr">
        <is>
          <t>2T2R</t>
        </is>
      </c>
      <c r="AB667" t="inlineStr">
        <is>
          <t>R9264H M901821</t>
        </is>
      </c>
      <c r="AC667" t="inlineStr">
        <is>
          <t>A9652 S35*3+R9264H M901821*3+R9254E S8500*2</t>
        </is>
      </c>
    </row>
    <row r="668" hidden="1" ht="15" customHeight="1" s="99">
      <c r="A668" t="inlineStr">
        <is>
          <t>GMBLW1</t>
        </is>
      </c>
      <c r="B668" t="inlineStr">
        <is>
          <t>GMBLW1_GUL00_Bolawalana_Ne</t>
        </is>
      </c>
      <c r="F668" t="n">
        <v>7.20187</v>
      </c>
      <c r="G668" t="n">
        <v>79.8527</v>
      </c>
      <c r="H668" t="inlineStr">
        <is>
          <t>GMBLW1I</t>
        </is>
      </c>
      <c r="K668" t="inlineStr">
        <is>
          <t>S3</t>
        </is>
      </c>
      <c r="L668" t="inlineStr">
        <is>
          <t>4G</t>
        </is>
      </c>
      <c r="M668" t="inlineStr">
        <is>
          <t>1800</t>
        </is>
      </c>
      <c r="N668" t="inlineStr">
        <is>
          <t>AQU4518R9v06</t>
        </is>
      </c>
      <c r="O668" t="n">
        <v>50</v>
      </c>
      <c r="P668" t="n">
        <v>260</v>
      </c>
      <c r="Q668" t="n">
        <v>0</v>
      </c>
      <c r="Y668" t="inlineStr">
        <is>
          <t>4T4R</t>
        </is>
      </c>
      <c r="AB668" t="inlineStr">
        <is>
          <t>R9264H M901821</t>
        </is>
      </c>
      <c r="AC668" t="inlineStr">
        <is>
          <t>A9652 S35*3+R9264H M901821*3+R9254E S8500*2</t>
        </is>
      </c>
    </row>
    <row r="669" hidden="1" ht="15" customHeight="1" s="99">
      <c r="A669" t="inlineStr">
        <is>
          <t>GMEMB1</t>
        </is>
      </c>
      <c r="B669" t="inlineStr"/>
      <c r="F669">
        <f>_xlfn.XLOOKUP(A669,'[1]4G Parameters'!$E:$E,'[1]4G Parameters'!$J:$J)</f>
        <v/>
      </c>
      <c r="G669">
        <f>_xlfn.XLOOKUP(A669,'[1]4G Parameters'!$E:$E,'[1]4G Parameters'!$I:$I)</f>
        <v/>
      </c>
      <c r="H669" t="inlineStr">
        <is>
          <t>GMEMB1A</t>
        </is>
      </c>
      <c r="K669" t="inlineStr">
        <is>
          <t>S1</t>
        </is>
      </c>
      <c r="L669" t="inlineStr">
        <is>
          <t>2G</t>
        </is>
      </c>
      <c r="M669" t="inlineStr">
        <is>
          <t>900</t>
        </is>
      </c>
      <c r="N669" t="inlineStr"/>
      <c r="O669" t="n">
        <v>60</v>
      </c>
      <c r="P669" t="n">
        <v>0</v>
      </c>
      <c r="Q669" t="n">
        <v>2</v>
      </c>
      <c r="Y669" t="inlineStr"/>
      <c r="AB669" t="inlineStr">
        <is>
          <t>R9264H M901821</t>
        </is>
      </c>
      <c r="AC669" t="inlineStr">
        <is>
          <t>R9264H M901821*3+R9254E S8500*2</t>
        </is>
      </c>
    </row>
    <row r="670" hidden="1" ht="15" customHeight="1" s="99">
      <c r="A670" t="inlineStr">
        <is>
          <t>GMEMB1</t>
        </is>
      </c>
      <c r="B670" t="inlineStr"/>
      <c r="F670">
        <f>_xlfn.XLOOKUP(A670,'[1]4G Parameters'!$E:$E,'[1]4G Parameters'!$J:$J)</f>
        <v/>
      </c>
      <c r="G670">
        <f>_xlfn.XLOOKUP(A670,'[1]4G Parameters'!$E:$E,'[1]4G Parameters'!$I:$I)</f>
        <v/>
      </c>
      <c r="H670" t="inlineStr">
        <is>
          <t>GMEMB1P</t>
        </is>
      </c>
      <c r="K670" t="inlineStr">
        <is>
          <t>S1</t>
        </is>
      </c>
      <c r="L670" t="inlineStr">
        <is>
          <t>2G</t>
        </is>
      </c>
      <c r="M670" t="inlineStr">
        <is>
          <t>1800</t>
        </is>
      </c>
      <c r="N670" t="inlineStr"/>
      <c r="O670" t="n">
        <v>60</v>
      </c>
      <c r="P670" t="n">
        <v>0</v>
      </c>
      <c r="Q670" t="n">
        <v>2</v>
      </c>
      <c r="Y670" t="inlineStr"/>
      <c r="AB670" t="inlineStr">
        <is>
          <t>R9264H M901821</t>
        </is>
      </c>
      <c r="AC670" t="inlineStr">
        <is>
          <t>R9264H M901821*3+R9254E S8500*2</t>
        </is>
      </c>
    </row>
    <row r="671" hidden="1" ht="15" customHeight="1" s="99">
      <c r="A671" t="inlineStr">
        <is>
          <t>GMEMB1</t>
        </is>
      </c>
      <c r="B671" t="inlineStr">
        <is>
          <t>GMEMB1_GUL00_Embaraluwa_Kd</t>
        </is>
      </c>
      <c r="F671" t="n">
        <v>7.02603</v>
      </c>
      <c r="G671" t="n">
        <v>80.0052</v>
      </c>
      <c r="H671" t="inlineStr">
        <is>
          <t>GMEMB1-M-L85-A1</t>
        </is>
      </c>
      <c r="K671" t="inlineStr">
        <is>
          <t>S1</t>
        </is>
      </c>
      <c r="L671" t="inlineStr">
        <is>
          <t>4G</t>
        </is>
      </c>
      <c r="M671" t="inlineStr">
        <is>
          <t>850</t>
        </is>
      </c>
      <c r="N671" t="inlineStr">
        <is>
          <t>AQU4518R9v06</t>
        </is>
      </c>
      <c r="O671" t="n">
        <v>60</v>
      </c>
      <c r="P671" t="n">
        <v>0</v>
      </c>
      <c r="Q671" t="n">
        <v>0</v>
      </c>
      <c r="Y671" t="inlineStr">
        <is>
          <t>2T2R</t>
        </is>
      </c>
      <c r="AB671" t="inlineStr">
        <is>
          <t>R9254E S8500</t>
        </is>
      </c>
      <c r="AC671" t="inlineStr">
        <is>
          <t>R9264H M901821*3+R9254E S8500*2</t>
        </is>
      </c>
    </row>
    <row r="672" hidden="1" ht="15" customHeight="1" s="99">
      <c r="A672" t="inlineStr">
        <is>
          <t>GMEMB1</t>
        </is>
      </c>
      <c r="B672" t="inlineStr">
        <is>
          <t>GMEMB1_GUL00_Embaraluwa_Kd</t>
        </is>
      </c>
      <c r="F672" t="n">
        <v>7.02603</v>
      </c>
      <c r="G672" t="n">
        <v>80.0052</v>
      </c>
      <c r="H672" t="inlineStr">
        <is>
          <t>GMEMB1-M-L21-A2</t>
        </is>
      </c>
      <c r="K672" t="inlineStr">
        <is>
          <t>S1</t>
        </is>
      </c>
      <c r="L672" t="inlineStr">
        <is>
          <t>4G</t>
        </is>
      </c>
      <c r="M672" t="inlineStr">
        <is>
          <t>2100</t>
        </is>
      </c>
      <c r="N672" t="inlineStr">
        <is>
          <t>AQU4518R9v06</t>
        </is>
      </c>
      <c r="O672" t="n">
        <v>60</v>
      </c>
      <c r="P672" t="n">
        <v>0</v>
      </c>
      <c r="Q672" t="n">
        <v>0</v>
      </c>
      <c r="Y672" t="inlineStr">
        <is>
          <t>2T2R</t>
        </is>
      </c>
      <c r="AB672" t="inlineStr">
        <is>
          <t>R9264H M901821</t>
        </is>
      </c>
      <c r="AC672" t="inlineStr">
        <is>
          <t>R9264H M901821*3+R9254E S8500*2</t>
        </is>
      </c>
    </row>
    <row r="673" hidden="1" ht="15" customHeight="1" s="99">
      <c r="A673" t="inlineStr">
        <is>
          <t>GMEMB1</t>
        </is>
      </c>
      <c r="B673" t="inlineStr">
        <is>
          <t>GMEMB1_GUL00_Embaraluwa_Kd</t>
        </is>
      </c>
      <c r="F673" t="n">
        <v>7.02603</v>
      </c>
      <c r="G673" t="n">
        <v>80.0052</v>
      </c>
      <c r="H673" t="inlineStr">
        <is>
          <t>GMEMB1G</t>
        </is>
      </c>
      <c r="K673" t="inlineStr">
        <is>
          <t>S1</t>
        </is>
      </c>
      <c r="L673" t="inlineStr">
        <is>
          <t>4G</t>
        </is>
      </c>
      <c r="M673" t="inlineStr">
        <is>
          <t>1800</t>
        </is>
      </c>
      <c r="N673" t="inlineStr">
        <is>
          <t>AQU4518R9v06</t>
        </is>
      </c>
      <c r="O673" t="n">
        <v>60</v>
      </c>
      <c r="P673" t="n">
        <v>0</v>
      </c>
      <c r="Q673" t="n">
        <v>0</v>
      </c>
      <c r="Y673" t="inlineStr">
        <is>
          <t>4T4R</t>
        </is>
      </c>
      <c r="AB673" t="inlineStr">
        <is>
          <t>R9264H M901821</t>
        </is>
      </c>
      <c r="AC673" t="inlineStr">
        <is>
          <t>R9264H M901821*3+R9254E S8500*2</t>
        </is>
      </c>
    </row>
    <row r="674" hidden="1" ht="15" customHeight="1" s="99">
      <c r="A674" t="inlineStr">
        <is>
          <t>GMEMB1</t>
        </is>
      </c>
      <c r="B674" t="inlineStr"/>
      <c r="F674">
        <f>_xlfn.XLOOKUP(A674,'[1]4G Parameters'!$E:$E,'[1]4G Parameters'!$J:$J)</f>
        <v/>
      </c>
      <c r="G674">
        <f>_xlfn.XLOOKUP(A674,'[1]4G Parameters'!$E:$E,'[1]4G Parameters'!$I:$I)</f>
        <v/>
      </c>
      <c r="H674" t="inlineStr">
        <is>
          <t>GMEMB1B</t>
        </is>
      </c>
      <c r="K674" t="inlineStr">
        <is>
          <t>S2</t>
        </is>
      </c>
      <c r="L674" t="inlineStr">
        <is>
          <t>2G</t>
        </is>
      </c>
      <c r="M674" t="inlineStr">
        <is>
          <t>900</t>
        </is>
      </c>
      <c r="N674" t="inlineStr"/>
      <c r="O674" t="n">
        <v>60</v>
      </c>
      <c r="P674" t="n">
        <v>120</v>
      </c>
      <c r="Q674" t="n">
        <v>2</v>
      </c>
      <c r="Y674" t="inlineStr"/>
      <c r="AB674" t="inlineStr">
        <is>
          <t>R9264H M901821</t>
        </is>
      </c>
      <c r="AC674" t="inlineStr">
        <is>
          <t>R9264H M901821*3+R9254E S8500*2</t>
        </is>
      </c>
    </row>
    <row r="675" hidden="1" ht="15" customHeight="1" s="99">
      <c r="A675" t="inlineStr">
        <is>
          <t>GMEMB1</t>
        </is>
      </c>
      <c r="B675" t="inlineStr"/>
      <c r="F675">
        <f>_xlfn.XLOOKUP(A675,'[1]4G Parameters'!$E:$E,'[1]4G Parameters'!$J:$J)</f>
        <v/>
      </c>
      <c r="G675">
        <f>_xlfn.XLOOKUP(A675,'[1]4G Parameters'!$E:$E,'[1]4G Parameters'!$I:$I)</f>
        <v/>
      </c>
      <c r="H675" t="inlineStr">
        <is>
          <t>GMEMB1Q</t>
        </is>
      </c>
      <c r="K675" t="inlineStr">
        <is>
          <t>S2</t>
        </is>
      </c>
      <c r="L675" t="inlineStr">
        <is>
          <t>2G</t>
        </is>
      </c>
      <c r="M675" t="inlineStr">
        <is>
          <t>1800</t>
        </is>
      </c>
      <c r="N675" t="inlineStr"/>
      <c r="O675" t="n">
        <v>60</v>
      </c>
      <c r="P675" t="n">
        <v>120</v>
      </c>
      <c r="Q675" t="n">
        <v>2</v>
      </c>
      <c r="Y675" t="inlineStr"/>
      <c r="AB675" t="inlineStr">
        <is>
          <t>R9264H M901821</t>
        </is>
      </c>
      <c r="AC675" t="inlineStr">
        <is>
          <t>R9264H M901821*3+R9254E S8500*2</t>
        </is>
      </c>
    </row>
    <row r="676" hidden="1" ht="15" customHeight="1" s="99">
      <c r="A676" t="inlineStr">
        <is>
          <t>GMEMB1</t>
        </is>
      </c>
      <c r="B676" t="inlineStr">
        <is>
          <t>GMEMB1_GUL00_Embaraluwa_Kd</t>
        </is>
      </c>
      <c r="F676" t="n">
        <v>7.02603</v>
      </c>
      <c r="G676" t="n">
        <v>80.0052</v>
      </c>
      <c r="H676" t="inlineStr">
        <is>
          <t>GMEMB1-M-L85-B1</t>
        </is>
      </c>
      <c r="K676" t="inlineStr">
        <is>
          <t>S2</t>
        </is>
      </c>
      <c r="L676" t="inlineStr">
        <is>
          <t>4G</t>
        </is>
      </c>
      <c r="M676" t="inlineStr">
        <is>
          <t>850</t>
        </is>
      </c>
      <c r="N676" t="inlineStr">
        <is>
          <t>AQU4518R9v06</t>
        </is>
      </c>
      <c r="O676" t="n">
        <v>60</v>
      </c>
      <c r="P676" t="n">
        <v>120</v>
      </c>
      <c r="Q676" t="n">
        <v>0</v>
      </c>
      <c r="Y676" t="inlineStr">
        <is>
          <t>2T2R</t>
        </is>
      </c>
      <c r="AB676" t="inlineStr">
        <is>
          <t>R9254E S8500</t>
        </is>
      </c>
      <c r="AC676" t="inlineStr">
        <is>
          <t>R9264H M901821*3+R9254E S8500*2</t>
        </is>
      </c>
    </row>
    <row r="677" hidden="1" ht="15" customHeight="1" s="99">
      <c r="A677" t="inlineStr">
        <is>
          <t>GMEMB1</t>
        </is>
      </c>
      <c r="B677" t="inlineStr">
        <is>
          <t>GMEMB1_GUL00_Embaraluwa_Kd</t>
        </is>
      </c>
      <c r="F677" t="n">
        <v>7.02603</v>
      </c>
      <c r="G677" t="n">
        <v>80.0052</v>
      </c>
      <c r="H677" t="inlineStr">
        <is>
          <t>GMEMB1-M-L21-B2</t>
        </is>
      </c>
      <c r="K677" t="inlineStr">
        <is>
          <t>S2</t>
        </is>
      </c>
      <c r="L677" t="inlineStr">
        <is>
          <t>4G</t>
        </is>
      </c>
      <c r="M677" t="inlineStr">
        <is>
          <t>2100</t>
        </is>
      </c>
      <c r="N677" t="inlineStr">
        <is>
          <t>AQU4518R9v06</t>
        </is>
      </c>
      <c r="O677" t="n">
        <v>60</v>
      </c>
      <c r="P677" t="n">
        <v>120</v>
      </c>
      <c r="Q677" t="n">
        <v>0</v>
      </c>
      <c r="Y677" t="inlineStr">
        <is>
          <t>2T2R</t>
        </is>
      </c>
      <c r="AB677" t="inlineStr">
        <is>
          <t>R9264H M901821</t>
        </is>
      </c>
      <c r="AC677" t="inlineStr">
        <is>
          <t>R9264H M901821*3+R9254E S8500*2</t>
        </is>
      </c>
    </row>
    <row r="678" hidden="1" ht="15" customHeight="1" s="99">
      <c r="A678" t="inlineStr">
        <is>
          <t>GMEMB1</t>
        </is>
      </c>
      <c r="B678" t="inlineStr">
        <is>
          <t>GMEMB1_GUL00_Embaraluwa_Kd</t>
        </is>
      </c>
      <c r="F678" t="n">
        <v>7.02603</v>
      </c>
      <c r="G678" t="n">
        <v>80.0052</v>
      </c>
      <c r="H678" t="inlineStr">
        <is>
          <t>GMEMB1H</t>
        </is>
      </c>
      <c r="K678" t="inlineStr">
        <is>
          <t>S2</t>
        </is>
      </c>
      <c r="L678" t="inlineStr">
        <is>
          <t>4G</t>
        </is>
      </c>
      <c r="M678" t="inlineStr">
        <is>
          <t>1800</t>
        </is>
      </c>
      <c r="N678" t="inlineStr">
        <is>
          <t>AQU4518R9v06</t>
        </is>
      </c>
      <c r="O678" t="n">
        <v>60</v>
      </c>
      <c r="P678" t="n">
        <v>120</v>
      </c>
      <c r="Q678" t="n">
        <v>0</v>
      </c>
      <c r="Y678" t="inlineStr">
        <is>
          <t>4T4R</t>
        </is>
      </c>
      <c r="AB678" t="inlineStr">
        <is>
          <t>R9264H M901821</t>
        </is>
      </c>
      <c r="AC678" t="inlineStr">
        <is>
          <t>R9264H M901821*3+R9254E S8500*2</t>
        </is>
      </c>
    </row>
    <row r="679" hidden="1" ht="15" customHeight="1" s="99">
      <c r="A679" t="inlineStr">
        <is>
          <t>GMEMB1</t>
        </is>
      </c>
      <c r="B679" t="inlineStr"/>
      <c r="F679">
        <f>_xlfn.XLOOKUP(A679,'[1]4G Parameters'!$E:$E,'[1]4G Parameters'!$J:$J)</f>
        <v/>
      </c>
      <c r="G679">
        <f>_xlfn.XLOOKUP(A679,'[1]4G Parameters'!$E:$E,'[1]4G Parameters'!$I:$I)</f>
        <v/>
      </c>
      <c r="H679" t="inlineStr">
        <is>
          <t>GMEMB1C</t>
        </is>
      </c>
      <c r="K679" t="inlineStr">
        <is>
          <t>S3</t>
        </is>
      </c>
      <c r="L679" t="inlineStr">
        <is>
          <t>2G</t>
        </is>
      </c>
      <c r="M679" t="inlineStr">
        <is>
          <t>900</t>
        </is>
      </c>
      <c r="N679" t="inlineStr"/>
      <c r="O679" t="n">
        <v>60</v>
      </c>
      <c r="P679" t="n">
        <v>240</v>
      </c>
      <c r="Q679" t="n">
        <v>2</v>
      </c>
      <c r="Y679" t="inlineStr"/>
      <c r="AB679" t="inlineStr">
        <is>
          <t>R9264H M901821</t>
        </is>
      </c>
      <c r="AC679" t="inlineStr">
        <is>
          <t>R9264H M901821*3+R9254E S8500*2</t>
        </is>
      </c>
    </row>
    <row r="680" hidden="1" ht="15" customHeight="1" s="99">
      <c r="A680" t="inlineStr">
        <is>
          <t>GMEMB1</t>
        </is>
      </c>
      <c r="B680" t="inlineStr"/>
      <c r="F680">
        <f>_xlfn.XLOOKUP(A680,'[1]4G Parameters'!$E:$E,'[1]4G Parameters'!$J:$J)</f>
        <v/>
      </c>
      <c r="G680">
        <f>_xlfn.XLOOKUP(A680,'[1]4G Parameters'!$E:$E,'[1]4G Parameters'!$I:$I)</f>
        <v/>
      </c>
      <c r="H680" t="inlineStr">
        <is>
          <t>GMEMB1R</t>
        </is>
      </c>
      <c r="K680" t="inlineStr">
        <is>
          <t>S3</t>
        </is>
      </c>
      <c r="L680" t="inlineStr">
        <is>
          <t>2G</t>
        </is>
      </c>
      <c r="M680" t="inlineStr">
        <is>
          <t>1800</t>
        </is>
      </c>
      <c r="N680" t="inlineStr"/>
      <c r="O680" t="n">
        <v>60</v>
      </c>
      <c r="P680" t="n">
        <v>240</v>
      </c>
      <c r="Q680" t="n">
        <v>2</v>
      </c>
      <c r="Y680" t="inlineStr"/>
      <c r="AB680" t="inlineStr">
        <is>
          <t>R9264H M901821</t>
        </is>
      </c>
      <c r="AC680" t="inlineStr">
        <is>
          <t>R9264H M901821*3+R9254E S8500*2</t>
        </is>
      </c>
    </row>
    <row r="681" hidden="1" ht="15" customHeight="1" s="99">
      <c r="A681" t="inlineStr">
        <is>
          <t>GMEMB1</t>
        </is>
      </c>
      <c r="B681" t="inlineStr">
        <is>
          <t>GMEMB1_GUL00_Embaraluwa_Kd</t>
        </is>
      </c>
      <c r="F681" t="n">
        <v>7.02603</v>
      </c>
      <c r="G681" t="n">
        <v>80.0052</v>
      </c>
      <c r="H681" t="inlineStr">
        <is>
          <t>GMEMB1-M-L85-C1</t>
        </is>
      </c>
      <c r="K681" t="inlineStr">
        <is>
          <t>S3</t>
        </is>
      </c>
      <c r="L681" t="inlineStr">
        <is>
          <t>4G</t>
        </is>
      </c>
      <c r="M681" t="inlineStr">
        <is>
          <t>850</t>
        </is>
      </c>
      <c r="N681" t="inlineStr">
        <is>
          <t>AQU4518R9v06</t>
        </is>
      </c>
      <c r="O681" t="n">
        <v>60</v>
      </c>
      <c r="P681" t="n">
        <v>240</v>
      </c>
      <c r="Q681" t="n">
        <v>0</v>
      </c>
      <c r="Y681" t="inlineStr">
        <is>
          <t>2T2R</t>
        </is>
      </c>
      <c r="AB681" t="inlineStr">
        <is>
          <t>R9254E S8500</t>
        </is>
      </c>
      <c r="AC681" t="inlineStr">
        <is>
          <t>R9264H M901821*3+R9254E S8500*2</t>
        </is>
      </c>
    </row>
    <row r="682" hidden="1" ht="15" customHeight="1" s="99">
      <c r="A682" t="inlineStr">
        <is>
          <t>GMEMB1</t>
        </is>
      </c>
      <c r="B682" t="inlineStr">
        <is>
          <t>GMEMB1_GUL00_Embaraluwa_Kd</t>
        </is>
      </c>
      <c r="F682" t="n">
        <v>7.02603</v>
      </c>
      <c r="G682" t="n">
        <v>80.0052</v>
      </c>
      <c r="H682" t="inlineStr">
        <is>
          <t>GMEMB1-M-L21-C2</t>
        </is>
      </c>
      <c r="K682" t="inlineStr">
        <is>
          <t>S3</t>
        </is>
      </c>
      <c r="L682" t="inlineStr">
        <is>
          <t>4G</t>
        </is>
      </c>
      <c r="M682" t="inlineStr">
        <is>
          <t>2100</t>
        </is>
      </c>
      <c r="N682" t="inlineStr">
        <is>
          <t>AQU4518R9v06</t>
        </is>
      </c>
      <c r="O682" t="n">
        <v>60</v>
      </c>
      <c r="P682" t="n">
        <v>240</v>
      </c>
      <c r="Q682" t="n">
        <v>0</v>
      </c>
      <c r="Y682" t="inlineStr">
        <is>
          <t>2T2R</t>
        </is>
      </c>
      <c r="AB682" t="inlineStr">
        <is>
          <t>R9264H M901821</t>
        </is>
      </c>
      <c r="AC682" t="inlineStr">
        <is>
          <t>R9264H M901821*3+R9254E S8500*2</t>
        </is>
      </c>
    </row>
    <row r="683" hidden="1" ht="15" customHeight="1" s="99">
      <c r="A683" t="inlineStr">
        <is>
          <t>GMEMB1</t>
        </is>
      </c>
      <c r="B683" t="inlineStr">
        <is>
          <t>GMEMB1_GUL00_Embaraluwa_Kd</t>
        </is>
      </c>
      <c r="F683" t="n">
        <v>7.02603</v>
      </c>
      <c r="G683" t="n">
        <v>80.0052</v>
      </c>
      <c r="H683" t="inlineStr">
        <is>
          <t>GMEMB1I</t>
        </is>
      </c>
      <c r="K683" t="inlineStr">
        <is>
          <t>S3</t>
        </is>
      </c>
      <c r="L683" t="inlineStr">
        <is>
          <t>4G</t>
        </is>
      </c>
      <c r="M683" t="inlineStr">
        <is>
          <t>1800</t>
        </is>
      </c>
      <c r="N683" t="inlineStr">
        <is>
          <t>AQU4518R9v06</t>
        </is>
      </c>
      <c r="O683" t="n">
        <v>60</v>
      </c>
      <c r="P683" t="n">
        <v>240</v>
      </c>
      <c r="Q683" t="n">
        <v>0</v>
      </c>
      <c r="Y683" t="inlineStr">
        <is>
          <t>4T4R</t>
        </is>
      </c>
      <c r="AB683" t="inlineStr">
        <is>
          <t>R9264H M901821</t>
        </is>
      </c>
      <c r="AC683" t="inlineStr">
        <is>
          <t>R9264H M901821*3+R9254E S8500*2</t>
        </is>
      </c>
    </row>
    <row r="684" hidden="1" ht="15" customHeight="1" s="99">
      <c r="A684" t="inlineStr">
        <is>
          <t>GMKIR1</t>
        </is>
      </c>
      <c r="B684" t="inlineStr"/>
      <c r="F684">
        <f>_xlfn.XLOOKUP(A684,'[1]4G Parameters'!$E:$E,'[1]4G Parameters'!$J:$J)</f>
        <v/>
      </c>
      <c r="G684">
        <f>_xlfn.XLOOKUP(A684,'[1]4G Parameters'!$E:$E,'[1]4G Parameters'!$I:$I)</f>
        <v/>
      </c>
      <c r="H684" t="inlineStr">
        <is>
          <t>GMKIR1A</t>
        </is>
      </c>
      <c r="K684" t="inlineStr">
        <is>
          <t>S1</t>
        </is>
      </c>
      <c r="L684" t="inlineStr">
        <is>
          <t>2G</t>
        </is>
      </c>
      <c r="M684" t="inlineStr">
        <is>
          <t>900</t>
        </is>
      </c>
      <c r="N684" t="inlineStr"/>
      <c r="O684" t="n">
        <v>40</v>
      </c>
      <c r="P684" t="n">
        <v>30</v>
      </c>
      <c r="Q684" t="n">
        <v>2</v>
      </c>
      <c r="Y684" t="inlineStr"/>
      <c r="AB684" t="inlineStr">
        <is>
          <t>R9264H M901821</t>
        </is>
      </c>
      <c r="AC684" t="inlineStr">
        <is>
          <t>A9652 S35*3+R9264H M901821*3+R9254E S8500*2+R9264 M1821N*1</t>
        </is>
      </c>
    </row>
    <row r="685" hidden="1" ht="15" customHeight="1" s="99">
      <c r="A685" t="inlineStr">
        <is>
          <t>GMKIR1</t>
        </is>
      </c>
      <c r="B685" t="inlineStr"/>
      <c r="D685" t="inlineStr">
        <is>
          <t>无2100</t>
        </is>
      </c>
      <c r="F685">
        <f>_xlfn.XLOOKUP(A685,'[1]4G Parameters'!$E:$E,'[1]4G Parameters'!$J:$J)</f>
        <v/>
      </c>
      <c r="G685">
        <f>_xlfn.XLOOKUP(A685,'[1]4G Parameters'!$E:$E,'[1]4G Parameters'!$I:$I)</f>
        <v/>
      </c>
      <c r="H685" t="inlineStr">
        <is>
          <t>GMKIR1P</t>
        </is>
      </c>
      <c r="K685" t="inlineStr">
        <is>
          <t>S1</t>
        </is>
      </c>
      <c r="L685" t="inlineStr">
        <is>
          <t>2G</t>
        </is>
      </c>
      <c r="M685" t="inlineStr">
        <is>
          <t>1800</t>
        </is>
      </c>
      <c r="N685" t="inlineStr"/>
      <c r="O685" t="n">
        <v>40</v>
      </c>
      <c r="P685" t="n">
        <v>30</v>
      </c>
      <c r="Q685" t="n">
        <v>2</v>
      </c>
      <c r="Y685" t="inlineStr"/>
      <c r="AB685" t="inlineStr">
        <is>
          <t>R9264H M901821</t>
        </is>
      </c>
      <c r="AC685" t="inlineStr">
        <is>
          <t>A9652 S35*3+R9264H M901821*3+R9254E S8500*2+R9264 M1821N*1</t>
        </is>
      </c>
    </row>
    <row r="686" hidden="1" ht="15" customHeight="1" s="99">
      <c r="A686" t="inlineStr">
        <is>
          <t>GMKIR1</t>
        </is>
      </c>
      <c r="B686" t="inlineStr">
        <is>
          <t>GMKIR1_GUL00_Kirillawela_Kd</t>
        </is>
      </c>
      <c r="F686" t="n">
        <v>7.0314</v>
      </c>
      <c r="G686" t="n">
        <v>79.9872</v>
      </c>
      <c r="H686" t="inlineStr">
        <is>
          <t>GMKIR1-M-L85-A1</t>
        </is>
      </c>
      <c r="K686" t="inlineStr">
        <is>
          <t>S1</t>
        </is>
      </c>
      <c r="L686" t="inlineStr">
        <is>
          <t>4G</t>
        </is>
      </c>
      <c r="M686" t="inlineStr">
        <is>
          <t>850</t>
        </is>
      </c>
      <c r="N686" t="inlineStr">
        <is>
          <t>AQU4518R9v06</t>
        </is>
      </c>
      <c r="O686" t="n">
        <v>50</v>
      </c>
      <c r="P686" t="n">
        <v>30</v>
      </c>
      <c r="Q686" t="n">
        <v>0</v>
      </c>
      <c r="Y686" t="inlineStr">
        <is>
          <t>2T2R</t>
        </is>
      </c>
      <c r="AB686" t="inlineStr">
        <is>
          <t>R9254E S8500</t>
        </is>
      </c>
      <c r="AC686" t="inlineStr">
        <is>
          <t>A9652 S35*3+R9264H M901821*3+R9254E S8500*2+R9264 M1821N*1</t>
        </is>
      </c>
    </row>
    <row r="687" hidden="1" ht="15" customHeight="1" s="99">
      <c r="A687" t="inlineStr">
        <is>
          <t>GMKIR1</t>
        </is>
      </c>
      <c r="B687" t="inlineStr">
        <is>
          <t>GMKIR1_GUL00_Kirillawela_Kd</t>
        </is>
      </c>
      <c r="D687" t="inlineStr">
        <is>
          <t>无2100</t>
        </is>
      </c>
      <c r="F687" t="n">
        <v>7.0314</v>
      </c>
      <c r="G687" t="n">
        <v>79.9872</v>
      </c>
      <c r="H687" t="inlineStr">
        <is>
          <t>GMKIR1-M-L18-A1</t>
        </is>
      </c>
      <c r="K687" t="inlineStr">
        <is>
          <t>S1</t>
        </is>
      </c>
      <c r="L687" t="inlineStr">
        <is>
          <t>4G</t>
        </is>
      </c>
      <c r="M687" t="inlineStr">
        <is>
          <t>1800</t>
        </is>
      </c>
      <c r="N687" t="inlineStr">
        <is>
          <t>AQU4518R9v06</t>
        </is>
      </c>
      <c r="O687" t="n">
        <v>50</v>
      </c>
      <c r="P687" t="n">
        <v>30</v>
      </c>
      <c r="Q687" t="n">
        <v>0</v>
      </c>
      <c r="Y687" t="inlineStr">
        <is>
          <t>2T2R</t>
        </is>
      </c>
      <c r="AB687" t="inlineStr">
        <is>
          <t>R9264H M901821</t>
        </is>
      </c>
      <c r="AC687" t="inlineStr">
        <is>
          <t>A9652 S35*3+R9264H M901821*3+R9254E S8500*2+R9264 M1821N*1</t>
        </is>
      </c>
    </row>
    <row r="688" hidden="1" ht="15" customHeight="1" s="99">
      <c r="A688" t="inlineStr">
        <is>
          <t>GMKIR1</t>
        </is>
      </c>
      <c r="B688" t="inlineStr">
        <is>
          <t>GMKIR1_GUL00_Kirillawela_Kd</t>
        </is>
      </c>
      <c r="D688" t="inlineStr">
        <is>
          <t>无2100，拉远？缺S1800单频</t>
        </is>
      </c>
      <c r="F688" t="n">
        <v>7.0314</v>
      </c>
      <c r="G688" t="n">
        <v>79.9872</v>
      </c>
      <c r="H688" t="inlineStr">
        <is>
          <t>GMKIR1G</t>
        </is>
      </c>
      <c r="K688" t="inlineStr">
        <is>
          <t>S1</t>
        </is>
      </c>
      <c r="L688" t="inlineStr">
        <is>
          <t>4G</t>
        </is>
      </c>
      <c r="M688" t="inlineStr">
        <is>
          <t>1800</t>
        </is>
      </c>
      <c r="N688" t="inlineStr">
        <is>
          <t>AQU4518R9v06</t>
        </is>
      </c>
      <c r="O688" t="n">
        <v>50</v>
      </c>
      <c r="P688" t="n">
        <v>30</v>
      </c>
      <c r="Q688" t="n">
        <v>0</v>
      </c>
      <c r="Y688" t="inlineStr">
        <is>
          <t>2T2R</t>
        </is>
      </c>
      <c r="AB688" t="inlineStr">
        <is>
          <t>？</t>
        </is>
      </c>
      <c r="AC688" t="inlineStr">
        <is>
          <t>A9652 S35*3+R9264H M901821*3+R9254E S8500*2+R9264 M1821N*1</t>
        </is>
      </c>
    </row>
    <row r="689" hidden="1" ht="15" customHeight="1" s="99">
      <c r="A689" t="inlineStr">
        <is>
          <t>GMKIR1</t>
        </is>
      </c>
      <c r="B689" t="inlineStr"/>
      <c r="F689">
        <f>_xlfn.XLOOKUP(A689,'[1]4G Parameters'!$E:$E,'[1]4G Parameters'!$J:$J)</f>
        <v/>
      </c>
      <c r="G689">
        <f>_xlfn.XLOOKUP(A689,'[1]4G Parameters'!$E:$E,'[1]4G Parameters'!$I:$I)</f>
        <v/>
      </c>
      <c r="H689" t="inlineStr">
        <is>
          <t>GMKIR1B</t>
        </is>
      </c>
      <c r="K689" t="inlineStr">
        <is>
          <t>S2</t>
        </is>
      </c>
      <c r="L689" t="inlineStr">
        <is>
          <t>2G</t>
        </is>
      </c>
      <c r="M689" t="inlineStr">
        <is>
          <t>900</t>
        </is>
      </c>
      <c r="N689" t="inlineStr"/>
      <c r="O689" t="n">
        <v>40</v>
      </c>
      <c r="P689" t="n">
        <v>120</v>
      </c>
      <c r="Q689" t="n">
        <v>2</v>
      </c>
      <c r="Y689" t="inlineStr"/>
      <c r="AB689" t="inlineStr">
        <is>
          <t>R9264H M901821</t>
        </is>
      </c>
      <c r="AC689" t="inlineStr">
        <is>
          <t>A9652 S35*3+R9264H M901821*3+R9254E S8500*2+R9264 M1821N*1</t>
        </is>
      </c>
    </row>
    <row r="690" hidden="1" ht="15" customHeight="1" s="99">
      <c r="A690" t="inlineStr">
        <is>
          <t>GMKIR1</t>
        </is>
      </c>
      <c r="B690" t="inlineStr"/>
      <c r="F690">
        <f>_xlfn.XLOOKUP(A690,'[1]4G Parameters'!$E:$E,'[1]4G Parameters'!$J:$J)</f>
        <v/>
      </c>
      <c r="G690">
        <f>_xlfn.XLOOKUP(A690,'[1]4G Parameters'!$E:$E,'[1]4G Parameters'!$I:$I)</f>
        <v/>
      </c>
      <c r="H690" t="inlineStr">
        <is>
          <t>GMKIR1Q</t>
        </is>
      </c>
      <c r="K690" t="inlineStr">
        <is>
          <t>S2</t>
        </is>
      </c>
      <c r="L690" t="inlineStr">
        <is>
          <t>2G</t>
        </is>
      </c>
      <c r="M690" t="inlineStr">
        <is>
          <t>1800</t>
        </is>
      </c>
      <c r="N690" t="inlineStr"/>
      <c r="O690" t="n">
        <v>40</v>
      </c>
      <c r="P690" t="n">
        <v>120</v>
      </c>
      <c r="Q690" t="n">
        <v>2</v>
      </c>
      <c r="Y690" t="inlineStr"/>
      <c r="AB690" t="inlineStr">
        <is>
          <t>R9264H M901821</t>
        </is>
      </c>
      <c r="AC690" t="inlineStr">
        <is>
          <t>A9652 S35*3+R9264H M901821*3+R9254E S8500*2+R9264 M1821N*1</t>
        </is>
      </c>
    </row>
    <row r="691" hidden="1" ht="15" customHeight="1" s="99">
      <c r="A691" t="inlineStr">
        <is>
          <t>GMKIR1</t>
        </is>
      </c>
      <c r="B691" t="inlineStr">
        <is>
          <t>GMKIR1_GUL00_Kirillawela_Kd</t>
        </is>
      </c>
      <c r="F691" t="n">
        <v>7.0314</v>
      </c>
      <c r="G691" t="n">
        <v>79.9872</v>
      </c>
      <c r="H691" t="inlineStr">
        <is>
          <t>GMKIR1-M-L85-B1</t>
        </is>
      </c>
      <c r="K691" t="inlineStr">
        <is>
          <t>S2</t>
        </is>
      </c>
      <c r="L691" t="inlineStr">
        <is>
          <t>4G</t>
        </is>
      </c>
      <c r="M691" t="inlineStr">
        <is>
          <t>850</t>
        </is>
      </c>
      <c r="N691" t="inlineStr">
        <is>
          <t>AQU4518R9v06</t>
        </is>
      </c>
      <c r="O691" t="n">
        <v>50</v>
      </c>
      <c r="P691" t="n">
        <v>120</v>
      </c>
      <c r="Q691" t="n">
        <v>0</v>
      </c>
      <c r="Y691" t="inlineStr">
        <is>
          <t>2T2R</t>
        </is>
      </c>
      <c r="AB691" t="inlineStr">
        <is>
          <t>R9254E S8500</t>
        </is>
      </c>
      <c r="AC691" t="inlineStr">
        <is>
          <t>A9652 S35*3+R9264H M901821*3+R9254E S8500*2+R9264 M1821N*1</t>
        </is>
      </c>
    </row>
    <row r="692" hidden="1" ht="15" customHeight="1" s="99">
      <c r="A692" t="inlineStr">
        <is>
          <t>GMKIR1</t>
        </is>
      </c>
      <c r="B692" t="inlineStr">
        <is>
          <t>GMKIR1_GUL00_Kirillawela_Kd</t>
        </is>
      </c>
      <c r="F692" t="n">
        <v>7.0314</v>
      </c>
      <c r="G692" t="n">
        <v>79.9872</v>
      </c>
      <c r="H692" t="inlineStr">
        <is>
          <t>GMKIR1-M-L21-B2</t>
        </is>
      </c>
      <c r="K692" t="inlineStr">
        <is>
          <t>S2</t>
        </is>
      </c>
      <c r="L692" t="inlineStr">
        <is>
          <t>4G</t>
        </is>
      </c>
      <c r="M692" t="inlineStr">
        <is>
          <t>2100</t>
        </is>
      </c>
      <c r="N692" t="inlineStr">
        <is>
          <t>AQU4518R9v06</t>
        </is>
      </c>
      <c r="O692" t="n">
        <v>50</v>
      </c>
      <c r="P692" t="n">
        <v>120</v>
      </c>
      <c r="Q692" t="n">
        <v>0</v>
      </c>
      <c r="Y692" t="inlineStr">
        <is>
          <t>2T2R</t>
        </is>
      </c>
      <c r="AB692" t="inlineStr">
        <is>
          <t>R9264H M901821</t>
        </is>
      </c>
      <c r="AC692" t="inlineStr">
        <is>
          <t>A9652 S35*3+R9264H M901821*3+R9254E S8500*2+R9264 M1821N*1</t>
        </is>
      </c>
    </row>
    <row r="693" hidden="1" ht="15" customHeight="1" s="99">
      <c r="A693" t="inlineStr">
        <is>
          <t>GMKIR1</t>
        </is>
      </c>
      <c r="B693" t="inlineStr">
        <is>
          <t>GMKIR1_GUL00_Kirillawela_Kd</t>
        </is>
      </c>
      <c r="F693" t="n">
        <v>7.0314</v>
      </c>
      <c r="G693" t="n">
        <v>79.9872</v>
      </c>
      <c r="H693" t="inlineStr">
        <is>
          <t>GMKIR1H</t>
        </is>
      </c>
      <c r="K693" t="inlineStr">
        <is>
          <t>S2</t>
        </is>
      </c>
      <c r="L693" t="inlineStr">
        <is>
          <t>4G</t>
        </is>
      </c>
      <c r="M693" t="inlineStr">
        <is>
          <t>1800</t>
        </is>
      </c>
      <c r="N693" t="inlineStr">
        <is>
          <t>AQU4518R9v06</t>
        </is>
      </c>
      <c r="O693" t="n">
        <v>50</v>
      </c>
      <c r="P693" t="n">
        <v>120</v>
      </c>
      <c r="Q693" t="n">
        <v>0</v>
      </c>
      <c r="Y693" t="inlineStr">
        <is>
          <t>4T4R</t>
        </is>
      </c>
      <c r="AB693" t="inlineStr">
        <is>
          <t>R9264H M901821</t>
        </is>
      </c>
      <c r="AC693" t="inlineStr">
        <is>
          <t>A9652 S35*3+R9264H M901821*3+R9254E S8500*2+R9264 M1821N*1</t>
        </is>
      </c>
    </row>
    <row r="694" hidden="1" ht="15" customHeight="1" s="99">
      <c r="A694" t="inlineStr">
        <is>
          <t>GMKIR1</t>
        </is>
      </c>
      <c r="B694" t="inlineStr"/>
      <c r="F694">
        <f>_xlfn.XLOOKUP(A694,'[1]4G Parameters'!$E:$E,'[1]4G Parameters'!$J:$J)</f>
        <v/>
      </c>
      <c r="G694">
        <f>_xlfn.XLOOKUP(A694,'[1]4G Parameters'!$E:$E,'[1]4G Parameters'!$I:$I)</f>
        <v/>
      </c>
      <c r="H694" t="inlineStr">
        <is>
          <t>GMKIR1C</t>
        </is>
      </c>
      <c r="K694" t="inlineStr">
        <is>
          <t>S3</t>
        </is>
      </c>
      <c r="L694" t="inlineStr">
        <is>
          <t>2G</t>
        </is>
      </c>
      <c r="M694" t="inlineStr">
        <is>
          <t>900</t>
        </is>
      </c>
      <c r="N694" t="inlineStr"/>
      <c r="O694" t="n">
        <v>40</v>
      </c>
      <c r="P694" t="n">
        <v>240</v>
      </c>
      <c r="Q694" t="n">
        <v>2</v>
      </c>
      <c r="Y694" t="inlineStr"/>
      <c r="AB694" t="inlineStr">
        <is>
          <t>R9264H M901821</t>
        </is>
      </c>
      <c r="AC694" t="inlineStr">
        <is>
          <t>A9652 S35*3+R9264H M901821*3+R9254E S8500*2+R9264 M1821N*1</t>
        </is>
      </c>
    </row>
    <row r="695" hidden="1" ht="15" customHeight="1" s="99">
      <c r="A695" t="inlineStr">
        <is>
          <t>GMKIR1</t>
        </is>
      </c>
      <c r="B695" t="inlineStr"/>
      <c r="F695">
        <f>_xlfn.XLOOKUP(A695,'[1]4G Parameters'!$E:$E,'[1]4G Parameters'!$J:$J)</f>
        <v/>
      </c>
      <c r="G695">
        <f>_xlfn.XLOOKUP(A695,'[1]4G Parameters'!$E:$E,'[1]4G Parameters'!$I:$I)</f>
        <v/>
      </c>
      <c r="H695" t="inlineStr">
        <is>
          <t>GMKIR13</t>
        </is>
      </c>
      <c r="K695" t="inlineStr">
        <is>
          <t>S3</t>
        </is>
      </c>
      <c r="L695" t="inlineStr">
        <is>
          <t>2G</t>
        </is>
      </c>
      <c r="M695" t="inlineStr">
        <is>
          <t>1800</t>
        </is>
      </c>
      <c r="N695" t="inlineStr"/>
      <c r="O695" t="n">
        <v>40</v>
      </c>
      <c r="P695" t="n">
        <v>240</v>
      </c>
      <c r="Q695" t="n">
        <v>2</v>
      </c>
      <c r="Y695" t="inlineStr"/>
      <c r="AB695" t="inlineStr">
        <is>
          <t>R9264 M1821N</t>
        </is>
      </c>
      <c r="AC695" t="inlineStr">
        <is>
          <t>A9652 S35*3+R9264H M901821*3+R9254E S8500*2+R9264 M1821N*1</t>
        </is>
      </c>
    </row>
    <row r="696" hidden="1" ht="15" customHeight="1" s="99">
      <c r="A696" t="inlineStr">
        <is>
          <t>GMKIR1</t>
        </is>
      </c>
      <c r="B696" t="inlineStr"/>
      <c r="F696">
        <f>_xlfn.XLOOKUP(A696,'[1]4G Parameters'!$E:$E,'[1]4G Parameters'!$J:$J)</f>
        <v/>
      </c>
      <c r="G696">
        <f>_xlfn.XLOOKUP(A696,'[1]4G Parameters'!$E:$E,'[1]4G Parameters'!$I:$I)</f>
        <v/>
      </c>
      <c r="H696" t="inlineStr">
        <is>
          <t>GMKIR1R</t>
        </is>
      </c>
      <c r="K696" t="inlineStr">
        <is>
          <t>S3</t>
        </is>
      </c>
      <c r="L696" t="inlineStr">
        <is>
          <t>2G</t>
        </is>
      </c>
      <c r="M696" t="inlineStr">
        <is>
          <t>1800</t>
        </is>
      </c>
      <c r="N696" t="inlineStr"/>
      <c r="O696" t="n">
        <v>40</v>
      </c>
      <c r="P696" t="n">
        <v>240</v>
      </c>
      <c r="Q696" t="n">
        <v>2</v>
      </c>
      <c r="Y696" t="inlineStr"/>
      <c r="AB696" t="inlineStr">
        <is>
          <t>R9264H M901821</t>
        </is>
      </c>
      <c r="AC696" t="inlineStr">
        <is>
          <t>A9652 S35*3+R9264H M901821*3+R9254E S8500*2+R9264 M1821N*1</t>
        </is>
      </c>
    </row>
    <row r="697" hidden="1" ht="15" customHeight="1" s="99">
      <c r="A697" t="inlineStr">
        <is>
          <t>GMKIR1</t>
        </is>
      </c>
      <c r="B697" t="inlineStr">
        <is>
          <t>GMKIR1_GUL00_Kirillawela_Kd</t>
        </is>
      </c>
      <c r="F697" t="n">
        <v>7.0314</v>
      </c>
      <c r="G697" t="n">
        <v>79.9872</v>
      </c>
      <c r="H697" t="inlineStr">
        <is>
          <t>GMKIR1-M-L85-C1</t>
        </is>
      </c>
      <c r="K697" t="inlineStr">
        <is>
          <t>S3</t>
        </is>
      </c>
      <c r="L697" t="inlineStr">
        <is>
          <t>4G</t>
        </is>
      </c>
      <c r="M697" t="inlineStr">
        <is>
          <t>850</t>
        </is>
      </c>
      <c r="N697" t="inlineStr">
        <is>
          <t>AQU4518R9v06</t>
        </is>
      </c>
      <c r="O697" t="n">
        <v>50</v>
      </c>
      <c r="P697" t="n">
        <v>240</v>
      </c>
      <c r="Q697" t="n">
        <v>0</v>
      </c>
      <c r="Y697" t="inlineStr">
        <is>
          <t>2T2R</t>
        </is>
      </c>
      <c r="AB697" t="inlineStr">
        <is>
          <t>R9254E S8500</t>
        </is>
      </c>
      <c r="AC697" t="inlineStr">
        <is>
          <t>A9652 S35*3+R9264H M901821*3+R9254E S8500*2+R9264 M1821N*1</t>
        </is>
      </c>
    </row>
    <row r="698" hidden="1" ht="15" customHeight="1" s="99">
      <c r="A698" t="inlineStr">
        <is>
          <t>GMKIR1</t>
        </is>
      </c>
      <c r="B698" t="inlineStr">
        <is>
          <t>GMKIR1_GUL00_Kirillawela_Kd</t>
        </is>
      </c>
      <c r="F698" t="n">
        <v>7.0314</v>
      </c>
      <c r="G698" t="n">
        <v>79.9872</v>
      </c>
      <c r="H698" t="inlineStr">
        <is>
          <t>GMKIR1-M-L21-C2</t>
        </is>
      </c>
      <c r="K698" t="inlineStr">
        <is>
          <t>S3</t>
        </is>
      </c>
      <c r="L698" t="inlineStr">
        <is>
          <t>4G</t>
        </is>
      </c>
      <c r="M698" t="inlineStr">
        <is>
          <t>2100</t>
        </is>
      </c>
      <c r="N698" t="inlineStr">
        <is>
          <t>AQU4518R9v06</t>
        </is>
      </c>
      <c r="O698" t="n">
        <v>50</v>
      </c>
      <c r="P698" t="n">
        <v>240</v>
      </c>
      <c r="Q698" t="n">
        <v>0</v>
      </c>
      <c r="Y698" t="inlineStr">
        <is>
          <t>2T2R</t>
        </is>
      </c>
      <c r="AB698" t="inlineStr">
        <is>
          <t>R9264H M901821</t>
        </is>
      </c>
      <c r="AC698" t="inlineStr">
        <is>
          <t>A9652 S35*3+R9264H M901821*3+R9254E S8500*2+R9264 M1821N*1</t>
        </is>
      </c>
    </row>
    <row r="699" hidden="1" ht="15" customHeight="1" s="99">
      <c r="A699" t="inlineStr">
        <is>
          <t>GMKIR1</t>
        </is>
      </c>
      <c r="B699" t="inlineStr">
        <is>
          <t>GMKIR1_GUL00_Kirillawela_Kd</t>
        </is>
      </c>
      <c r="F699" t="n">
        <v>7.0314</v>
      </c>
      <c r="G699" t="n">
        <v>79.9872</v>
      </c>
      <c r="H699" t="inlineStr">
        <is>
          <t>GMKIR1-M-L18-C1</t>
        </is>
      </c>
      <c r="K699" t="inlineStr">
        <is>
          <t>S3</t>
        </is>
      </c>
      <c r="L699" t="inlineStr">
        <is>
          <t>4G</t>
        </is>
      </c>
      <c r="M699" t="inlineStr">
        <is>
          <t>1800</t>
        </is>
      </c>
      <c r="N699" t="inlineStr">
        <is>
          <t>AQU4518R9v06</t>
        </is>
      </c>
      <c r="O699" t="n">
        <v>50</v>
      </c>
      <c r="P699" t="n">
        <v>240</v>
      </c>
      <c r="Q699" t="n">
        <v>0</v>
      </c>
      <c r="Y699" t="inlineStr">
        <is>
          <t>2T2R</t>
        </is>
      </c>
      <c r="AB699" t="inlineStr">
        <is>
          <t>R9264H M901821</t>
        </is>
      </c>
      <c r="AC699" t="inlineStr">
        <is>
          <t>A9652 S35*3+R9264H M901821*3+R9254E S8500*2+R9264 M1821N*1</t>
        </is>
      </c>
    </row>
    <row r="700" hidden="1" ht="15" customHeight="1" s="99">
      <c r="A700" t="inlineStr">
        <is>
          <t>GMKIR1</t>
        </is>
      </c>
      <c r="B700" t="inlineStr">
        <is>
          <t>GMKIR1_GUL00_Kirillawela_Kd</t>
        </is>
      </c>
      <c r="F700" t="n">
        <v>7.0314</v>
      </c>
      <c r="G700" t="n">
        <v>79.9872</v>
      </c>
      <c r="H700" t="inlineStr">
        <is>
          <t>GMKIR1I</t>
        </is>
      </c>
      <c r="K700" t="inlineStr">
        <is>
          <t>S3</t>
        </is>
      </c>
      <c r="L700" t="inlineStr">
        <is>
          <t>4G</t>
        </is>
      </c>
      <c r="M700" t="inlineStr">
        <is>
          <t>1800</t>
        </is>
      </c>
      <c r="N700" t="inlineStr">
        <is>
          <t>AQU4518R9v06</t>
        </is>
      </c>
      <c r="O700" t="n">
        <v>50</v>
      </c>
      <c r="P700" t="n">
        <v>240</v>
      </c>
      <c r="Q700" t="n">
        <v>0</v>
      </c>
      <c r="Y700" t="inlineStr">
        <is>
          <t>2T2R</t>
        </is>
      </c>
      <c r="AB700" t="inlineStr">
        <is>
          <t>R9264 M1821N</t>
        </is>
      </c>
      <c r="AC700" t="inlineStr">
        <is>
          <t>A9652 S35*3+R9264H M901821*3+R9254E S8500*2+R9264 M1821N*1</t>
        </is>
      </c>
    </row>
    <row r="701" hidden="1" ht="15" customHeight="1" s="99">
      <c r="A701" t="inlineStr">
        <is>
          <t>GMKIR2</t>
        </is>
      </c>
      <c r="B701" t="inlineStr"/>
      <c r="F701">
        <f>_xlfn.XLOOKUP(A701,'[1]4G Parameters'!$E:$E,'[1]4G Parameters'!$J:$J)</f>
        <v/>
      </c>
      <c r="G701">
        <f>_xlfn.XLOOKUP(A701,'[1]4G Parameters'!$E:$E,'[1]4G Parameters'!$I:$I)</f>
        <v/>
      </c>
      <c r="H701" t="inlineStr">
        <is>
          <t>GMKIR2A</t>
        </is>
      </c>
      <c r="K701" t="inlineStr">
        <is>
          <t>S1</t>
        </is>
      </c>
      <c r="L701" t="inlineStr">
        <is>
          <t>2G</t>
        </is>
      </c>
      <c r="M701" t="inlineStr">
        <is>
          <t>900</t>
        </is>
      </c>
      <c r="N701" t="inlineStr"/>
      <c r="O701" t="n">
        <v>55</v>
      </c>
      <c r="P701" t="n">
        <v>0</v>
      </c>
      <c r="Q701" t="n">
        <v>2</v>
      </c>
      <c r="Y701" t="inlineStr"/>
      <c r="AB701" t="inlineStr">
        <is>
          <t>R9264H M901821</t>
        </is>
      </c>
      <c r="AC701" t="inlineStr">
        <is>
          <t>A9652 S35*3+R9264H M901821*3+R9254E S8500*2</t>
        </is>
      </c>
    </row>
    <row r="702" hidden="1" ht="15" customHeight="1" s="99">
      <c r="A702" t="inlineStr">
        <is>
          <t>GMKIR2</t>
        </is>
      </c>
      <c r="B702" t="inlineStr"/>
      <c r="F702">
        <f>_xlfn.XLOOKUP(A702,'[1]4G Parameters'!$E:$E,'[1]4G Parameters'!$J:$J)</f>
        <v/>
      </c>
      <c r="G702">
        <f>_xlfn.XLOOKUP(A702,'[1]4G Parameters'!$E:$E,'[1]4G Parameters'!$I:$I)</f>
        <v/>
      </c>
      <c r="H702" t="inlineStr">
        <is>
          <t>GMKIR2P</t>
        </is>
      </c>
      <c r="K702" t="inlineStr">
        <is>
          <t>S1</t>
        </is>
      </c>
      <c r="L702" t="inlineStr">
        <is>
          <t>2G</t>
        </is>
      </c>
      <c r="M702" t="inlineStr">
        <is>
          <t>1800</t>
        </is>
      </c>
      <c r="N702" t="inlineStr"/>
      <c r="O702" t="n">
        <v>0</v>
      </c>
      <c r="P702" t="n">
        <v>0</v>
      </c>
      <c r="Q702" t="n">
        <v>2</v>
      </c>
      <c r="Y702" t="inlineStr"/>
      <c r="AB702" t="inlineStr">
        <is>
          <t>R9264H M901821</t>
        </is>
      </c>
      <c r="AC702" t="inlineStr">
        <is>
          <t>A9652 S35*3+R9264H M901821*3+R9254E S8500*2</t>
        </is>
      </c>
    </row>
    <row r="703" hidden="1" ht="15" customHeight="1" s="99">
      <c r="A703" t="inlineStr">
        <is>
          <t>GMKIR2</t>
        </is>
      </c>
      <c r="B703" t="inlineStr">
        <is>
          <t>GMKIR2_GUL00_Kirillawala_8_IP_Kd</t>
        </is>
      </c>
      <c r="F703" t="n">
        <v>7.03982</v>
      </c>
      <c r="G703" t="n">
        <v>79.9804</v>
      </c>
      <c r="H703" t="inlineStr">
        <is>
          <t>GMKIR2-M-L85-A1</t>
        </is>
      </c>
      <c r="K703" t="inlineStr">
        <is>
          <t>S1</t>
        </is>
      </c>
      <c r="L703" t="inlineStr">
        <is>
          <t>4G</t>
        </is>
      </c>
      <c r="M703" t="inlineStr">
        <is>
          <t>850</t>
        </is>
      </c>
      <c r="N703" t="inlineStr">
        <is>
          <t>AQU4518R9v06</t>
        </is>
      </c>
      <c r="O703" t="n">
        <v>60</v>
      </c>
      <c r="P703" t="n">
        <v>0</v>
      </c>
      <c r="Q703" t="n">
        <v>0</v>
      </c>
      <c r="Y703" t="inlineStr">
        <is>
          <t>2T2R</t>
        </is>
      </c>
      <c r="AB703" t="inlineStr">
        <is>
          <t>R9254E S8500</t>
        </is>
      </c>
      <c r="AC703" t="inlineStr">
        <is>
          <t>A9652 S35*3+R9264H M901821*3+R9254E S8500*2</t>
        </is>
      </c>
    </row>
    <row r="704" hidden="1" ht="15" customHeight="1" s="99">
      <c r="A704" t="inlineStr">
        <is>
          <t>GMKIR2</t>
        </is>
      </c>
      <c r="B704" t="inlineStr">
        <is>
          <t>GMKIR2_GUL00_Kirillawala_8_IP_Kd</t>
        </is>
      </c>
      <c r="F704" t="n">
        <v>7.03982</v>
      </c>
      <c r="G704" t="n">
        <v>79.9804</v>
      </c>
      <c r="H704" t="inlineStr">
        <is>
          <t>GMKIR2-M-L21-A2</t>
        </is>
      </c>
      <c r="K704" t="inlineStr">
        <is>
          <t>S1</t>
        </is>
      </c>
      <c r="L704" t="inlineStr">
        <is>
          <t>4G</t>
        </is>
      </c>
      <c r="M704" t="inlineStr">
        <is>
          <t>2100</t>
        </is>
      </c>
      <c r="N704" t="inlineStr">
        <is>
          <t>AQU4518R9v06</t>
        </is>
      </c>
      <c r="O704" t="n">
        <v>60</v>
      </c>
      <c r="P704" t="n">
        <v>0</v>
      </c>
      <c r="Q704" t="n">
        <v>0</v>
      </c>
      <c r="Y704" t="inlineStr">
        <is>
          <t>4T4R</t>
        </is>
      </c>
      <c r="AB704" t="inlineStr">
        <is>
          <t>R9264H M901821</t>
        </is>
      </c>
      <c r="AC704" t="inlineStr">
        <is>
          <t>A9652 S35*3+R9264H M901821*3+R9254E S8500*2</t>
        </is>
      </c>
    </row>
    <row r="705" hidden="1" ht="15" customHeight="1" s="99">
      <c r="A705" t="inlineStr">
        <is>
          <t>GMKIR2</t>
        </is>
      </c>
      <c r="B705" t="inlineStr">
        <is>
          <t>GMKIR2_GUL00_Kirillawala_8_IP_Kd</t>
        </is>
      </c>
      <c r="F705" t="n">
        <v>7.03982</v>
      </c>
      <c r="G705" t="n">
        <v>79.9804</v>
      </c>
      <c r="H705" t="inlineStr">
        <is>
          <t>GMKIR2G</t>
        </is>
      </c>
      <c r="K705" t="inlineStr">
        <is>
          <t>S1</t>
        </is>
      </c>
      <c r="L705" t="inlineStr">
        <is>
          <t>4G</t>
        </is>
      </c>
      <c r="M705" t="inlineStr">
        <is>
          <t>1800</t>
        </is>
      </c>
      <c r="N705" t="inlineStr">
        <is>
          <t>AQU4518R9v06</t>
        </is>
      </c>
      <c r="O705" t="n">
        <v>60</v>
      </c>
      <c r="P705" t="n">
        <v>0</v>
      </c>
      <c r="Q705" t="n">
        <v>0</v>
      </c>
      <c r="Y705" t="inlineStr">
        <is>
          <t>4T4R</t>
        </is>
      </c>
      <c r="AB705" t="inlineStr">
        <is>
          <t>R9264H M901821</t>
        </is>
      </c>
      <c r="AC705" t="inlineStr">
        <is>
          <t>A9652 S35*3+R9264H M901821*3+R9254E S8500*2</t>
        </is>
      </c>
    </row>
    <row r="706" hidden="1" ht="15" customHeight="1" s="99">
      <c r="A706" t="inlineStr">
        <is>
          <t>GMKIR2</t>
        </is>
      </c>
      <c r="B706" t="inlineStr"/>
      <c r="F706">
        <f>_xlfn.XLOOKUP(A706,'[1]4G Parameters'!$E:$E,'[1]4G Parameters'!$J:$J)</f>
        <v/>
      </c>
      <c r="G706">
        <f>_xlfn.XLOOKUP(A706,'[1]4G Parameters'!$E:$E,'[1]4G Parameters'!$I:$I)</f>
        <v/>
      </c>
      <c r="H706" t="inlineStr">
        <is>
          <t>GMKIR2B</t>
        </is>
      </c>
      <c r="K706" t="inlineStr">
        <is>
          <t>S2</t>
        </is>
      </c>
      <c r="L706" t="inlineStr">
        <is>
          <t>2G</t>
        </is>
      </c>
      <c r="M706" t="inlineStr">
        <is>
          <t>900</t>
        </is>
      </c>
      <c r="N706" t="inlineStr"/>
      <c r="O706" t="n">
        <v>55</v>
      </c>
      <c r="P706" t="n">
        <v>120</v>
      </c>
      <c r="Q706" t="n">
        <v>2</v>
      </c>
      <c r="Y706" t="inlineStr"/>
      <c r="AB706" t="inlineStr">
        <is>
          <t>R9264H M901821</t>
        </is>
      </c>
      <c r="AC706" t="inlineStr">
        <is>
          <t>A9652 S35*3+R9264H M901821*3+R9254E S8500*2</t>
        </is>
      </c>
    </row>
    <row r="707" hidden="1" ht="15" customHeight="1" s="99">
      <c r="A707" t="inlineStr">
        <is>
          <t>GMKIR2</t>
        </is>
      </c>
      <c r="B707" t="inlineStr"/>
      <c r="F707">
        <f>_xlfn.XLOOKUP(A707,'[1]4G Parameters'!$E:$E,'[1]4G Parameters'!$J:$J)</f>
        <v/>
      </c>
      <c r="G707">
        <f>_xlfn.XLOOKUP(A707,'[1]4G Parameters'!$E:$E,'[1]4G Parameters'!$I:$I)</f>
        <v/>
      </c>
      <c r="H707" t="inlineStr">
        <is>
          <t>GMKIR2Q</t>
        </is>
      </c>
      <c r="K707" t="inlineStr">
        <is>
          <t>S2</t>
        </is>
      </c>
      <c r="L707" t="inlineStr">
        <is>
          <t>2G</t>
        </is>
      </c>
      <c r="M707" t="inlineStr">
        <is>
          <t>1800</t>
        </is>
      </c>
      <c r="N707" t="inlineStr"/>
      <c r="O707" t="n">
        <v>0</v>
      </c>
      <c r="P707" t="n">
        <v>120</v>
      </c>
      <c r="Q707" t="n">
        <v>2</v>
      </c>
      <c r="Y707" t="inlineStr"/>
      <c r="AB707" t="inlineStr">
        <is>
          <t>R9264H M901821</t>
        </is>
      </c>
      <c r="AC707" t="inlineStr">
        <is>
          <t>A9652 S35*3+R9264H M901821*3+R9254E S8500*2</t>
        </is>
      </c>
    </row>
    <row r="708" hidden="1" ht="15" customHeight="1" s="99">
      <c r="A708" t="inlineStr">
        <is>
          <t>GMKIR2</t>
        </is>
      </c>
      <c r="B708" t="inlineStr">
        <is>
          <t>GMKIR2_GUL00_Kirillawala_8_IP_Kd</t>
        </is>
      </c>
      <c r="F708" t="n">
        <v>7.03982</v>
      </c>
      <c r="G708" t="n">
        <v>79.9804</v>
      </c>
      <c r="H708" t="inlineStr">
        <is>
          <t>GMKIR2-M-L85-B1</t>
        </is>
      </c>
      <c r="K708" t="inlineStr">
        <is>
          <t>S2</t>
        </is>
      </c>
      <c r="L708" t="inlineStr">
        <is>
          <t>4G</t>
        </is>
      </c>
      <c r="M708" t="inlineStr">
        <is>
          <t>850</t>
        </is>
      </c>
      <c r="N708" t="inlineStr">
        <is>
          <t>AQU4518R9v06</t>
        </is>
      </c>
      <c r="O708" t="n">
        <v>60</v>
      </c>
      <c r="P708" t="n">
        <v>120</v>
      </c>
      <c r="Q708" t="n">
        <v>0</v>
      </c>
      <c r="Y708" t="inlineStr">
        <is>
          <t>2T2R</t>
        </is>
      </c>
      <c r="AB708" t="inlineStr">
        <is>
          <t>R9254E S8500</t>
        </is>
      </c>
      <c r="AC708" t="inlineStr">
        <is>
          <t>A9652 S35*3+R9264H M901821*3+R9254E S8500*2</t>
        </is>
      </c>
    </row>
    <row r="709" hidden="1" ht="15" customHeight="1" s="99">
      <c r="A709" t="inlineStr">
        <is>
          <t>GMKIR2</t>
        </is>
      </c>
      <c r="B709" t="inlineStr">
        <is>
          <t>GMKIR2_GUL00_Kirillawala_8_IP_Kd</t>
        </is>
      </c>
      <c r="F709" t="n">
        <v>7.03982</v>
      </c>
      <c r="G709" t="n">
        <v>79.9804</v>
      </c>
      <c r="H709" t="inlineStr">
        <is>
          <t>GMKIR2-M-L21-B2</t>
        </is>
      </c>
      <c r="K709" t="inlineStr">
        <is>
          <t>S2</t>
        </is>
      </c>
      <c r="L709" t="inlineStr">
        <is>
          <t>4G</t>
        </is>
      </c>
      <c r="M709" t="inlineStr">
        <is>
          <t>2100</t>
        </is>
      </c>
      <c r="N709" t="inlineStr">
        <is>
          <t>AQU4518R9v06</t>
        </is>
      </c>
      <c r="O709" t="n">
        <v>60</v>
      </c>
      <c r="P709" t="n">
        <v>120</v>
      </c>
      <c r="Q709" t="n">
        <v>0</v>
      </c>
      <c r="Y709" t="inlineStr">
        <is>
          <t>4T4R</t>
        </is>
      </c>
      <c r="AB709" t="inlineStr">
        <is>
          <t>R9264H M901821</t>
        </is>
      </c>
      <c r="AC709" t="inlineStr">
        <is>
          <t>A9652 S35*3+R9264H M901821*3+R9254E S8500*2</t>
        </is>
      </c>
    </row>
    <row r="710" hidden="1" ht="15" customHeight="1" s="99">
      <c r="A710" t="inlineStr">
        <is>
          <t>GMKIR2</t>
        </is>
      </c>
      <c r="B710" t="inlineStr">
        <is>
          <t>GMKIR2_GUL00_Kirillawala_8_IP_Kd</t>
        </is>
      </c>
      <c r="F710" t="n">
        <v>7.03982</v>
      </c>
      <c r="G710" t="n">
        <v>79.9804</v>
      </c>
      <c r="H710" t="inlineStr">
        <is>
          <t>GMKIR2-M-L18-B1</t>
        </is>
      </c>
      <c r="K710" t="inlineStr">
        <is>
          <t>S2</t>
        </is>
      </c>
      <c r="L710" t="inlineStr">
        <is>
          <t>4G</t>
        </is>
      </c>
      <c r="M710" t="inlineStr">
        <is>
          <t>1800</t>
        </is>
      </c>
      <c r="N710" t="inlineStr">
        <is>
          <t>AQU4518R9v06</t>
        </is>
      </c>
      <c r="O710" t="n">
        <v>60</v>
      </c>
      <c r="P710" t="n">
        <v>120</v>
      </c>
      <c r="Q710" t="n">
        <v>0</v>
      </c>
      <c r="Y710" t="inlineStr">
        <is>
          <t>2T2R</t>
        </is>
      </c>
      <c r="AB710" t="inlineStr">
        <is>
          <t>R9264H M901821</t>
        </is>
      </c>
      <c r="AC710" t="inlineStr">
        <is>
          <t>A9652 S35*3+R9264H M901821*3+R9254E S8500*2</t>
        </is>
      </c>
    </row>
    <row r="711" hidden="1" ht="15" customHeight="1" s="99">
      <c r="A711" t="inlineStr">
        <is>
          <t>GMKIR2</t>
        </is>
      </c>
      <c r="B711" t="inlineStr">
        <is>
          <t>GMKIR2_GUL00_Kirillawala_8_IP_Kd</t>
        </is>
      </c>
      <c r="F711" t="n">
        <v>7.03982</v>
      </c>
      <c r="G711" t="n">
        <v>79.9804</v>
      </c>
      <c r="H711" t="inlineStr">
        <is>
          <t>GMKIR2H</t>
        </is>
      </c>
      <c r="K711" t="inlineStr">
        <is>
          <t>S2</t>
        </is>
      </c>
      <c r="L711" t="inlineStr">
        <is>
          <t>4G</t>
        </is>
      </c>
      <c r="M711" t="inlineStr">
        <is>
          <t>1800</t>
        </is>
      </c>
      <c r="N711" t="inlineStr">
        <is>
          <t>AQU4518R9v06</t>
        </is>
      </c>
      <c r="O711" t="n">
        <v>60</v>
      </c>
      <c r="P711" t="n">
        <v>120</v>
      </c>
      <c r="Q711" t="n">
        <v>0</v>
      </c>
      <c r="Y711" t="inlineStr">
        <is>
          <t>4T4R</t>
        </is>
      </c>
      <c r="AB711" t="inlineStr">
        <is>
          <t>R9264H M901821</t>
        </is>
      </c>
      <c r="AC711" t="inlineStr">
        <is>
          <t>A9652 S35*3+R9264H M901821*3+R9254E S8500*2</t>
        </is>
      </c>
    </row>
    <row r="712" hidden="1" ht="15" customHeight="1" s="99">
      <c r="A712" t="inlineStr">
        <is>
          <t>GMKIR2</t>
        </is>
      </c>
      <c r="B712" t="inlineStr"/>
      <c r="F712">
        <f>_xlfn.XLOOKUP(A712,'[1]4G Parameters'!$E:$E,'[1]4G Parameters'!$J:$J)</f>
        <v/>
      </c>
      <c r="G712">
        <f>_xlfn.XLOOKUP(A712,'[1]4G Parameters'!$E:$E,'[1]4G Parameters'!$I:$I)</f>
        <v/>
      </c>
      <c r="H712" t="inlineStr">
        <is>
          <t>GMKIR2C</t>
        </is>
      </c>
      <c r="K712" t="inlineStr">
        <is>
          <t>S3</t>
        </is>
      </c>
      <c r="L712" t="inlineStr">
        <is>
          <t>2G</t>
        </is>
      </c>
      <c r="M712" t="inlineStr">
        <is>
          <t>900</t>
        </is>
      </c>
      <c r="N712" t="inlineStr"/>
      <c r="O712" t="n">
        <v>55</v>
      </c>
      <c r="P712" t="n">
        <v>240</v>
      </c>
      <c r="Q712" t="n">
        <v>2</v>
      </c>
      <c r="Y712" t="inlineStr"/>
      <c r="AB712" t="inlineStr">
        <is>
          <t>R9264H M901821</t>
        </is>
      </c>
      <c r="AC712" t="inlineStr">
        <is>
          <t>A9652 S35*3+R9264H M901821*3+R9254E S8500*2</t>
        </is>
      </c>
    </row>
    <row r="713" hidden="1" ht="15" customHeight="1" s="99">
      <c r="A713" t="inlineStr">
        <is>
          <t>GMKIR2</t>
        </is>
      </c>
      <c r="B713" t="inlineStr"/>
      <c r="F713">
        <f>_xlfn.XLOOKUP(A713,'[1]4G Parameters'!$E:$E,'[1]4G Parameters'!$J:$J)</f>
        <v/>
      </c>
      <c r="G713">
        <f>_xlfn.XLOOKUP(A713,'[1]4G Parameters'!$E:$E,'[1]4G Parameters'!$I:$I)</f>
        <v/>
      </c>
      <c r="H713" t="inlineStr">
        <is>
          <t>GMKIR2R</t>
        </is>
      </c>
      <c r="K713" t="inlineStr">
        <is>
          <t>S3</t>
        </is>
      </c>
      <c r="L713" t="inlineStr">
        <is>
          <t>2G</t>
        </is>
      </c>
      <c r="M713" t="inlineStr">
        <is>
          <t>1800</t>
        </is>
      </c>
      <c r="N713" t="inlineStr"/>
      <c r="O713" t="n">
        <v>0</v>
      </c>
      <c r="P713" t="n">
        <v>240</v>
      </c>
      <c r="Q713" t="n">
        <v>2</v>
      </c>
      <c r="Y713" t="inlineStr"/>
      <c r="AB713" t="inlineStr">
        <is>
          <t>R9264H M901821</t>
        </is>
      </c>
      <c r="AC713" t="inlineStr">
        <is>
          <t>A9652 S35*3+R9264H M901821*3+R9254E S8500*2</t>
        </is>
      </c>
    </row>
    <row r="714" hidden="1" ht="15" customHeight="1" s="99">
      <c r="A714" t="inlineStr">
        <is>
          <t>GMKIR2</t>
        </is>
      </c>
      <c r="B714" t="inlineStr">
        <is>
          <t>GMKIR2_GUL00_Kirillawala_8_IP_Kd</t>
        </is>
      </c>
      <c r="F714" t="n">
        <v>7.03982</v>
      </c>
      <c r="G714" t="n">
        <v>79.9804</v>
      </c>
      <c r="H714" t="inlineStr">
        <is>
          <t>GMKIR2-M-L85-C1</t>
        </is>
      </c>
      <c r="K714" t="inlineStr">
        <is>
          <t>S3</t>
        </is>
      </c>
      <c r="L714" t="inlineStr">
        <is>
          <t>4G</t>
        </is>
      </c>
      <c r="M714" t="inlineStr">
        <is>
          <t>850</t>
        </is>
      </c>
      <c r="N714" t="inlineStr">
        <is>
          <t>AQU4518R9v06</t>
        </is>
      </c>
      <c r="O714" t="n">
        <v>60</v>
      </c>
      <c r="P714" t="n">
        <v>240</v>
      </c>
      <c r="Q714" t="n">
        <v>0</v>
      </c>
      <c r="Y714" t="inlineStr">
        <is>
          <t>2T2R</t>
        </is>
      </c>
      <c r="AB714" t="inlineStr">
        <is>
          <t>R9254E S8500</t>
        </is>
      </c>
      <c r="AC714" t="inlineStr">
        <is>
          <t>A9652 S35*3+R9264H M901821*3+R9254E S8500*2</t>
        </is>
      </c>
    </row>
    <row r="715" hidden="1" ht="15" customHeight="1" s="99">
      <c r="A715" t="inlineStr">
        <is>
          <t>GMKIR2</t>
        </is>
      </c>
      <c r="B715" t="inlineStr">
        <is>
          <t>GMKIR2_GUL00_Kirillawala_8_IP_Kd</t>
        </is>
      </c>
      <c r="F715" t="n">
        <v>7.03982</v>
      </c>
      <c r="G715" t="n">
        <v>79.9804</v>
      </c>
      <c r="H715" t="inlineStr">
        <is>
          <t>GMKIR2-M-L21-C2</t>
        </is>
      </c>
      <c r="K715" t="inlineStr">
        <is>
          <t>S3</t>
        </is>
      </c>
      <c r="L715" t="inlineStr">
        <is>
          <t>4G</t>
        </is>
      </c>
      <c r="M715" t="inlineStr">
        <is>
          <t>2100</t>
        </is>
      </c>
      <c r="N715" t="inlineStr">
        <is>
          <t>AQU4518R9v06</t>
        </is>
      </c>
      <c r="O715" t="n">
        <v>60</v>
      </c>
      <c r="P715" t="n">
        <v>240</v>
      </c>
      <c r="Q715" t="n">
        <v>0</v>
      </c>
      <c r="Y715" t="inlineStr">
        <is>
          <t>4T4R</t>
        </is>
      </c>
      <c r="AB715" t="inlineStr">
        <is>
          <t>R9264H M901821</t>
        </is>
      </c>
      <c r="AC715" t="inlineStr">
        <is>
          <t>A9652 S35*3+R9264H M901821*3+R9254E S8500*2</t>
        </is>
      </c>
    </row>
    <row r="716" hidden="1" ht="15" customHeight="1" s="99">
      <c r="A716" t="inlineStr">
        <is>
          <t>GMKIR2</t>
        </is>
      </c>
      <c r="B716" t="inlineStr">
        <is>
          <t>GMKIR2_GUL00_Kirillawala_8_IP_Kd</t>
        </is>
      </c>
      <c r="F716" t="n">
        <v>7.03982</v>
      </c>
      <c r="G716" t="n">
        <v>79.9804</v>
      </c>
      <c r="H716" t="inlineStr">
        <is>
          <t>GMKIR2I</t>
        </is>
      </c>
      <c r="K716" t="inlineStr">
        <is>
          <t>S3</t>
        </is>
      </c>
      <c r="L716" t="inlineStr">
        <is>
          <t>4G</t>
        </is>
      </c>
      <c r="M716" t="inlineStr">
        <is>
          <t>1800</t>
        </is>
      </c>
      <c r="N716" t="inlineStr">
        <is>
          <t>AQU4518R9v06</t>
        </is>
      </c>
      <c r="O716" t="n">
        <v>60</v>
      </c>
      <c r="P716" t="n">
        <v>240</v>
      </c>
      <c r="Q716" t="n">
        <v>0</v>
      </c>
      <c r="Y716" t="inlineStr">
        <is>
          <t>4T4R</t>
        </is>
      </c>
      <c r="AB716" t="inlineStr">
        <is>
          <t>R9264H M901821</t>
        </is>
      </c>
      <c r="AC716" t="inlineStr">
        <is>
          <t>A9652 S35*3+R9264H M901821*3+R9254E S8500*2</t>
        </is>
      </c>
    </row>
    <row r="717" hidden="1" ht="15" customHeight="1" s="99">
      <c r="A717" t="inlineStr">
        <is>
          <t>GMKOS1</t>
        </is>
      </c>
      <c r="B717" t="inlineStr"/>
      <c r="F717">
        <f>_xlfn.XLOOKUP(A717,'[1]4G Parameters'!$E:$E,'[1]4G Parameters'!$J:$J)</f>
        <v/>
      </c>
      <c r="G717">
        <f>_xlfn.XLOOKUP(A717,'[1]4G Parameters'!$E:$E,'[1]4G Parameters'!$I:$I)</f>
        <v/>
      </c>
      <c r="H717" t="inlineStr">
        <is>
          <t>GMKOS1A</t>
        </is>
      </c>
      <c r="K717" t="inlineStr">
        <is>
          <t>S1</t>
        </is>
      </c>
      <c r="L717" t="inlineStr">
        <is>
          <t>2G</t>
        </is>
      </c>
      <c r="M717" t="inlineStr">
        <is>
          <t>900</t>
        </is>
      </c>
      <c r="N717" t="inlineStr"/>
      <c r="O717" t="n">
        <v>50</v>
      </c>
      <c r="P717" t="n">
        <v>100</v>
      </c>
      <c r="Q717" t="n">
        <v>2</v>
      </c>
      <c r="Y717" t="inlineStr"/>
      <c r="AB717" t="inlineStr">
        <is>
          <t>R9264H M901821</t>
        </is>
      </c>
      <c r="AC717" t="inlineStr">
        <is>
          <t>A9652 S35*3+R9264H M901821*3+R9254E S8500*2</t>
        </is>
      </c>
    </row>
    <row r="718" hidden="1" ht="15" customHeight="1" s="99">
      <c r="A718" t="inlineStr">
        <is>
          <t>GMKOS1</t>
        </is>
      </c>
      <c r="B718" t="inlineStr"/>
      <c r="F718">
        <f>_xlfn.XLOOKUP(A718,'[1]4G Parameters'!$E:$E,'[1]4G Parameters'!$J:$J)</f>
        <v/>
      </c>
      <c r="G718">
        <f>_xlfn.XLOOKUP(A718,'[1]4G Parameters'!$E:$E,'[1]4G Parameters'!$I:$I)</f>
        <v/>
      </c>
      <c r="H718" t="inlineStr">
        <is>
          <t>GMKOS1P</t>
        </is>
      </c>
      <c r="K718" t="inlineStr">
        <is>
          <t>S1</t>
        </is>
      </c>
      <c r="L718" t="inlineStr">
        <is>
          <t>2G</t>
        </is>
      </c>
      <c r="M718" t="inlineStr">
        <is>
          <t>1800</t>
        </is>
      </c>
      <c r="N718" t="inlineStr"/>
      <c r="O718" t="n">
        <v>50</v>
      </c>
      <c r="P718" t="n">
        <v>100</v>
      </c>
      <c r="Q718" t="n">
        <v>2</v>
      </c>
      <c r="Y718" t="inlineStr"/>
      <c r="AB718" t="inlineStr">
        <is>
          <t>R9264H M901821</t>
        </is>
      </c>
      <c r="AC718" t="inlineStr">
        <is>
          <t>A9652 S35*3+R9264H M901821*3+R9254E S8500*2</t>
        </is>
      </c>
    </row>
    <row r="719" hidden="1" ht="15" customHeight="1" s="99">
      <c r="A719" t="inlineStr">
        <is>
          <t>GMKOS1</t>
        </is>
      </c>
      <c r="B719" t="inlineStr">
        <is>
          <t>GMKOS1_GUL00_Kossinna_Kd</t>
        </is>
      </c>
      <c r="F719" t="n">
        <v>7.05276</v>
      </c>
      <c r="G719" t="n">
        <v>79.97450000000001</v>
      </c>
      <c r="H719" t="inlineStr">
        <is>
          <t>GMKOS1-M-L85-A1</t>
        </is>
      </c>
      <c r="K719" t="inlineStr">
        <is>
          <t>S1</t>
        </is>
      </c>
      <c r="L719" t="inlineStr">
        <is>
          <t>4G</t>
        </is>
      </c>
      <c r="M719" t="inlineStr">
        <is>
          <t>850</t>
        </is>
      </c>
      <c r="N719" t="inlineStr">
        <is>
          <t>AQU4518R9v06</t>
        </is>
      </c>
      <c r="O719" t="n">
        <v>60</v>
      </c>
      <c r="P719" t="n">
        <v>100</v>
      </c>
      <c r="Q719" t="n">
        <v>0</v>
      </c>
      <c r="Y719" t="inlineStr">
        <is>
          <t>2T2R</t>
        </is>
      </c>
      <c r="AB719" t="inlineStr">
        <is>
          <t>R9254E S8500</t>
        </is>
      </c>
      <c r="AC719" t="inlineStr">
        <is>
          <t>A9652 S35*3+R9264H M901821*3+R9254E S8500*2</t>
        </is>
      </c>
    </row>
    <row r="720" hidden="1" ht="15" customHeight="1" s="99">
      <c r="A720" t="inlineStr">
        <is>
          <t>GMKOS1</t>
        </is>
      </c>
      <c r="B720" t="inlineStr">
        <is>
          <t>GMKOS1_GUL00_Kossinna_Kd</t>
        </is>
      </c>
      <c r="F720" t="n">
        <v>7.05276</v>
      </c>
      <c r="G720" t="n">
        <v>79.97450000000001</v>
      </c>
      <c r="H720" t="inlineStr">
        <is>
          <t>GMKOS1-M-L21-A2</t>
        </is>
      </c>
      <c r="K720" t="inlineStr">
        <is>
          <t>S1</t>
        </is>
      </c>
      <c r="L720" t="inlineStr">
        <is>
          <t>4G</t>
        </is>
      </c>
      <c r="M720" t="inlineStr">
        <is>
          <t>2100</t>
        </is>
      </c>
      <c r="N720" t="inlineStr">
        <is>
          <t>AQU4518R9v06</t>
        </is>
      </c>
      <c r="O720" t="n">
        <v>60</v>
      </c>
      <c r="P720" t="n">
        <v>100</v>
      </c>
      <c r="Q720" t="n">
        <v>0</v>
      </c>
      <c r="Y720" t="inlineStr">
        <is>
          <t>2T2R</t>
        </is>
      </c>
      <c r="AB720" t="inlineStr">
        <is>
          <t>R9264H M901821</t>
        </is>
      </c>
      <c r="AC720" t="inlineStr">
        <is>
          <t>A9652 S35*3+R9264H M901821*3+R9254E S8500*2</t>
        </is>
      </c>
    </row>
    <row r="721" hidden="1" ht="15" customHeight="1" s="99">
      <c r="A721" t="inlineStr">
        <is>
          <t>GMKOS1</t>
        </is>
      </c>
      <c r="B721" t="inlineStr">
        <is>
          <t>GMKOS1_GUL00_Kossinna_Kd</t>
        </is>
      </c>
      <c r="F721" t="n">
        <v>7.05276</v>
      </c>
      <c r="G721" t="n">
        <v>79.97450000000001</v>
      </c>
      <c r="H721" t="inlineStr">
        <is>
          <t>GMKOS1G</t>
        </is>
      </c>
      <c r="K721" t="inlineStr">
        <is>
          <t>S1</t>
        </is>
      </c>
      <c r="L721" t="inlineStr">
        <is>
          <t>4G</t>
        </is>
      </c>
      <c r="M721" t="inlineStr">
        <is>
          <t>1800</t>
        </is>
      </c>
      <c r="N721" t="inlineStr">
        <is>
          <t>AQU4518R9v06</t>
        </is>
      </c>
      <c r="O721" t="n">
        <v>60</v>
      </c>
      <c r="P721" t="n">
        <v>100</v>
      </c>
      <c r="Q721" t="n">
        <v>0</v>
      </c>
      <c r="Y721" t="inlineStr">
        <is>
          <t>4T4R</t>
        </is>
      </c>
      <c r="AB721" t="inlineStr">
        <is>
          <t>R9264H M901821</t>
        </is>
      </c>
      <c r="AC721" t="inlineStr">
        <is>
          <t>A9652 S35*3+R9264H M901821*3+R9254E S8500*2</t>
        </is>
      </c>
    </row>
    <row r="722" hidden="1" ht="15" customHeight="1" s="99">
      <c r="A722" t="inlineStr">
        <is>
          <t>GMKOS1</t>
        </is>
      </c>
      <c r="B722" t="inlineStr"/>
      <c r="F722">
        <f>_xlfn.XLOOKUP(A722,'[1]4G Parameters'!$E:$E,'[1]4G Parameters'!$J:$J)</f>
        <v/>
      </c>
      <c r="G722">
        <f>_xlfn.XLOOKUP(A722,'[1]4G Parameters'!$E:$E,'[1]4G Parameters'!$I:$I)</f>
        <v/>
      </c>
      <c r="H722" t="inlineStr">
        <is>
          <t>GMKOS1B</t>
        </is>
      </c>
      <c r="K722" t="inlineStr">
        <is>
          <t>S2</t>
        </is>
      </c>
      <c r="L722" t="inlineStr">
        <is>
          <t>2G</t>
        </is>
      </c>
      <c r="M722" t="inlineStr">
        <is>
          <t>900</t>
        </is>
      </c>
      <c r="N722" t="inlineStr"/>
      <c r="O722" t="n">
        <v>50</v>
      </c>
      <c r="P722" t="n">
        <v>200</v>
      </c>
      <c r="Q722" t="n">
        <v>2</v>
      </c>
      <c r="Y722" t="inlineStr"/>
      <c r="AB722" t="inlineStr">
        <is>
          <t>R9264H M901821</t>
        </is>
      </c>
      <c r="AC722" t="inlineStr">
        <is>
          <t>A9652 S35*3+R9264H M901821*3+R9254E S8500*2</t>
        </is>
      </c>
    </row>
    <row r="723" hidden="1" ht="15" customHeight="1" s="99">
      <c r="A723" t="inlineStr">
        <is>
          <t>GMKOS1</t>
        </is>
      </c>
      <c r="B723" t="inlineStr"/>
      <c r="F723">
        <f>_xlfn.XLOOKUP(A723,'[1]4G Parameters'!$E:$E,'[1]4G Parameters'!$J:$J)</f>
        <v/>
      </c>
      <c r="G723">
        <f>_xlfn.XLOOKUP(A723,'[1]4G Parameters'!$E:$E,'[1]4G Parameters'!$I:$I)</f>
        <v/>
      </c>
      <c r="H723" t="inlineStr">
        <is>
          <t>GMKOS1Q</t>
        </is>
      </c>
      <c r="K723" t="inlineStr">
        <is>
          <t>S2</t>
        </is>
      </c>
      <c r="L723" t="inlineStr">
        <is>
          <t>2G</t>
        </is>
      </c>
      <c r="M723" t="inlineStr">
        <is>
          <t>1800</t>
        </is>
      </c>
      <c r="N723" t="inlineStr"/>
      <c r="O723" t="n">
        <v>50</v>
      </c>
      <c r="P723" t="n">
        <v>200</v>
      </c>
      <c r="Q723" t="n">
        <v>2</v>
      </c>
      <c r="Y723" t="inlineStr"/>
      <c r="AB723" t="inlineStr">
        <is>
          <t>R9264H M901821</t>
        </is>
      </c>
      <c r="AC723" t="inlineStr">
        <is>
          <t>A9652 S35*3+R9264H M901821*3+R9254E S8500*2</t>
        </is>
      </c>
    </row>
    <row r="724" hidden="1" ht="15" customHeight="1" s="99">
      <c r="A724" t="inlineStr">
        <is>
          <t>GMKOS1</t>
        </is>
      </c>
      <c r="B724" t="inlineStr">
        <is>
          <t>GMKOS1_GUL00_Kossinna_Kd</t>
        </is>
      </c>
      <c r="F724" t="n">
        <v>7.05276</v>
      </c>
      <c r="G724" t="n">
        <v>79.97450000000001</v>
      </c>
      <c r="H724" t="inlineStr">
        <is>
          <t>GMKOS1-M-L85-B1</t>
        </is>
      </c>
      <c r="K724" t="inlineStr">
        <is>
          <t>S2</t>
        </is>
      </c>
      <c r="L724" t="inlineStr">
        <is>
          <t>4G</t>
        </is>
      </c>
      <c r="M724" t="inlineStr">
        <is>
          <t>850</t>
        </is>
      </c>
      <c r="N724" t="inlineStr">
        <is>
          <t>AQU4518R9v06</t>
        </is>
      </c>
      <c r="O724" t="n">
        <v>60</v>
      </c>
      <c r="P724" t="n">
        <v>200</v>
      </c>
      <c r="Q724" t="n">
        <v>0</v>
      </c>
      <c r="Y724" t="inlineStr">
        <is>
          <t>2T2R</t>
        </is>
      </c>
      <c r="AB724" t="inlineStr">
        <is>
          <t>R9254E S8500</t>
        </is>
      </c>
      <c r="AC724" t="inlineStr">
        <is>
          <t>A9652 S35*3+R9264H M901821*3+R9254E S8500*2</t>
        </is>
      </c>
    </row>
    <row r="725" hidden="1" ht="15" customHeight="1" s="99">
      <c r="A725" t="inlineStr">
        <is>
          <t>GMKOS1</t>
        </is>
      </c>
      <c r="B725" t="inlineStr">
        <is>
          <t>GMKOS1_GUL00_Kossinna_Kd</t>
        </is>
      </c>
      <c r="F725" t="n">
        <v>7.05276</v>
      </c>
      <c r="G725" t="n">
        <v>79.97450000000001</v>
      </c>
      <c r="H725" t="inlineStr">
        <is>
          <t>GMKOS1-M-L21-B2</t>
        </is>
      </c>
      <c r="K725" t="inlineStr">
        <is>
          <t>S2</t>
        </is>
      </c>
      <c r="L725" t="inlineStr">
        <is>
          <t>4G</t>
        </is>
      </c>
      <c r="M725" t="inlineStr">
        <is>
          <t>2100</t>
        </is>
      </c>
      <c r="N725" t="inlineStr">
        <is>
          <t>AQU4518R9v06</t>
        </is>
      </c>
      <c r="O725" t="n">
        <v>60</v>
      </c>
      <c r="P725" t="n">
        <v>200</v>
      </c>
      <c r="Q725" t="n">
        <v>0</v>
      </c>
      <c r="Y725" t="inlineStr">
        <is>
          <t>2T2R</t>
        </is>
      </c>
      <c r="AB725" t="inlineStr">
        <is>
          <t>R9264H M901821</t>
        </is>
      </c>
      <c r="AC725" t="inlineStr">
        <is>
          <t>A9652 S35*3+R9264H M901821*3+R9254E S8500*2</t>
        </is>
      </c>
    </row>
    <row r="726" hidden="1" ht="15" customHeight="1" s="99">
      <c r="A726" t="inlineStr">
        <is>
          <t>GMKOS1</t>
        </is>
      </c>
      <c r="B726" t="inlineStr">
        <is>
          <t>GMKOS1_GUL00_Kossinna_Kd</t>
        </is>
      </c>
      <c r="F726" t="n">
        <v>7.05276</v>
      </c>
      <c r="G726" t="n">
        <v>79.97450000000001</v>
      </c>
      <c r="H726" t="inlineStr">
        <is>
          <t>GMKOS1H</t>
        </is>
      </c>
      <c r="K726" t="inlineStr">
        <is>
          <t>S2</t>
        </is>
      </c>
      <c r="L726" t="inlineStr">
        <is>
          <t>4G</t>
        </is>
      </c>
      <c r="M726" t="inlineStr">
        <is>
          <t>1800</t>
        </is>
      </c>
      <c r="N726" t="inlineStr">
        <is>
          <t>AQU4518R9v06</t>
        </is>
      </c>
      <c r="O726" t="n">
        <v>60</v>
      </c>
      <c r="P726" t="n">
        <v>200</v>
      </c>
      <c r="Q726" t="n">
        <v>0</v>
      </c>
      <c r="Y726" t="inlineStr">
        <is>
          <t>4T4R</t>
        </is>
      </c>
      <c r="AB726" t="inlineStr">
        <is>
          <t>R9264H M901821</t>
        </is>
      </c>
      <c r="AC726" t="inlineStr">
        <is>
          <t>A9652 S35*3+R9264H M901821*3+R9254E S8500*2</t>
        </is>
      </c>
    </row>
    <row r="727" hidden="1" ht="15" customHeight="1" s="99">
      <c r="A727" t="inlineStr">
        <is>
          <t>GMKOS1</t>
        </is>
      </c>
      <c r="B727" t="inlineStr"/>
      <c r="F727">
        <f>_xlfn.XLOOKUP(A727,'[1]4G Parameters'!$E:$E,'[1]4G Parameters'!$J:$J)</f>
        <v/>
      </c>
      <c r="G727">
        <f>_xlfn.XLOOKUP(A727,'[1]4G Parameters'!$E:$E,'[1]4G Parameters'!$I:$I)</f>
        <v/>
      </c>
      <c r="H727" t="inlineStr">
        <is>
          <t>GMKOS1C</t>
        </is>
      </c>
      <c r="K727" t="inlineStr">
        <is>
          <t>S3</t>
        </is>
      </c>
      <c r="L727" t="inlineStr">
        <is>
          <t>2G</t>
        </is>
      </c>
      <c r="M727" t="inlineStr">
        <is>
          <t>900</t>
        </is>
      </c>
      <c r="N727" t="inlineStr"/>
      <c r="O727" t="n">
        <v>50</v>
      </c>
      <c r="P727" t="n">
        <v>285</v>
      </c>
      <c r="Q727" t="n">
        <v>2</v>
      </c>
      <c r="Y727" t="inlineStr"/>
      <c r="AB727" t="inlineStr">
        <is>
          <t>R9264H M901821</t>
        </is>
      </c>
      <c r="AC727" t="inlineStr">
        <is>
          <t>A9652 S35*3+R9264H M901821*3+R9254E S8500*2</t>
        </is>
      </c>
    </row>
    <row r="728" hidden="1" ht="15" customHeight="1" s="99">
      <c r="A728" t="inlineStr">
        <is>
          <t>GMKOS1</t>
        </is>
      </c>
      <c r="B728" t="inlineStr"/>
      <c r="F728">
        <f>_xlfn.XLOOKUP(A728,'[1]4G Parameters'!$E:$E,'[1]4G Parameters'!$J:$J)</f>
        <v/>
      </c>
      <c r="G728">
        <f>_xlfn.XLOOKUP(A728,'[1]4G Parameters'!$E:$E,'[1]4G Parameters'!$I:$I)</f>
        <v/>
      </c>
      <c r="H728" t="inlineStr">
        <is>
          <t>GMKOS1R</t>
        </is>
      </c>
      <c r="K728" t="inlineStr">
        <is>
          <t>S3</t>
        </is>
      </c>
      <c r="L728" t="inlineStr">
        <is>
          <t>2G</t>
        </is>
      </c>
      <c r="M728" t="inlineStr">
        <is>
          <t>1800</t>
        </is>
      </c>
      <c r="N728" t="inlineStr"/>
      <c r="O728" t="n">
        <v>0</v>
      </c>
      <c r="P728" t="n">
        <v>285</v>
      </c>
      <c r="Q728" t="n">
        <v>2</v>
      </c>
      <c r="Y728" t="inlineStr"/>
      <c r="AB728" t="inlineStr">
        <is>
          <t>R9264H M901821</t>
        </is>
      </c>
      <c r="AC728" t="inlineStr">
        <is>
          <t>A9652 S35*3+R9264H M901821*3+R9254E S8500*2</t>
        </is>
      </c>
    </row>
    <row r="729" hidden="1" ht="15" customHeight="1" s="99">
      <c r="A729" t="inlineStr">
        <is>
          <t>GMKOS1</t>
        </is>
      </c>
      <c r="B729" t="inlineStr">
        <is>
          <t>GMKOS1_GUL00_Kossinna_Kd</t>
        </is>
      </c>
      <c r="F729" t="n">
        <v>7.05276</v>
      </c>
      <c r="G729" t="n">
        <v>79.97450000000001</v>
      </c>
      <c r="H729" t="inlineStr">
        <is>
          <t>GMKOS1-M-L85-C1</t>
        </is>
      </c>
      <c r="K729" t="inlineStr">
        <is>
          <t>S3</t>
        </is>
      </c>
      <c r="L729" t="inlineStr">
        <is>
          <t>4G</t>
        </is>
      </c>
      <c r="M729" t="inlineStr">
        <is>
          <t>850</t>
        </is>
      </c>
      <c r="N729" t="inlineStr">
        <is>
          <t>AQU4518R9v06</t>
        </is>
      </c>
      <c r="O729" t="n">
        <v>60</v>
      </c>
      <c r="P729" t="n">
        <v>285</v>
      </c>
      <c r="Q729" t="n">
        <v>0</v>
      </c>
      <c r="Y729" t="inlineStr">
        <is>
          <t>2T2R</t>
        </is>
      </c>
      <c r="AB729" t="inlineStr">
        <is>
          <t>R9254E S8500</t>
        </is>
      </c>
      <c r="AC729" t="inlineStr">
        <is>
          <t>A9652 S35*3+R9264H M901821*3+R9254E S8500*2</t>
        </is>
      </c>
    </row>
    <row r="730" hidden="1" ht="15" customHeight="1" s="99">
      <c r="A730" t="inlineStr">
        <is>
          <t>GMKOS1</t>
        </is>
      </c>
      <c r="B730" t="inlineStr">
        <is>
          <t>GMKOS1_GUL00_Kossinna_Kd</t>
        </is>
      </c>
      <c r="F730" t="n">
        <v>7.05276</v>
      </c>
      <c r="G730" t="n">
        <v>79.97450000000001</v>
      </c>
      <c r="H730" t="inlineStr">
        <is>
          <t>GMKOS1-M-L21-C2</t>
        </is>
      </c>
      <c r="K730" t="inlineStr">
        <is>
          <t>S3</t>
        </is>
      </c>
      <c r="L730" t="inlineStr">
        <is>
          <t>4G</t>
        </is>
      </c>
      <c r="M730" t="inlineStr">
        <is>
          <t>2100</t>
        </is>
      </c>
      <c r="N730" t="inlineStr">
        <is>
          <t>AQU4518R9v06</t>
        </is>
      </c>
      <c r="O730" t="n">
        <v>60</v>
      </c>
      <c r="P730" t="n">
        <v>285</v>
      </c>
      <c r="Q730" t="n">
        <v>0</v>
      </c>
      <c r="Y730" t="inlineStr">
        <is>
          <t>2T2R</t>
        </is>
      </c>
      <c r="AB730" t="inlineStr">
        <is>
          <t>R9264H M901821</t>
        </is>
      </c>
      <c r="AC730" t="inlineStr">
        <is>
          <t>A9652 S35*3+R9264H M901821*3+R9254E S8500*2</t>
        </is>
      </c>
    </row>
    <row r="731" hidden="1" ht="15" customHeight="1" s="99">
      <c r="A731" t="inlineStr">
        <is>
          <t>GMKOS1</t>
        </is>
      </c>
      <c r="B731" t="inlineStr">
        <is>
          <t>GMKOS1_GUL00_Kossinna_Kd</t>
        </is>
      </c>
      <c r="F731" t="n">
        <v>7.05276</v>
      </c>
      <c r="G731" t="n">
        <v>79.97450000000001</v>
      </c>
      <c r="H731" t="inlineStr">
        <is>
          <t>GMKOS1I</t>
        </is>
      </c>
      <c r="K731" t="inlineStr">
        <is>
          <t>S3</t>
        </is>
      </c>
      <c r="L731" t="inlineStr">
        <is>
          <t>4G</t>
        </is>
      </c>
      <c r="M731" t="inlineStr">
        <is>
          <t>1800</t>
        </is>
      </c>
      <c r="N731" t="inlineStr">
        <is>
          <t>AQU4518R9v06</t>
        </is>
      </c>
      <c r="O731" t="n">
        <v>60</v>
      </c>
      <c r="P731" t="n">
        <v>285</v>
      </c>
      <c r="Q731" t="n">
        <v>0</v>
      </c>
      <c r="Y731" t="inlineStr">
        <is>
          <t>4T4R</t>
        </is>
      </c>
      <c r="AB731" t="inlineStr">
        <is>
          <t>R9264H M901821</t>
        </is>
      </c>
      <c r="AC731" t="inlineStr">
        <is>
          <t>A9652 S35*3+R9264H M901821*3+R9254E S8500*2</t>
        </is>
      </c>
    </row>
    <row r="732" hidden="1" ht="15" customHeight="1" s="99">
      <c r="A732" t="inlineStr">
        <is>
          <t>GMKOS2</t>
        </is>
      </c>
      <c r="B732" t="inlineStr">
        <is>
          <t>GMKOS2_0UL00_Koshinna_West_Kd</t>
        </is>
      </c>
      <c r="D732" t="inlineStr">
        <is>
          <t>无1800</t>
        </is>
      </c>
      <c r="F732" t="n">
        <v>7.0466</v>
      </c>
      <c r="G732" t="n">
        <v>79.9603</v>
      </c>
      <c r="H732" t="inlineStr">
        <is>
          <t>GMKOS2-M-L21-A2</t>
        </is>
      </c>
      <c r="K732" t="inlineStr">
        <is>
          <t>S1</t>
        </is>
      </c>
      <c r="L732" t="inlineStr">
        <is>
          <t>4G</t>
        </is>
      </c>
      <c r="M732" t="inlineStr">
        <is>
          <t>2100</t>
        </is>
      </c>
      <c r="N732" t="inlineStr"/>
      <c r="O732" t="n">
        <v>50</v>
      </c>
      <c r="P732" t="n">
        <v>0</v>
      </c>
      <c r="Q732" t="n">
        <v>0</v>
      </c>
      <c r="Y732" t="inlineStr">
        <is>
          <t>2T2R</t>
        </is>
      </c>
      <c r="AB732" t="inlineStr">
        <is>
          <t>R9264 M1821N</t>
        </is>
      </c>
      <c r="AC732" t="inlineStr">
        <is>
          <t>R9264 M1821N*3</t>
        </is>
      </c>
    </row>
    <row r="733" hidden="1" ht="15" customHeight="1" s="99">
      <c r="A733" t="inlineStr">
        <is>
          <t>GMKOS2</t>
        </is>
      </c>
      <c r="B733" t="inlineStr">
        <is>
          <t>GMKOS2_0UL00_Koshinna_West_Kd</t>
        </is>
      </c>
      <c r="D733" t="inlineStr">
        <is>
          <t>无1800</t>
        </is>
      </c>
      <c r="F733" t="n">
        <v>7.0466</v>
      </c>
      <c r="G733" t="n">
        <v>79.9603</v>
      </c>
      <c r="H733" t="inlineStr">
        <is>
          <t>GMKOS2-M-L21-B2</t>
        </is>
      </c>
      <c r="K733" t="inlineStr">
        <is>
          <t>S2</t>
        </is>
      </c>
      <c r="L733" t="inlineStr">
        <is>
          <t>4G</t>
        </is>
      </c>
      <c r="M733" t="inlineStr">
        <is>
          <t>2100</t>
        </is>
      </c>
      <c r="N733" t="inlineStr"/>
      <c r="O733" t="n">
        <v>50</v>
      </c>
      <c r="P733" t="n">
        <v>90</v>
      </c>
      <c r="Q733" t="n">
        <v>0</v>
      </c>
      <c r="Y733" t="inlineStr">
        <is>
          <t>2T2R</t>
        </is>
      </c>
      <c r="AB733" t="inlineStr">
        <is>
          <t>R9264 M1821N</t>
        </is>
      </c>
      <c r="AC733" t="inlineStr">
        <is>
          <t>R9264 M1821N*3</t>
        </is>
      </c>
    </row>
    <row r="734" hidden="1" ht="15" customHeight="1" s="99">
      <c r="A734" t="inlineStr">
        <is>
          <t>GMKOS2</t>
        </is>
      </c>
      <c r="B734" t="inlineStr">
        <is>
          <t>GMKOS2_0UL00_Koshinna_West_Kd</t>
        </is>
      </c>
      <c r="D734" t="inlineStr">
        <is>
          <t>无1800</t>
        </is>
      </c>
      <c r="F734" t="n">
        <v>7.0466</v>
      </c>
      <c r="G734" t="n">
        <v>79.9603</v>
      </c>
      <c r="H734" t="inlineStr">
        <is>
          <t>GMKOS2-M-L21-C2</t>
        </is>
      </c>
      <c r="K734" t="inlineStr">
        <is>
          <t>S3</t>
        </is>
      </c>
      <c r="L734" t="inlineStr">
        <is>
          <t>4G</t>
        </is>
      </c>
      <c r="M734" t="inlineStr">
        <is>
          <t>2100</t>
        </is>
      </c>
      <c r="N734" t="inlineStr"/>
      <c r="O734" t="n">
        <v>50</v>
      </c>
      <c r="P734" t="n">
        <v>180</v>
      </c>
      <c r="Q734" t="n">
        <v>0</v>
      </c>
      <c r="Y734" t="inlineStr">
        <is>
          <t>2T2R</t>
        </is>
      </c>
      <c r="AB734" t="inlineStr">
        <is>
          <t>R9264 M1821N</t>
        </is>
      </c>
      <c r="AC734" t="inlineStr">
        <is>
          <t>R9264 M1821N*3</t>
        </is>
      </c>
    </row>
    <row r="735" hidden="1" ht="15" customHeight="1" s="99">
      <c r="A735" t="inlineStr">
        <is>
          <t>GMKUR4</t>
        </is>
      </c>
      <c r="B735" t="inlineStr"/>
      <c r="F735">
        <f>_xlfn.XLOOKUP(A735,'[1]4G Parameters'!$E:$E,'[1]4G Parameters'!$J:$J)</f>
        <v/>
      </c>
      <c r="G735">
        <f>_xlfn.XLOOKUP(A735,'[1]4G Parameters'!$E:$E,'[1]4G Parameters'!$I:$I)</f>
        <v/>
      </c>
      <c r="H735" t="inlineStr">
        <is>
          <t>GMKUR4A</t>
        </is>
      </c>
      <c r="K735" t="inlineStr">
        <is>
          <t>S1</t>
        </is>
      </c>
      <c r="L735" t="inlineStr">
        <is>
          <t>2G</t>
        </is>
      </c>
      <c r="M735" t="inlineStr">
        <is>
          <t>900</t>
        </is>
      </c>
      <c r="N735" t="inlineStr"/>
      <c r="O735" t="n">
        <v>6</v>
      </c>
      <c r="P735" t="n">
        <v>90</v>
      </c>
      <c r="Q735" t="n">
        <v>2</v>
      </c>
      <c r="Y735" t="inlineStr"/>
      <c r="AB735" t="inlineStr">
        <is>
          <t>R9264H M901821</t>
        </is>
      </c>
      <c r="AC735" t="inlineStr">
        <is>
          <t>A9652 S35*3+R9264H M901821*3+R9254E S8500*2</t>
        </is>
      </c>
    </row>
    <row r="736" hidden="1" ht="15" customHeight="1" s="99">
      <c r="A736" t="inlineStr">
        <is>
          <t>GMKUR4</t>
        </is>
      </c>
      <c r="B736" t="inlineStr"/>
      <c r="F736">
        <f>_xlfn.XLOOKUP(A736,'[1]4G Parameters'!$E:$E,'[1]4G Parameters'!$J:$J)</f>
        <v/>
      </c>
      <c r="G736">
        <f>_xlfn.XLOOKUP(A736,'[1]4G Parameters'!$E:$E,'[1]4G Parameters'!$I:$I)</f>
        <v/>
      </c>
      <c r="H736" t="inlineStr">
        <is>
          <t>GMKUR4P</t>
        </is>
      </c>
      <c r="K736" t="inlineStr">
        <is>
          <t>S1</t>
        </is>
      </c>
      <c r="L736" t="inlineStr">
        <is>
          <t>2G</t>
        </is>
      </c>
      <c r="M736" t="inlineStr">
        <is>
          <t>1800</t>
        </is>
      </c>
      <c r="N736" t="inlineStr"/>
      <c r="O736" t="n">
        <v>6</v>
      </c>
      <c r="P736" t="n">
        <v>90</v>
      </c>
      <c r="Q736" t="n">
        <v>2</v>
      </c>
      <c r="Y736" t="inlineStr"/>
      <c r="AB736" t="inlineStr">
        <is>
          <t>R9264H M901821</t>
        </is>
      </c>
      <c r="AC736" t="inlineStr">
        <is>
          <t>A9652 S35*3+R9264H M901821*3+R9254E S8500*2</t>
        </is>
      </c>
    </row>
    <row r="737" hidden="1" ht="15" customHeight="1" s="99">
      <c r="A737" t="inlineStr">
        <is>
          <t>GMKUR4</t>
        </is>
      </c>
      <c r="B737" t="inlineStr">
        <is>
          <t>GMKUR4_G0L00_Kurana4_TXD_Ne</t>
        </is>
      </c>
      <c r="F737" t="n">
        <v>7.179093</v>
      </c>
      <c r="G737" t="n">
        <v>79.862674</v>
      </c>
      <c r="H737" t="inlineStr">
        <is>
          <t>GMKUR4-M-L85-A1</t>
        </is>
      </c>
      <c r="K737" t="inlineStr">
        <is>
          <t>S1</t>
        </is>
      </c>
      <c r="L737" t="inlineStr">
        <is>
          <t>4G</t>
        </is>
      </c>
      <c r="M737" t="inlineStr">
        <is>
          <t>850</t>
        </is>
      </c>
      <c r="N737" t="inlineStr">
        <is>
          <t>APE4517R0v06</t>
        </is>
      </c>
      <c r="O737" t="n">
        <v>4</v>
      </c>
      <c r="P737" t="n">
        <v>90</v>
      </c>
      <c r="Q737" t="n">
        <v>0</v>
      </c>
      <c r="Y737" t="inlineStr">
        <is>
          <t>2T2R</t>
        </is>
      </c>
      <c r="AB737" t="inlineStr">
        <is>
          <t>R9254E S8500</t>
        </is>
      </c>
      <c r="AC737" t="inlineStr">
        <is>
          <t>A9652 S35*3+R9264H M901821*3+R9254E S8500*2</t>
        </is>
      </c>
    </row>
    <row r="738" hidden="1" ht="15" customHeight="1" s="99">
      <c r="A738" t="inlineStr">
        <is>
          <t>GMKUR4</t>
        </is>
      </c>
      <c r="B738" t="inlineStr">
        <is>
          <t>GMKUR4_G0L00_Kurana4_TXD_Ne</t>
        </is>
      </c>
      <c r="F738" t="n">
        <v>7.179093</v>
      </c>
      <c r="G738" t="n">
        <v>79.862674</v>
      </c>
      <c r="H738" t="inlineStr">
        <is>
          <t>GMKUR4-M-L21-A2</t>
        </is>
      </c>
      <c r="K738" t="inlineStr">
        <is>
          <t>S1</t>
        </is>
      </c>
      <c r="L738" t="inlineStr">
        <is>
          <t>4G</t>
        </is>
      </c>
      <c r="M738" t="inlineStr">
        <is>
          <t>2100</t>
        </is>
      </c>
      <c r="N738" t="inlineStr"/>
      <c r="O738" t="n">
        <v>4</v>
      </c>
      <c r="P738" t="n">
        <v>90</v>
      </c>
      <c r="Q738" t="n">
        <v>0</v>
      </c>
      <c r="Y738" t="inlineStr">
        <is>
          <t>2T2R</t>
        </is>
      </c>
      <c r="AB738" t="inlineStr">
        <is>
          <t>R9264H M901821</t>
        </is>
      </c>
      <c r="AC738" t="inlineStr">
        <is>
          <t>A9652 S35*3+R9264H M901821*3+R9254E S8500*2</t>
        </is>
      </c>
    </row>
    <row r="739" hidden="1" ht="15" customHeight="1" s="99">
      <c r="A739" t="inlineStr">
        <is>
          <t>GMKUR4</t>
        </is>
      </c>
      <c r="B739" t="inlineStr">
        <is>
          <t>GMKUR4_G0L00_Kurana4_TXD_Ne</t>
        </is>
      </c>
      <c r="F739" t="n">
        <v>7.179093</v>
      </c>
      <c r="G739" t="n">
        <v>79.862674</v>
      </c>
      <c r="H739" t="inlineStr">
        <is>
          <t>GMKUR4G</t>
        </is>
      </c>
      <c r="K739" t="inlineStr">
        <is>
          <t>S1</t>
        </is>
      </c>
      <c r="L739" t="inlineStr">
        <is>
          <t>4G</t>
        </is>
      </c>
      <c r="M739" t="inlineStr">
        <is>
          <t>1800</t>
        </is>
      </c>
      <c r="N739" t="inlineStr">
        <is>
          <t>APE4517R0v06</t>
        </is>
      </c>
      <c r="O739" t="n">
        <v>4</v>
      </c>
      <c r="P739" t="n">
        <v>90</v>
      </c>
      <c r="Q739" t="n">
        <v>0</v>
      </c>
      <c r="Y739" t="inlineStr">
        <is>
          <t>4T4R</t>
        </is>
      </c>
      <c r="AB739" t="inlineStr">
        <is>
          <t>R9264H M901821</t>
        </is>
      </c>
      <c r="AC739" t="inlineStr">
        <is>
          <t>A9652 S35*3+R9264H M901821*3+R9254E S8500*2</t>
        </is>
      </c>
    </row>
    <row r="740" hidden="1" ht="15" customHeight="1" s="99">
      <c r="A740" t="inlineStr">
        <is>
          <t>GMKUR4</t>
        </is>
      </c>
      <c r="B740" t="inlineStr"/>
      <c r="F740">
        <f>_xlfn.XLOOKUP(A740,'[1]4G Parameters'!$E:$E,'[1]4G Parameters'!$J:$J)</f>
        <v/>
      </c>
      <c r="G740">
        <f>_xlfn.XLOOKUP(A740,'[1]4G Parameters'!$E:$E,'[1]4G Parameters'!$I:$I)</f>
        <v/>
      </c>
      <c r="H740" t="inlineStr">
        <is>
          <t>GMKUR4B</t>
        </is>
      </c>
      <c r="K740" t="inlineStr">
        <is>
          <t>S2</t>
        </is>
      </c>
      <c r="L740" t="inlineStr">
        <is>
          <t>2G</t>
        </is>
      </c>
      <c r="M740" t="inlineStr">
        <is>
          <t>900</t>
        </is>
      </c>
      <c r="N740" t="inlineStr"/>
      <c r="O740" t="n">
        <v>6</v>
      </c>
      <c r="P740" t="n">
        <v>160</v>
      </c>
      <c r="Q740" t="n">
        <v>2</v>
      </c>
      <c r="Y740" t="inlineStr"/>
      <c r="AB740" t="inlineStr">
        <is>
          <t>R9264H M901821</t>
        </is>
      </c>
      <c r="AC740" t="inlineStr">
        <is>
          <t>A9652 S35*3+R9264H M901821*3+R9254E S8500*2</t>
        </is>
      </c>
    </row>
    <row r="741" hidden="1" ht="15" customHeight="1" s="99">
      <c r="A741" t="inlineStr">
        <is>
          <t>GMKUR4</t>
        </is>
      </c>
      <c r="B741" t="inlineStr"/>
      <c r="F741">
        <f>_xlfn.XLOOKUP(A741,'[1]4G Parameters'!$E:$E,'[1]4G Parameters'!$J:$J)</f>
        <v/>
      </c>
      <c r="G741">
        <f>_xlfn.XLOOKUP(A741,'[1]4G Parameters'!$E:$E,'[1]4G Parameters'!$I:$I)</f>
        <v/>
      </c>
      <c r="H741" t="inlineStr">
        <is>
          <t>GMKUR4Q</t>
        </is>
      </c>
      <c r="K741" t="inlineStr">
        <is>
          <t>S2</t>
        </is>
      </c>
      <c r="L741" t="inlineStr">
        <is>
          <t>2G</t>
        </is>
      </c>
      <c r="M741" t="inlineStr">
        <is>
          <t>1800</t>
        </is>
      </c>
      <c r="N741" t="inlineStr"/>
      <c r="O741" t="n">
        <v>6</v>
      </c>
      <c r="P741" t="n">
        <v>160</v>
      </c>
      <c r="Q741" t="n">
        <v>2</v>
      </c>
      <c r="Y741" t="inlineStr"/>
      <c r="AB741" t="inlineStr">
        <is>
          <t>R9264H M901821</t>
        </is>
      </c>
      <c r="AC741" t="inlineStr">
        <is>
          <t>A9652 S35*3+R9264H M901821*3+R9254E S8500*2</t>
        </is>
      </c>
    </row>
    <row r="742" hidden="1" ht="15" customHeight="1" s="99">
      <c r="A742" t="inlineStr">
        <is>
          <t>GMKUR4</t>
        </is>
      </c>
      <c r="B742" t="inlineStr">
        <is>
          <t>GMKUR4_G0L00_Kurana4_TXD_Ne</t>
        </is>
      </c>
      <c r="F742" t="n">
        <v>7.179093</v>
      </c>
      <c r="G742" t="n">
        <v>79.862674</v>
      </c>
      <c r="H742" t="inlineStr">
        <is>
          <t>GMKUR4-M-L85-B1</t>
        </is>
      </c>
      <c r="K742" t="inlineStr">
        <is>
          <t>S2</t>
        </is>
      </c>
      <c r="L742" t="inlineStr">
        <is>
          <t>4G</t>
        </is>
      </c>
      <c r="M742" t="inlineStr">
        <is>
          <t>850</t>
        </is>
      </c>
      <c r="N742" t="inlineStr">
        <is>
          <t>APE4517R0v06</t>
        </is>
      </c>
      <c r="O742" t="n">
        <v>4</v>
      </c>
      <c r="P742" t="n">
        <v>160</v>
      </c>
      <c r="Q742" t="n">
        <v>0</v>
      </c>
      <c r="Y742" t="inlineStr">
        <is>
          <t>2T2R</t>
        </is>
      </c>
      <c r="AB742" t="inlineStr">
        <is>
          <t>R9254E S8500</t>
        </is>
      </c>
      <c r="AC742" t="inlineStr">
        <is>
          <t>A9652 S35*3+R9264H M901821*3+R9254E S8500*2</t>
        </is>
      </c>
    </row>
    <row r="743" hidden="1" ht="15" customHeight="1" s="99">
      <c r="A743" t="inlineStr">
        <is>
          <t>GMKUR4</t>
        </is>
      </c>
      <c r="B743" t="inlineStr">
        <is>
          <t>GMKUR4_G0L00_Kurana4_TXD_Ne</t>
        </is>
      </c>
      <c r="F743" t="n">
        <v>7.179093</v>
      </c>
      <c r="G743" t="n">
        <v>79.862674</v>
      </c>
      <c r="H743" t="inlineStr">
        <is>
          <t>GMKUR4-M-L21-B2</t>
        </is>
      </c>
      <c r="K743" t="inlineStr">
        <is>
          <t>S2</t>
        </is>
      </c>
      <c r="L743" t="inlineStr">
        <is>
          <t>4G</t>
        </is>
      </c>
      <c r="M743" t="inlineStr">
        <is>
          <t>2100</t>
        </is>
      </c>
      <c r="N743" t="inlineStr"/>
      <c r="O743" t="n">
        <v>4</v>
      </c>
      <c r="P743" t="n">
        <v>160</v>
      </c>
      <c r="Q743" t="n">
        <v>0</v>
      </c>
      <c r="Y743" t="inlineStr">
        <is>
          <t>2T2R</t>
        </is>
      </c>
      <c r="AB743" t="inlineStr">
        <is>
          <t>R9264H M901821</t>
        </is>
      </c>
      <c r="AC743" t="inlineStr">
        <is>
          <t>A9652 S35*3+R9264H M901821*3+R9254E S8500*2</t>
        </is>
      </c>
    </row>
    <row r="744" hidden="1" ht="15" customHeight="1" s="99">
      <c r="A744" t="inlineStr">
        <is>
          <t>GMKUR4</t>
        </is>
      </c>
      <c r="B744" t="inlineStr">
        <is>
          <t>GMKUR4_G0L00_Kurana4_TXD_Ne</t>
        </is>
      </c>
      <c r="F744" t="n">
        <v>7.179093</v>
      </c>
      <c r="G744" t="n">
        <v>79.862674</v>
      </c>
      <c r="H744" t="inlineStr">
        <is>
          <t>GMKUR4H</t>
        </is>
      </c>
      <c r="K744" t="inlineStr">
        <is>
          <t>S2</t>
        </is>
      </c>
      <c r="L744" t="inlineStr">
        <is>
          <t>4G</t>
        </is>
      </c>
      <c r="M744" t="inlineStr">
        <is>
          <t>1800</t>
        </is>
      </c>
      <c r="N744" t="inlineStr">
        <is>
          <t>APE4517R0v06</t>
        </is>
      </c>
      <c r="O744" t="n">
        <v>4</v>
      </c>
      <c r="P744" t="n">
        <v>160</v>
      </c>
      <c r="Q744" t="n">
        <v>0</v>
      </c>
      <c r="Y744" t="inlineStr">
        <is>
          <t>4T4R</t>
        </is>
      </c>
      <c r="AB744" t="inlineStr">
        <is>
          <t>R9264H M901821</t>
        </is>
      </c>
      <c r="AC744" t="inlineStr">
        <is>
          <t>A9652 S35*3+R9264H M901821*3+R9254E S8500*2</t>
        </is>
      </c>
    </row>
    <row r="745" hidden="1" ht="15" customHeight="1" s="99">
      <c r="A745" t="inlineStr">
        <is>
          <t>GMKUR4</t>
        </is>
      </c>
      <c r="B745" t="inlineStr"/>
      <c r="F745">
        <f>_xlfn.XLOOKUP(A745,'[1]4G Parameters'!$E:$E,'[1]4G Parameters'!$J:$J)</f>
        <v/>
      </c>
      <c r="G745">
        <f>_xlfn.XLOOKUP(A745,'[1]4G Parameters'!$E:$E,'[1]4G Parameters'!$I:$I)</f>
        <v/>
      </c>
      <c r="H745" t="inlineStr">
        <is>
          <t>GMKUR4C</t>
        </is>
      </c>
      <c r="K745" t="inlineStr">
        <is>
          <t>S3</t>
        </is>
      </c>
      <c r="L745" t="inlineStr">
        <is>
          <t>2G</t>
        </is>
      </c>
      <c r="M745" t="inlineStr">
        <is>
          <t>900</t>
        </is>
      </c>
      <c r="N745" t="inlineStr"/>
      <c r="O745" t="n">
        <v>6</v>
      </c>
      <c r="P745" t="n">
        <v>350</v>
      </c>
      <c r="Q745" t="n">
        <v>2</v>
      </c>
      <c r="Y745" t="inlineStr"/>
      <c r="AB745" t="inlineStr">
        <is>
          <t>R9264H M901821</t>
        </is>
      </c>
      <c r="AC745" t="inlineStr">
        <is>
          <t>A9652 S35*3+R9264H M901821*3+R9254E S8500*2</t>
        </is>
      </c>
    </row>
    <row r="746" hidden="1" ht="15" customHeight="1" s="99">
      <c r="A746" t="inlineStr">
        <is>
          <t>GMKUR4</t>
        </is>
      </c>
      <c r="B746" t="inlineStr"/>
      <c r="F746">
        <f>_xlfn.XLOOKUP(A746,'[1]4G Parameters'!$E:$E,'[1]4G Parameters'!$J:$J)</f>
        <v/>
      </c>
      <c r="G746">
        <f>_xlfn.XLOOKUP(A746,'[1]4G Parameters'!$E:$E,'[1]4G Parameters'!$I:$I)</f>
        <v/>
      </c>
      <c r="H746" t="inlineStr">
        <is>
          <t>GMKUR4R</t>
        </is>
      </c>
      <c r="K746" t="inlineStr">
        <is>
          <t>S3</t>
        </is>
      </c>
      <c r="L746" t="inlineStr">
        <is>
          <t>2G</t>
        </is>
      </c>
      <c r="M746" t="inlineStr">
        <is>
          <t>1800</t>
        </is>
      </c>
      <c r="N746" t="inlineStr"/>
      <c r="O746" t="n">
        <v>6</v>
      </c>
      <c r="P746" t="n">
        <v>350</v>
      </c>
      <c r="Q746" t="n">
        <v>2</v>
      </c>
      <c r="Y746" t="inlineStr"/>
      <c r="AB746" t="inlineStr">
        <is>
          <t>R9264H M901821</t>
        </is>
      </c>
      <c r="AC746" t="inlineStr">
        <is>
          <t>A9652 S35*3+R9264H M901821*3+R9254E S8500*2</t>
        </is>
      </c>
    </row>
    <row r="747" hidden="1" ht="15" customHeight="1" s="99">
      <c r="A747" t="inlineStr">
        <is>
          <t>GMKUR4</t>
        </is>
      </c>
      <c r="B747" t="inlineStr">
        <is>
          <t>GMKUR4_G0L00_Kurana4_TXD_Ne</t>
        </is>
      </c>
      <c r="F747" t="n">
        <v>7.179093</v>
      </c>
      <c r="G747" t="n">
        <v>79.862674</v>
      </c>
      <c r="H747" t="inlineStr">
        <is>
          <t>GMKUR4-M-L85-C1</t>
        </is>
      </c>
      <c r="K747" t="inlineStr">
        <is>
          <t>S3</t>
        </is>
      </c>
      <c r="L747" t="inlineStr">
        <is>
          <t>4G</t>
        </is>
      </c>
      <c r="M747" t="inlineStr">
        <is>
          <t>850</t>
        </is>
      </c>
      <c r="N747" t="inlineStr">
        <is>
          <t>APE4517R0v06</t>
        </is>
      </c>
      <c r="O747" t="n">
        <v>4</v>
      </c>
      <c r="P747" t="n">
        <v>350</v>
      </c>
      <c r="Q747" t="n">
        <v>0</v>
      </c>
      <c r="Y747" t="inlineStr">
        <is>
          <t>2T2R</t>
        </is>
      </c>
      <c r="AB747" t="inlineStr">
        <is>
          <t>R9254E S8500</t>
        </is>
      </c>
      <c r="AC747" t="inlineStr">
        <is>
          <t>A9652 S35*3+R9264H M901821*3+R9254E S8500*2</t>
        </is>
      </c>
    </row>
    <row r="748" hidden="1" ht="15" customHeight="1" s="99">
      <c r="A748" t="inlineStr">
        <is>
          <t>GMKUR4</t>
        </is>
      </c>
      <c r="B748" t="inlineStr">
        <is>
          <t>GMKUR4_G0L00_Kurana4_TXD_Ne</t>
        </is>
      </c>
      <c r="F748" t="n">
        <v>7.179093</v>
      </c>
      <c r="G748" t="n">
        <v>79.862674</v>
      </c>
      <c r="H748" t="inlineStr">
        <is>
          <t>GMKUR4-M-L21-C2</t>
        </is>
      </c>
      <c r="K748" t="inlineStr">
        <is>
          <t>S3</t>
        </is>
      </c>
      <c r="L748" t="inlineStr">
        <is>
          <t>4G</t>
        </is>
      </c>
      <c r="M748" t="inlineStr">
        <is>
          <t>2100</t>
        </is>
      </c>
      <c r="N748" t="inlineStr"/>
      <c r="O748" t="n">
        <v>4</v>
      </c>
      <c r="P748" t="n">
        <v>350</v>
      </c>
      <c r="Q748" t="n">
        <v>0</v>
      </c>
      <c r="Y748" t="inlineStr">
        <is>
          <t>2T2R</t>
        </is>
      </c>
      <c r="AB748" t="inlineStr">
        <is>
          <t>R9264H M901821</t>
        </is>
      </c>
      <c r="AC748" t="inlineStr">
        <is>
          <t>A9652 S35*3+R9264H M901821*3+R9254E S8500*2</t>
        </is>
      </c>
    </row>
    <row r="749" hidden="1" ht="15" customHeight="1" s="99">
      <c r="A749" t="inlineStr">
        <is>
          <t>GMKUR4</t>
        </is>
      </c>
      <c r="B749" t="inlineStr">
        <is>
          <t>GMKUR4_G0L00_Kurana4_TXD_Ne</t>
        </is>
      </c>
      <c r="F749" t="n">
        <v>7.179093</v>
      </c>
      <c r="G749" t="n">
        <v>79.862674</v>
      </c>
      <c r="H749" t="inlineStr">
        <is>
          <t>GMKUR4I</t>
        </is>
      </c>
      <c r="K749" t="inlineStr">
        <is>
          <t>S3</t>
        </is>
      </c>
      <c r="L749" t="inlineStr">
        <is>
          <t>4G</t>
        </is>
      </c>
      <c r="M749" t="inlineStr">
        <is>
          <t>1800</t>
        </is>
      </c>
      <c r="N749" t="inlineStr">
        <is>
          <t>APE4517R0v06</t>
        </is>
      </c>
      <c r="O749" t="n">
        <v>4</v>
      </c>
      <c r="P749" t="n">
        <v>350</v>
      </c>
      <c r="Q749" t="n">
        <v>0</v>
      </c>
      <c r="Y749" t="inlineStr">
        <is>
          <t>4T4R</t>
        </is>
      </c>
      <c r="AB749" t="inlineStr">
        <is>
          <t>R9264H M901821</t>
        </is>
      </c>
      <c r="AC749" t="inlineStr">
        <is>
          <t>A9652 S35*3+R9264H M901821*3+R9254E S8500*2</t>
        </is>
      </c>
    </row>
    <row r="750" hidden="1" ht="15" customHeight="1" s="99">
      <c r="A750" t="inlineStr">
        <is>
          <t>GMNEG1</t>
        </is>
      </c>
      <c r="B750" t="inlineStr"/>
      <c r="F750">
        <f>_xlfn.XLOOKUP(A750,'[1]4G Parameters'!$E:$E,'[1]4G Parameters'!$J:$J)</f>
        <v/>
      </c>
      <c r="G750">
        <f>_xlfn.XLOOKUP(A750,'[1]4G Parameters'!$E:$E,'[1]4G Parameters'!$I:$I)</f>
        <v/>
      </c>
      <c r="H750" t="inlineStr">
        <is>
          <t>GMNEG1D</t>
        </is>
      </c>
      <c r="K750" t="inlineStr">
        <is>
          <t>S1</t>
        </is>
      </c>
      <c r="L750" t="inlineStr">
        <is>
          <t>2G</t>
        </is>
      </c>
      <c r="M750" t="inlineStr">
        <is>
          <t>900</t>
        </is>
      </c>
      <c r="N750" t="inlineStr"/>
      <c r="O750" t="n">
        <v>21</v>
      </c>
      <c r="P750" t="n">
        <v>0</v>
      </c>
      <c r="Q750" t="n">
        <v>2</v>
      </c>
      <c r="Y750" t="inlineStr"/>
      <c r="AB750" t="inlineStr">
        <is>
          <t>R9264H M901821</t>
        </is>
      </c>
      <c r="AC750" t="inlineStr">
        <is>
          <t>A9652 S35*3+R9264H M901821*3+R9254E S8500*2+R9264 M1821N*1</t>
        </is>
      </c>
    </row>
    <row r="751" hidden="1" ht="15" customHeight="1" s="99">
      <c r="A751" t="inlineStr">
        <is>
          <t>GMNEG1</t>
        </is>
      </c>
      <c r="B751" t="inlineStr"/>
      <c r="F751">
        <f>_xlfn.XLOOKUP(A751,'[1]4G Parameters'!$E:$E,'[1]4G Parameters'!$J:$J)</f>
        <v/>
      </c>
      <c r="G751">
        <f>_xlfn.XLOOKUP(A751,'[1]4G Parameters'!$E:$E,'[1]4G Parameters'!$I:$I)</f>
        <v/>
      </c>
      <c r="H751" t="inlineStr">
        <is>
          <t>GMNEG1S</t>
        </is>
      </c>
      <c r="K751" t="inlineStr">
        <is>
          <t>S1</t>
        </is>
      </c>
      <c r="L751" t="inlineStr">
        <is>
          <t>2G</t>
        </is>
      </c>
      <c r="M751" t="inlineStr">
        <is>
          <t>1800</t>
        </is>
      </c>
      <c r="N751" t="inlineStr">
        <is>
          <t>AQU4518R9v06</t>
        </is>
      </c>
      <c r="O751" t="n">
        <v>21</v>
      </c>
      <c r="P751" t="n">
        <v>0</v>
      </c>
      <c r="Q751" t="n">
        <v>2</v>
      </c>
      <c r="Y751" t="inlineStr"/>
      <c r="AB751" t="inlineStr">
        <is>
          <t>R9264H M901821</t>
        </is>
      </c>
      <c r="AC751" t="inlineStr">
        <is>
          <t>A9652 S35*3+R9264H M901821*3+R9254E S8500*2+R9264 M1821N*1</t>
        </is>
      </c>
    </row>
    <row r="752" hidden="1" ht="15" customHeight="1" s="99">
      <c r="A752" t="inlineStr">
        <is>
          <t>GMNEG1</t>
        </is>
      </c>
      <c r="B752" t="inlineStr">
        <is>
          <t>GMNEG1_GULM0_NEGAMBO_Ne</t>
        </is>
      </c>
      <c r="F752" t="n">
        <v>7.2059</v>
      </c>
      <c r="G752" t="n">
        <v>79.8419</v>
      </c>
      <c r="H752" t="inlineStr">
        <is>
          <t>GMNEG1-M-L85-A1</t>
        </is>
      </c>
      <c r="K752" t="inlineStr">
        <is>
          <t>S1</t>
        </is>
      </c>
      <c r="L752" t="inlineStr">
        <is>
          <t>4G</t>
        </is>
      </c>
      <c r="M752" t="inlineStr">
        <is>
          <t>850</t>
        </is>
      </c>
      <c r="N752" t="inlineStr">
        <is>
          <t>AQU4518R9v06</t>
        </is>
      </c>
      <c r="O752" t="n">
        <v>80</v>
      </c>
      <c r="P752" t="n">
        <v>0</v>
      </c>
      <c r="Q752" t="n">
        <v>0</v>
      </c>
      <c r="Y752" t="inlineStr">
        <is>
          <t>2T2R</t>
        </is>
      </c>
      <c r="AB752" t="inlineStr">
        <is>
          <t>R9254E S8500</t>
        </is>
      </c>
      <c r="AC752" t="inlineStr">
        <is>
          <t>A9652 S35*3+R9264H M901821*3+R9254E S8500*2+R9264 M1821N*1</t>
        </is>
      </c>
    </row>
    <row r="753" hidden="1" ht="15" customHeight="1" s="99">
      <c r="A753" t="inlineStr">
        <is>
          <t>GMNEG1</t>
        </is>
      </c>
      <c r="B753" t="inlineStr">
        <is>
          <t>GMNEG1_GULM0_NEGAMBO_Ne</t>
        </is>
      </c>
      <c r="F753" t="n">
        <v>7.2059</v>
      </c>
      <c r="G753" t="n">
        <v>79.8419</v>
      </c>
      <c r="H753" t="inlineStr">
        <is>
          <t>GMNEG1-M-L21-A2</t>
        </is>
      </c>
      <c r="K753" t="inlineStr">
        <is>
          <t>S1</t>
        </is>
      </c>
      <c r="L753" t="inlineStr">
        <is>
          <t>4G</t>
        </is>
      </c>
      <c r="M753" t="inlineStr">
        <is>
          <t>2100</t>
        </is>
      </c>
      <c r="N753" t="inlineStr">
        <is>
          <t>AQU4518R9v06</t>
        </is>
      </c>
      <c r="O753" t="n">
        <v>80</v>
      </c>
      <c r="P753" t="n">
        <v>0</v>
      </c>
      <c r="Q753" t="n">
        <v>0</v>
      </c>
      <c r="Y753" t="inlineStr">
        <is>
          <t>4T4R</t>
        </is>
      </c>
      <c r="AB753" t="inlineStr">
        <is>
          <t>R9264H M901821</t>
        </is>
      </c>
      <c r="AC753" t="inlineStr">
        <is>
          <t>A9652 S35*3+R9264H M901821*3+R9254E S8500*2+R9264 M1821N*1</t>
        </is>
      </c>
    </row>
    <row r="754" hidden="1" ht="15" customHeight="1" s="99">
      <c r="A754" t="inlineStr">
        <is>
          <t>GMNEG1</t>
        </is>
      </c>
      <c r="B754" t="inlineStr">
        <is>
          <t>GMNEG1_GULM0_NEGAMBO_Ne</t>
        </is>
      </c>
      <c r="F754" t="n">
        <v>7.2059</v>
      </c>
      <c r="G754" t="n">
        <v>79.8419</v>
      </c>
      <c r="H754" t="inlineStr">
        <is>
          <t>GMNEG1G</t>
        </is>
      </c>
      <c r="K754" t="inlineStr">
        <is>
          <t>S1</t>
        </is>
      </c>
      <c r="L754" t="inlineStr">
        <is>
          <t>4G</t>
        </is>
      </c>
      <c r="M754" t="inlineStr">
        <is>
          <t>1800</t>
        </is>
      </c>
      <c r="N754" t="inlineStr">
        <is>
          <t>AQU4518R9v06</t>
        </is>
      </c>
      <c r="O754" t="n">
        <v>80</v>
      </c>
      <c r="P754" t="n">
        <v>0</v>
      </c>
      <c r="Q754" t="n">
        <v>0</v>
      </c>
      <c r="Y754" t="inlineStr">
        <is>
          <t>4T4R</t>
        </is>
      </c>
      <c r="AB754" t="inlineStr">
        <is>
          <t>R9264H M901821</t>
        </is>
      </c>
      <c r="AC754" t="inlineStr">
        <is>
          <t>A9652 S35*3+R9264H M901821*3+R9254E S8500*2+R9264 M1821N*1</t>
        </is>
      </c>
    </row>
    <row r="755" hidden="1" ht="15" customHeight="1" s="99">
      <c r="A755" t="inlineStr">
        <is>
          <t>GMNEG1</t>
        </is>
      </c>
      <c r="B755" t="inlineStr"/>
      <c r="F755">
        <f>_xlfn.XLOOKUP(A755,'[1]4G Parameters'!$E:$E,'[1]4G Parameters'!$J:$J)</f>
        <v/>
      </c>
      <c r="G755">
        <f>_xlfn.XLOOKUP(A755,'[1]4G Parameters'!$E:$E,'[1]4G Parameters'!$I:$I)</f>
        <v/>
      </c>
      <c r="H755" t="inlineStr">
        <is>
          <t>GMNEG1E</t>
        </is>
      </c>
      <c r="K755" t="inlineStr">
        <is>
          <t>S2</t>
        </is>
      </c>
      <c r="L755" t="inlineStr">
        <is>
          <t>2G</t>
        </is>
      </c>
      <c r="M755" t="inlineStr">
        <is>
          <t>900</t>
        </is>
      </c>
      <c r="N755" t="inlineStr"/>
      <c r="O755" t="n">
        <v>21</v>
      </c>
      <c r="P755" t="n">
        <v>120</v>
      </c>
      <c r="Q755" t="n">
        <v>2</v>
      </c>
      <c r="Y755" t="inlineStr"/>
      <c r="AB755" t="inlineStr">
        <is>
          <t>R9264H M901821</t>
        </is>
      </c>
      <c r="AC755" t="inlineStr">
        <is>
          <t>A9652 S35*3+R9264H M901821*3+R9254E S8500*2+R9264 M1821N*1</t>
        </is>
      </c>
    </row>
    <row r="756" hidden="1" ht="15" customHeight="1" s="99">
      <c r="A756" t="inlineStr">
        <is>
          <t>GMNEG1</t>
        </is>
      </c>
      <c r="B756" t="inlineStr"/>
      <c r="F756">
        <f>_xlfn.XLOOKUP(A756,'[1]4G Parameters'!$E:$E,'[1]4G Parameters'!$J:$J)</f>
        <v/>
      </c>
      <c r="G756">
        <f>_xlfn.XLOOKUP(A756,'[1]4G Parameters'!$E:$E,'[1]4G Parameters'!$I:$I)</f>
        <v/>
      </c>
      <c r="H756" t="inlineStr">
        <is>
          <t>GMNEG1T</t>
        </is>
      </c>
      <c r="K756" t="inlineStr">
        <is>
          <t>S2</t>
        </is>
      </c>
      <c r="L756" t="inlineStr">
        <is>
          <t>2G</t>
        </is>
      </c>
      <c r="M756" t="inlineStr">
        <is>
          <t>1800</t>
        </is>
      </c>
      <c r="N756" t="inlineStr">
        <is>
          <t>AQU4518R9v06</t>
        </is>
      </c>
      <c r="O756" t="n">
        <v>21</v>
      </c>
      <c r="P756" t="n">
        <v>120</v>
      </c>
      <c r="Q756" t="n">
        <v>2</v>
      </c>
      <c r="Y756" t="inlineStr"/>
      <c r="AB756" t="inlineStr">
        <is>
          <t>R9264H M901821</t>
        </is>
      </c>
      <c r="AC756" t="inlineStr">
        <is>
          <t>A9652 S35*3+R9264H M901821*3+R9254E S8500*2+R9264 M1821N*1</t>
        </is>
      </c>
    </row>
    <row r="757" hidden="1" ht="15" customHeight="1" s="99">
      <c r="A757" t="inlineStr">
        <is>
          <t>GMNEG1</t>
        </is>
      </c>
      <c r="B757" t="inlineStr">
        <is>
          <t>GMNEG1_GULM0_NEGAMBO_Ne</t>
        </is>
      </c>
      <c r="F757" t="n">
        <v>7.2059</v>
      </c>
      <c r="G757" t="n">
        <v>79.8419</v>
      </c>
      <c r="H757" t="inlineStr">
        <is>
          <t>GMNEG1-M-L85-B1</t>
        </is>
      </c>
      <c r="K757" t="inlineStr">
        <is>
          <t>S2</t>
        </is>
      </c>
      <c r="L757" t="inlineStr">
        <is>
          <t>4G</t>
        </is>
      </c>
      <c r="M757" t="inlineStr">
        <is>
          <t>850</t>
        </is>
      </c>
      <c r="N757" t="inlineStr">
        <is>
          <t>AQU4518R9v06</t>
        </is>
      </c>
      <c r="O757" t="n">
        <v>80</v>
      </c>
      <c r="P757" t="n">
        <v>90</v>
      </c>
      <c r="Q757" t="n">
        <v>0</v>
      </c>
      <c r="Y757" t="inlineStr">
        <is>
          <t>2T2R</t>
        </is>
      </c>
      <c r="AB757" t="inlineStr">
        <is>
          <t>R9254E S8500</t>
        </is>
      </c>
      <c r="AC757" t="inlineStr">
        <is>
          <t>A9652 S35*3+R9264H M901821*3+R9254E S8500*2+R9264 M1821N*1</t>
        </is>
      </c>
    </row>
    <row r="758" hidden="1" ht="15" customHeight="1" s="99">
      <c r="A758" t="inlineStr">
        <is>
          <t>GMNEG1</t>
        </is>
      </c>
      <c r="B758" t="inlineStr">
        <is>
          <t>GMNEG1_GULM0_NEGAMBO_Ne</t>
        </is>
      </c>
      <c r="F758" t="n">
        <v>7.2059</v>
      </c>
      <c r="G758" t="n">
        <v>79.8419</v>
      </c>
      <c r="H758" t="inlineStr">
        <is>
          <t>GMNEG1-M-L21-B2</t>
        </is>
      </c>
      <c r="K758" t="inlineStr">
        <is>
          <t>S2</t>
        </is>
      </c>
      <c r="L758" t="inlineStr">
        <is>
          <t>4G</t>
        </is>
      </c>
      <c r="M758" t="inlineStr">
        <is>
          <t>2100</t>
        </is>
      </c>
      <c r="N758" t="inlineStr">
        <is>
          <t>AQU4518R9v06</t>
        </is>
      </c>
      <c r="O758" t="n">
        <v>80</v>
      </c>
      <c r="P758" t="n">
        <v>90</v>
      </c>
      <c r="Q758" t="n">
        <v>0</v>
      </c>
      <c r="Y758" t="inlineStr">
        <is>
          <t>4T4R</t>
        </is>
      </c>
      <c r="AB758" t="inlineStr">
        <is>
          <t>R9264H M901821</t>
        </is>
      </c>
      <c r="AC758" t="inlineStr">
        <is>
          <t>A9652 S35*3+R9264H M901821*3+R9254E S8500*2+R9264 M1821N*1</t>
        </is>
      </c>
    </row>
    <row r="759" hidden="1" ht="15" customHeight="1" s="99">
      <c r="A759" t="inlineStr">
        <is>
          <t>GMNEG1</t>
        </is>
      </c>
      <c r="B759" t="inlineStr">
        <is>
          <t>GMNEG1_GULM0_NEGAMBO_Ne</t>
        </is>
      </c>
      <c r="F759" t="n">
        <v>7.2059</v>
      </c>
      <c r="G759" t="n">
        <v>79.8419</v>
      </c>
      <c r="H759" t="inlineStr">
        <is>
          <t>GMNEG1H</t>
        </is>
      </c>
      <c r="K759" t="inlineStr">
        <is>
          <t>S2</t>
        </is>
      </c>
      <c r="L759" t="inlineStr">
        <is>
          <t>4G</t>
        </is>
      </c>
      <c r="M759" t="inlineStr">
        <is>
          <t>1800</t>
        </is>
      </c>
      <c r="N759" t="inlineStr">
        <is>
          <t>AQU4518R9v06</t>
        </is>
      </c>
      <c r="O759" t="n">
        <v>80</v>
      </c>
      <c r="P759" t="n">
        <v>90</v>
      </c>
      <c r="Q759" t="n">
        <v>0</v>
      </c>
      <c r="Y759" t="inlineStr">
        <is>
          <t>4T4R</t>
        </is>
      </c>
      <c r="AB759" t="inlineStr">
        <is>
          <t>R9264H M901821</t>
        </is>
      </c>
      <c r="AC759" t="inlineStr">
        <is>
          <t>A9652 S35*3+R9264H M901821*3+R9254E S8500*2+R9264 M1821N*1</t>
        </is>
      </c>
    </row>
    <row r="760" hidden="1" ht="15" customHeight="1" s="99">
      <c r="A760" t="inlineStr">
        <is>
          <t>GMNEG1</t>
        </is>
      </c>
      <c r="B760" t="inlineStr"/>
      <c r="F760">
        <f>_xlfn.XLOOKUP(A760,'[1]4G Parameters'!$E:$E,'[1]4G Parameters'!$J:$J)</f>
        <v/>
      </c>
      <c r="G760">
        <f>_xlfn.XLOOKUP(A760,'[1]4G Parameters'!$E:$E,'[1]4G Parameters'!$I:$I)</f>
        <v/>
      </c>
      <c r="H760" t="inlineStr">
        <is>
          <t>GMNEG1F</t>
        </is>
      </c>
      <c r="K760" t="inlineStr">
        <is>
          <t>S3</t>
        </is>
      </c>
      <c r="L760" t="inlineStr">
        <is>
          <t>2G</t>
        </is>
      </c>
      <c r="M760" t="inlineStr">
        <is>
          <t>900</t>
        </is>
      </c>
      <c r="N760" t="inlineStr"/>
      <c r="O760" t="n">
        <v>21</v>
      </c>
      <c r="P760" t="n">
        <v>240</v>
      </c>
      <c r="Q760" t="n">
        <v>2</v>
      </c>
      <c r="Y760" t="inlineStr"/>
      <c r="AB760" t="inlineStr">
        <is>
          <t>R9264H M901821</t>
        </is>
      </c>
      <c r="AC760" t="inlineStr">
        <is>
          <t>A9652 S35*3+R9264H M901821*3+R9254E S8500*2+R9264 M1821N*1</t>
        </is>
      </c>
    </row>
    <row r="761" hidden="1" ht="15" customHeight="1" s="99">
      <c r="A761" t="inlineStr">
        <is>
          <t>GMNEG1</t>
        </is>
      </c>
      <c r="B761" t="inlineStr"/>
      <c r="D761" t="inlineStr">
        <is>
          <t>缺S1800</t>
        </is>
      </c>
      <c r="F761">
        <f>_xlfn.XLOOKUP(A761,'[1]4G Parameters'!$E:$E,'[1]4G Parameters'!$J:$J)</f>
        <v/>
      </c>
      <c r="G761">
        <f>_xlfn.XLOOKUP(A761,'[1]4G Parameters'!$E:$E,'[1]4G Parameters'!$I:$I)</f>
        <v/>
      </c>
      <c r="H761" t="inlineStr">
        <is>
          <t>GMNEG1U</t>
        </is>
      </c>
      <c r="K761" t="inlineStr">
        <is>
          <t>S4</t>
        </is>
      </c>
      <c r="L761" t="inlineStr">
        <is>
          <t>2G</t>
        </is>
      </c>
      <c r="M761" t="inlineStr">
        <is>
          <t>1800</t>
        </is>
      </c>
      <c r="N761" t="inlineStr"/>
      <c r="O761" t="n">
        <v>21</v>
      </c>
      <c r="P761" t="n">
        <v>240</v>
      </c>
      <c r="Q761" t="n">
        <v>2</v>
      </c>
      <c r="Y761" t="inlineStr"/>
      <c r="AB761" t="inlineStr">
        <is>
          <t>?</t>
        </is>
      </c>
      <c r="AC761" t="inlineStr">
        <is>
          <t>A9652 S35*3+R9264H M901821*3+R9254E S8500*2+R9264 M1821N*1</t>
        </is>
      </c>
    </row>
    <row r="762" hidden="1" ht="15" customHeight="1" s="99">
      <c r="A762" t="inlineStr">
        <is>
          <t>GMNEG1</t>
        </is>
      </c>
      <c r="B762" t="inlineStr">
        <is>
          <t>GMNEG1_GULM0_NEGAMBO_Ne</t>
        </is>
      </c>
      <c r="F762" t="n">
        <v>7.2059</v>
      </c>
      <c r="G762" t="n">
        <v>79.8419</v>
      </c>
      <c r="H762" t="inlineStr">
        <is>
          <t>GMNEG1-M-L85-C1</t>
        </is>
      </c>
      <c r="K762" t="inlineStr">
        <is>
          <t>S3</t>
        </is>
      </c>
      <c r="L762" t="inlineStr">
        <is>
          <t>4G</t>
        </is>
      </c>
      <c r="M762" t="inlineStr">
        <is>
          <t>850</t>
        </is>
      </c>
      <c r="N762" t="inlineStr">
        <is>
          <t>AMB4519R5v06</t>
        </is>
      </c>
      <c r="O762" t="n">
        <v>80</v>
      </c>
      <c r="P762" t="n">
        <v>180</v>
      </c>
      <c r="Q762" t="n">
        <v>0</v>
      </c>
      <c r="Y762" t="inlineStr">
        <is>
          <t>2T2R</t>
        </is>
      </c>
      <c r="AB762" t="inlineStr">
        <is>
          <t>R9254E S8500</t>
        </is>
      </c>
      <c r="AC762" t="inlineStr">
        <is>
          <t>A9652 S35*3+R9264H M901821*3+R9254E S8500*2+R9264 M1821N*1</t>
        </is>
      </c>
    </row>
    <row r="763" hidden="1" ht="15" customHeight="1" s="99">
      <c r="A763" t="inlineStr">
        <is>
          <t>GMNEG1</t>
        </is>
      </c>
      <c r="B763" t="inlineStr">
        <is>
          <t>GMNEG1_GULM0_NEGAMBO_Ne</t>
        </is>
      </c>
      <c r="F763" t="n">
        <v>7.2059</v>
      </c>
      <c r="G763" t="n">
        <v>79.8419</v>
      </c>
      <c r="H763" t="inlineStr">
        <is>
          <t>GMNEG1-M-L21-C2</t>
        </is>
      </c>
      <c r="K763" t="inlineStr">
        <is>
          <t>S3</t>
        </is>
      </c>
      <c r="L763" t="inlineStr">
        <is>
          <t>4G</t>
        </is>
      </c>
      <c r="M763" t="inlineStr">
        <is>
          <t>2100</t>
        </is>
      </c>
      <c r="N763" t="inlineStr">
        <is>
          <t>AMB4519R5v06</t>
        </is>
      </c>
      <c r="O763" t="n">
        <v>80</v>
      </c>
      <c r="P763" t="n">
        <v>180</v>
      </c>
      <c r="Q763" t="n">
        <v>0</v>
      </c>
      <c r="Y763" t="inlineStr">
        <is>
          <t>2T2R</t>
        </is>
      </c>
      <c r="AB763" t="inlineStr">
        <is>
          <t>R9264H M901821</t>
        </is>
      </c>
      <c r="AC763" t="inlineStr">
        <is>
          <t>A9652 S35*3+R9264H M901821*3+R9254E S8500*2+R9264 M1821N*1</t>
        </is>
      </c>
    </row>
    <row r="764" hidden="1" ht="15" customHeight="1" s="99">
      <c r="A764" t="inlineStr">
        <is>
          <t>GMNEG1</t>
        </is>
      </c>
      <c r="B764" t="inlineStr">
        <is>
          <t>GMNEG1_GULM0_NEGAMBO_Ne</t>
        </is>
      </c>
      <c r="F764" t="n">
        <v>7.2059</v>
      </c>
      <c r="G764" t="n">
        <v>79.8419</v>
      </c>
      <c r="H764" t="inlineStr">
        <is>
          <t>GMNEG1-M-L21-C1</t>
        </is>
      </c>
      <c r="K764" t="inlineStr">
        <is>
          <t>S3</t>
        </is>
      </c>
      <c r="L764" t="inlineStr">
        <is>
          <t>4G</t>
        </is>
      </c>
      <c r="M764" t="inlineStr">
        <is>
          <t>2100</t>
        </is>
      </c>
      <c r="N764" t="inlineStr">
        <is>
          <t>AMB4519R5v06</t>
        </is>
      </c>
      <c r="O764" t="n">
        <v>80</v>
      </c>
      <c r="P764" t="n">
        <v>180</v>
      </c>
      <c r="Q764" t="n">
        <v>0</v>
      </c>
      <c r="Y764" t="inlineStr">
        <is>
          <t>2T2R</t>
        </is>
      </c>
      <c r="AB764" t="inlineStr">
        <is>
          <t>R9264 M1821N</t>
        </is>
      </c>
      <c r="AC764" t="inlineStr">
        <is>
          <t>A9652 S35*3+R9264H M901821*3+R9254E S8500*2+R9264 M1821N*1</t>
        </is>
      </c>
    </row>
    <row r="765" hidden="1" ht="15" customHeight="1" s="99">
      <c r="A765" t="inlineStr">
        <is>
          <t>GMNEG1</t>
        </is>
      </c>
      <c r="B765" t="inlineStr">
        <is>
          <t>GMNEG1_GULM0_NEGAMBO_Ne</t>
        </is>
      </c>
      <c r="F765" t="n">
        <v>7.2059</v>
      </c>
      <c r="G765" t="n">
        <v>79.8419</v>
      </c>
      <c r="H765" t="inlineStr">
        <is>
          <t>GMNEG1-M-L18-C1</t>
        </is>
      </c>
      <c r="K765" t="inlineStr">
        <is>
          <t>S3</t>
        </is>
      </c>
      <c r="L765" t="inlineStr">
        <is>
          <t>4G</t>
        </is>
      </c>
      <c r="M765" t="inlineStr">
        <is>
          <t>1800</t>
        </is>
      </c>
      <c r="N765" t="inlineStr">
        <is>
          <t>AMB4519R5v06</t>
        </is>
      </c>
      <c r="O765" t="n">
        <v>80</v>
      </c>
      <c r="P765" t="n">
        <v>180</v>
      </c>
      <c r="Q765" t="n">
        <v>0</v>
      </c>
      <c r="Y765" t="inlineStr">
        <is>
          <t>2T2R</t>
        </is>
      </c>
      <c r="AB765" t="inlineStr">
        <is>
          <t>R9264H M901821</t>
        </is>
      </c>
      <c r="AC765" t="inlineStr">
        <is>
          <t>A9652 S35*3+R9264H M901821*3+R9254E S8500*2+R9264 M1821N*1</t>
        </is>
      </c>
    </row>
    <row r="766" hidden="1" ht="15" customHeight="1" s="99">
      <c r="A766" t="inlineStr">
        <is>
          <t>GMNEG1</t>
        </is>
      </c>
      <c r="B766" t="inlineStr">
        <is>
          <t>GMNEG1_GULM0_NEGAMBO_Ne</t>
        </is>
      </c>
      <c r="F766" t="n">
        <v>7.2059</v>
      </c>
      <c r="G766" t="n">
        <v>79.8419</v>
      </c>
      <c r="H766" t="inlineStr">
        <is>
          <t>GMNEG1I</t>
        </is>
      </c>
      <c r="K766" t="inlineStr">
        <is>
          <t>S3</t>
        </is>
      </c>
      <c r="L766" t="inlineStr">
        <is>
          <t>4G</t>
        </is>
      </c>
      <c r="M766" t="inlineStr">
        <is>
          <t>1800</t>
        </is>
      </c>
      <c r="N766" t="inlineStr">
        <is>
          <t>AMB4519R5v06</t>
        </is>
      </c>
      <c r="O766" t="n">
        <v>80</v>
      </c>
      <c r="P766" t="n">
        <v>180</v>
      </c>
      <c r="Q766" t="n">
        <v>0</v>
      </c>
      <c r="Y766" t="inlineStr">
        <is>
          <t>4T4R</t>
        </is>
      </c>
      <c r="AB766" t="inlineStr">
        <is>
          <t>R9264 M1821N</t>
        </is>
      </c>
      <c r="AC766" t="inlineStr">
        <is>
          <t>A9652 S35*3+R9264H M901821*3+R9254E S8500*2+R9264 M1821N*1</t>
        </is>
      </c>
    </row>
    <row r="767" hidden="1" ht="15" customHeight="1" s="99">
      <c r="A767" t="inlineStr">
        <is>
          <t>GMNEG1</t>
        </is>
      </c>
      <c r="B767" t="inlineStr">
        <is>
          <t>GMNEG1_GULM0_NEGAMBO_Ne</t>
        </is>
      </c>
      <c r="D767" t="inlineStr">
        <is>
          <t>缺S1800</t>
        </is>
      </c>
      <c r="F767" t="n">
        <v>7.2059</v>
      </c>
      <c r="G767" t="n">
        <v>79.8419</v>
      </c>
      <c r="H767" t="inlineStr">
        <is>
          <t>GMNEG1F</t>
        </is>
      </c>
      <c r="K767" t="inlineStr">
        <is>
          <t>S4</t>
        </is>
      </c>
      <c r="L767" t="inlineStr">
        <is>
          <t>4G</t>
        </is>
      </c>
      <c r="M767" t="inlineStr">
        <is>
          <t>1800</t>
        </is>
      </c>
      <c r="N767" t="inlineStr">
        <is>
          <t>AQU4518R9v06</t>
        </is>
      </c>
      <c r="O767" t="n">
        <v>80</v>
      </c>
      <c r="P767" t="n">
        <v>240</v>
      </c>
      <c r="Q767" t="n">
        <v>0</v>
      </c>
      <c r="Y767" t="inlineStr">
        <is>
          <t>1T1R</t>
        </is>
      </c>
      <c r="AB767" t="inlineStr">
        <is>
          <t>?</t>
        </is>
      </c>
      <c r="AC767" t="inlineStr">
        <is>
          <t>A9652 S35*3+R9264H M901821*3+R9254E S8500*2+R9264 M1821N*1</t>
        </is>
      </c>
    </row>
    <row r="768" hidden="1" ht="15" customHeight="1" s="99">
      <c r="A768" t="inlineStr">
        <is>
          <t>GMNEG3</t>
        </is>
      </c>
      <c r="B768" t="inlineStr"/>
      <c r="F768">
        <f>_xlfn.XLOOKUP(A768,'[1]4G Parameters'!$E:$E,'[1]4G Parameters'!$J:$J)</f>
        <v/>
      </c>
      <c r="G768">
        <f>_xlfn.XLOOKUP(A768,'[1]4G Parameters'!$E:$E,'[1]4G Parameters'!$I:$I)</f>
        <v/>
      </c>
      <c r="H768" t="inlineStr">
        <is>
          <t>GMNEG3A</t>
        </is>
      </c>
      <c r="K768" t="inlineStr">
        <is>
          <t>S1</t>
        </is>
      </c>
      <c r="L768" t="inlineStr">
        <is>
          <t>2G</t>
        </is>
      </c>
      <c r="M768" t="inlineStr">
        <is>
          <t>900</t>
        </is>
      </c>
      <c r="N768" t="inlineStr"/>
      <c r="O768" t="n">
        <v>12</v>
      </c>
      <c r="P768" t="n">
        <v>0</v>
      </c>
      <c r="Q768" t="n">
        <v>2</v>
      </c>
      <c r="Y768" t="inlineStr"/>
      <c r="AB768" t="inlineStr">
        <is>
          <t>R9264H M901821</t>
        </is>
      </c>
      <c r="AC768" t="inlineStr">
        <is>
          <t>A9652 S35*3+R9264H M901821*3+R9254E S8500*2</t>
        </is>
      </c>
    </row>
    <row r="769" hidden="1" ht="15" customHeight="1" s="99">
      <c r="A769" t="inlineStr">
        <is>
          <t>GMNEG3</t>
        </is>
      </c>
      <c r="B769" t="inlineStr"/>
      <c r="F769">
        <f>_xlfn.XLOOKUP(A769,'[1]4G Parameters'!$E:$E,'[1]4G Parameters'!$J:$J)</f>
        <v/>
      </c>
      <c r="G769">
        <f>_xlfn.XLOOKUP(A769,'[1]4G Parameters'!$E:$E,'[1]4G Parameters'!$I:$I)</f>
        <v/>
      </c>
      <c r="H769" t="inlineStr">
        <is>
          <t>GMNEG3P</t>
        </is>
      </c>
      <c r="K769" t="inlineStr">
        <is>
          <t>S1</t>
        </is>
      </c>
      <c r="L769" t="inlineStr">
        <is>
          <t>2G</t>
        </is>
      </c>
      <c r="M769" t="inlineStr">
        <is>
          <t>1800</t>
        </is>
      </c>
      <c r="N769" t="inlineStr"/>
      <c r="O769" t="n">
        <v>12</v>
      </c>
      <c r="P769" t="n">
        <v>0</v>
      </c>
      <c r="Q769" t="n">
        <v>2</v>
      </c>
      <c r="Y769" t="inlineStr"/>
      <c r="AB769" t="inlineStr">
        <is>
          <t>R9264H M901821</t>
        </is>
      </c>
      <c r="AC769" t="inlineStr">
        <is>
          <t>A9652 S35*3+R9264H M901821*3+R9254E S8500*2</t>
        </is>
      </c>
    </row>
    <row r="770" hidden="1" ht="15" customHeight="1" s="99">
      <c r="A770" t="inlineStr">
        <is>
          <t>GMNEG3</t>
        </is>
      </c>
      <c r="B770" t="inlineStr">
        <is>
          <t>GMNEG3_GUL00_Negombo_Ne</t>
        </is>
      </c>
      <c r="F770" t="n">
        <v>7.21147</v>
      </c>
      <c r="G770" t="n">
        <v>79.8379</v>
      </c>
      <c r="H770" t="inlineStr">
        <is>
          <t>GMNEG3-M-L85-A1</t>
        </is>
      </c>
      <c r="K770" t="inlineStr">
        <is>
          <t>S1</t>
        </is>
      </c>
      <c r="L770" t="inlineStr">
        <is>
          <t>4G</t>
        </is>
      </c>
      <c r="M770" t="inlineStr">
        <is>
          <t>850</t>
        </is>
      </c>
      <c r="N770" t="inlineStr">
        <is>
          <t>AQU4518R9v06</t>
        </is>
      </c>
      <c r="O770" t="n">
        <v>12</v>
      </c>
      <c r="P770" t="n">
        <v>0</v>
      </c>
      <c r="Q770" t="n">
        <v>0</v>
      </c>
      <c r="Y770" t="inlineStr">
        <is>
          <t>2T2R</t>
        </is>
      </c>
      <c r="AB770" t="inlineStr">
        <is>
          <t>R9254E S8500</t>
        </is>
      </c>
      <c r="AC770" t="inlineStr">
        <is>
          <t>A9652 S35*3+R9264H M901821*3+R9254E S8500*2</t>
        </is>
      </c>
    </row>
    <row r="771" hidden="1" ht="15" customHeight="1" s="99">
      <c r="A771" t="inlineStr">
        <is>
          <t>GMNEG3</t>
        </is>
      </c>
      <c r="B771" t="inlineStr">
        <is>
          <t>GMNEG3_GUL00_Negombo_Ne</t>
        </is>
      </c>
      <c r="F771" t="n">
        <v>7.21147</v>
      </c>
      <c r="G771" t="n">
        <v>79.8379</v>
      </c>
      <c r="H771" t="inlineStr">
        <is>
          <t>GMNEG3G</t>
        </is>
      </c>
      <c r="K771" t="inlineStr">
        <is>
          <t>S1</t>
        </is>
      </c>
      <c r="L771" t="inlineStr">
        <is>
          <t>4G</t>
        </is>
      </c>
      <c r="M771" t="inlineStr">
        <is>
          <t>1800</t>
        </is>
      </c>
      <c r="N771" t="inlineStr">
        <is>
          <t>AQU4518R9v06</t>
        </is>
      </c>
      <c r="O771" t="n">
        <v>12</v>
      </c>
      <c r="P771" t="n">
        <v>0</v>
      </c>
      <c r="Q771" t="n">
        <v>0</v>
      </c>
      <c r="Y771" t="inlineStr">
        <is>
          <t>4T4R</t>
        </is>
      </c>
      <c r="AB771" t="inlineStr">
        <is>
          <t>R9264H M901821</t>
        </is>
      </c>
      <c r="AC771" t="inlineStr">
        <is>
          <t>A9652 S35*3+R9264H M901821*3+R9254E S8500*2</t>
        </is>
      </c>
    </row>
    <row r="772" hidden="1" ht="15" customHeight="1" s="99">
      <c r="A772" t="inlineStr">
        <is>
          <t>GMNEG3</t>
        </is>
      </c>
      <c r="B772" t="inlineStr"/>
      <c r="F772">
        <f>_xlfn.XLOOKUP(A772,'[1]4G Parameters'!$E:$E,'[1]4G Parameters'!$J:$J)</f>
        <v/>
      </c>
      <c r="G772">
        <f>_xlfn.XLOOKUP(A772,'[1]4G Parameters'!$E:$E,'[1]4G Parameters'!$I:$I)</f>
        <v/>
      </c>
      <c r="H772" t="inlineStr">
        <is>
          <t>GMNEG3B</t>
        </is>
      </c>
      <c r="K772" t="inlineStr">
        <is>
          <t>S2</t>
        </is>
      </c>
      <c r="L772" t="inlineStr">
        <is>
          <t>2G</t>
        </is>
      </c>
      <c r="M772" t="inlineStr">
        <is>
          <t>900</t>
        </is>
      </c>
      <c r="N772" t="inlineStr"/>
      <c r="O772" t="n">
        <v>12</v>
      </c>
      <c r="P772" t="n">
        <v>120</v>
      </c>
      <c r="Q772" t="n">
        <v>2</v>
      </c>
      <c r="Y772" t="inlineStr"/>
      <c r="AB772" t="inlineStr">
        <is>
          <t>R9264H M901821</t>
        </is>
      </c>
      <c r="AC772" t="inlineStr">
        <is>
          <t>A9652 S35*3+R9264H M901821*3+R9254E S8500*2</t>
        </is>
      </c>
    </row>
    <row r="773" hidden="1" ht="15" customHeight="1" s="99">
      <c r="A773" t="inlineStr">
        <is>
          <t>GMNEG3</t>
        </is>
      </c>
      <c r="B773" t="inlineStr"/>
      <c r="F773">
        <f>_xlfn.XLOOKUP(A773,'[1]4G Parameters'!$E:$E,'[1]4G Parameters'!$J:$J)</f>
        <v/>
      </c>
      <c r="G773">
        <f>_xlfn.XLOOKUP(A773,'[1]4G Parameters'!$E:$E,'[1]4G Parameters'!$I:$I)</f>
        <v/>
      </c>
      <c r="H773" t="inlineStr">
        <is>
          <t>GMNEG3Q</t>
        </is>
      </c>
      <c r="K773" t="inlineStr">
        <is>
          <t>S2</t>
        </is>
      </c>
      <c r="L773" t="inlineStr">
        <is>
          <t>2G</t>
        </is>
      </c>
      <c r="M773" t="inlineStr">
        <is>
          <t>1800</t>
        </is>
      </c>
      <c r="N773" t="inlineStr"/>
      <c r="O773" t="n">
        <v>12</v>
      </c>
      <c r="P773" t="n">
        <v>120</v>
      </c>
      <c r="Q773" t="n">
        <v>2</v>
      </c>
      <c r="Y773" t="inlineStr"/>
      <c r="AB773" t="inlineStr">
        <is>
          <t>R9264H M901821</t>
        </is>
      </c>
      <c r="AC773" t="inlineStr">
        <is>
          <t>A9652 S35*3+R9264H M901821*3+R9254E S8500*2</t>
        </is>
      </c>
    </row>
    <row r="774" hidden="1" ht="15" customHeight="1" s="99">
      <c r="A774" t="inlineStr">
        <is>
          <t>GMNEG3</t>
        </is>
      </c>
      <c r="B774" t="inlineStr">
        <is>
          <t>GMNEG3_GUL00_Negombo_Ne</t>
        </is>
      </c>
      <c r="F774" t="n">
        <v>7.21147</v>
      </c>
      <c r="G774" t="n">
        <v>79.8379</v>
      </c>
      <c r="H774" t="inlineStr">
        <is>
          <t>GMNEG3-M-L85-B1</t>
        </is>
      </c>
      <c r="K774" t="inlineStr">
        <is>
          <t>S2</t>
        </is>
      </c>
      <c r="L774" t="inlineStr">
        <is>
          <t>4G</t>
        </is>
      </c>
      <c r="M774" t="inlineStr">
        <is>
          <t>850</t>
        </is>
      </c>
      <c r="N774" t="inlineStr">
        <is>
          <t>AQU4518R9v06</t>
        </is>
      </c>
      <c r="O774" t="n">
        <v>12</v>
      </c>
      <c r="P774" t="n">
        <v>120</v>
      </c>
      <c r="Q774" t="n">
        <v>0</v>
      </c>
      <c r="Y774" t="inlineStr">
        <is>
          <t>2T2R</t>
        </is>
      </c>
      <c r="AB774" t="inlineStr">
        <is>
          <t>R9254E S8500</t>
        </is>
      </c>
      <c r="AC774" t="inlineStr">
        <is>
          <t>A9652 S35*3+R9264H M901821*3+R9254E S8500*2</t>
        </is>
      </c>
    </row>
    <row r="775" hidden="1" ht="15" customHeight="1" s="99">
      <c r="A775" t="inlineStr">
        <is>
          <t>GMNEG3</t>
        </is>
      </c>
      <c r="B775" t="inlineStr">
        <is>
          <t>GMNEG3_GUL00_Negombo_Ne</t>
        </is>
      </c>
      <c r="F775" t="n">
        <v>7.21147</v>
      </c>
      <c r="G775" t="n">
        <v>79.8379</v>
      </c>
      <c r="H775" t="inlineStr">
        <is>
          <t>GMNEG3-M-L21-B2</t>
        </is>
      </c>
      <c r="K775" t="inlineStr">
        <is>
          <t>S2</t>
        </is>
      </c>
      <c r="L775" t="inlineStr">
        <is>
          <t>4G</t>
        </is>
      </c>
      <c r="M775" t="inlineStr">
        <is>
          <t>2100</t>
        </is>
      </c>
      <c r="N775" t="inlineStr">
        <is>
          <t>AQU4518R9v06</t>
        </is>
      </c>
      <c r="O775" t="n">
        <v>12</v>
      </c>
      <c r="P775" t="n">
        <v>120</v>
      </c>
      <c r="Q775" t="n">
        <v>0</v>
      </c>
      <c r="Y775" t="inlineStr">
        <is>
          <t>2T2R</t>
        </is>
      </c>
      <c r="AB775" t="inlineStr">
        <is>
          <t>R9264H M901821</t>
        </is>
      </c>
      <c r="AC775" t="inlineStr">
        <is>
          <t>A9652 S35*3+R9264H M901821*3+R9254E S8500*2</t>
        </is>
      </c>
    </row>
    <row r="776" hidden="1" ht="15" customHeight="1" s="99">
      <c r="A776" t="inlineStr">
        <is>
          <t>GMNEG3</t>
        </is>
      </c>
      <c r="B776" t="inlineStr">
        <is>
          <t>GMNEG3_GUL00_Negombo_Ne</t>
        </is>
      </c>
      <c r="F776" t="n">
        <v>7.21147</v>
      </c>
      <c r="G776" t="n">
        <v>79.8379</v>
      </c>
      <c r="H776" t="inlineStr">
        <is>
          <t>GMNEG3H</t>
        </is>
      </c>
      <c r="K776" t="inlineStr">
        <is>
          <t>S2</t>
        </is>
      </c>
      <c r="L776" t="inlineStr">
        <is>
          <t>4G</t>
        </is>
      </c>
      <c r="M776" t="inlineStr">
        <is>
          <t>1800</t>
        </is>
      </c>
      <c r="N776" t="inlineStr">
        <is>
          <t>AQU4518R9v06</t>
        </is>
      </c>
      <c r="O776" t="n">
        <v>12</v>
      </c>
      <c r="P776" t="n">
        <v>120</v>
      </c>
      <c r="Q776" t="n">
        <v>0</v>
      </c>
      <c r="Y776" t="inlineStr">
        <is>
          <t>4T4R</t>
        </is>
      </c>
      <c r="AB776" t="inlineStr">
        <is>
          <t>R9264H M901821</t>
        </is>
      </c>
      <c r="AC776" t="inlineStr">
        <is>
          <t>A9652 S35*3+R9264H M901821*3+R9254E S8500*2</t>
        </is>
      </c>
    </row>
    <row r="777" hidden="1" ht="15" customHeight="1" s="99">
      <c r="A777" t="inlineStr">
        <is>
          <t>GMNEG3</t>
        </is>
      </c>
      <c r="B777" t="inlineStr"/>
      <c r="F777">
        <f>_xlfn.XLOOKUP(A777,'[1]4G Parameters'!$E:$E,'[1]4G Parameters'!$J:$J)</f>
        <v/>
      </c>
      <c r="G777">
        <f>_xlfn.XLOOKUP(A777,'[1]4G Parameters'!$E:$E,'[1]4G Parameters'!$I:$I)</f>
        <v/>
      </c>
      <c r="H777" t="inlineStr">
        <is>
          <t>GMNEG3C</t>
        </is>
      </c>
      <c r="K777" t="inlineStr">
        <is>
          <t>S3</t>
        </is>
      </c>
      <c r="L777" t="inlineStr">
        <is>
          <t>2G</t>
        </is>
      </c>
      <c r="M777" t="inlineStr">
        <is>
          <t>900</t>
        </is>
      </c>
      <c r="N777" t="inlineStr"/>
      <c r="O777" t="n">
        <v>12</v>
      </c>
      <c r="P777" t="n">
        <v>240</v>
      </c>
      <c r="Q777" t="n">
        <v>2</v>
      </c>
      <c r="Y777" t="inlineStr"/>
      <c r="AB777" t="inlineStr">
        <is>
          <t>R9264H M901821</t>
        </is>
      </c>
      <c r="AC777" t="inlineStr">
        <is>
          <t>A9652 S35*3+R9264H M901821*3+R9254E S8500*2</t>
        </is>
      </c>
    </row>
    <row r="778" hidden="1" ht="15" customHeight="1" s="99">
      <c r="A778" t="inlineStr">
        <is>
          <t>GMNEG3</t>
        </is>
      </c>
      <c r="B778" t="inlineStr"/>
      <c r="F778">
        <f>_xlfn.XLOOKUP(A778,'[1]4G Parameters'!$E:$E,'[1]4G Parameters'!$J:$J)</f>
        <v/>
      </c>
      <c r="G778">
        <f>_xlfn.XLOOKUP(A778,'[1]4G Parameters'!$E:$E,'[1]4G Parameters'!$I:$I)</f>
        <v/>
      </c>
      <c r="H778" t="inlineStr">
        <is>
          <t>GMNEG3R</t>
        </is>
      </c>
      <c r="K778" t="inlineStr">
        <is>
          <t>S3</t>
        </is>
      </c>
      <c r="L778" t="inlineStr">
        <is>
          <t>2G</t>
        </is>
      </c>
      <c r="M778" t="inlineStr">
        <is>
          <t>1800</t>
        </is>
      </c>
      <c r="N778" t="inlineStr"/>
      <c r="O778" t="n">
        <v>12</v>
      </c>
      <c r="P778" t="n">
        <v>240</v>
      </c>
      <c r="Q778" t="n">
        <v>2</v>
      </c>
      <c r="Y778" t="inlineStr"/>
      <c r="AB778" t="inlineStr">
        <is>
          <t>R9264H M901821</t>
        </is>
      </c>
      <c r="AC778" t="inlineStr">
        <is>
          <t>A9652 S35*3+R9264H M901821*3+R9254E S8500*2</t>
        </is>
      </c>
    </row>
    <row r="779" hidden="1" ht="15" customHeight="1" s="99">
      <c r="A779" t="inlineStr">
        <is>
          <t>GMNEG3</t>
        </is>
      </c>
      <c r="B779" t="inlineStr">
        <is>
          <t>GMNEG3_GUL00_Negombo_Ne</t>
        </is>
      </c>
      <c r="F779" t="n">
        <v>7.21147</v>
      </c>
      <c r="G779" t="n">
        <v>79.8379</v>
      </c>
      <c r="H779" t="inlineStr">
        <is>
          <t>GMNEG3-M-L85-C1</t>
        </is>
      </c>
      <c r="K779" t="inlineStr">
        <is>
          <t>S3</t>
        </is>
      </c>
      <c r="L779" t="inlineStr">
        <is>
          <t>4G</t>
        </is>
      </c>
      <c r="M779" t="inlineStr">
        <is>
          <t>850</t>
        </is>
      </c>
      <c r="N779" t="inlineStr">
        <is>
          <t>AQU4518R9v06</t>
        </is>
      </c>
      <c r="O779" t="n">
        <v>12</v>
      </c>
      <c r="P779" t="n">
        <v>240</v>
      </c>
      <c r="Q779" t="n">
        <v>0</v>
      </c>
      <c r="Y779" t="inlineStr">
        <is>
          <t>2T2R</t>
        </is>
      </c>
      <c r="AB779" t="inlineStr">
        <is>
          <t>R9254E S8500</t>
        </is>
      </c>
      <c r="AC779" t="inlineStr">
        <is>
          <t>A9652 S35*3+R9264H M901821*3+R9254E S8500*2</t>
        </is>
      </c>
    </row>
    <row r="780" hidden="1" ht="15" customHeight="1" s="99">
      <c r="A780" t="inlineStr">
        <is>
          <t>GMNEG3</t>
        </is>
      </c>
      <c r="B780" t="inlineStr">
        <is>
          <t>GMNEG3_GUL00_Negombo_Ne</t>
        </is>
      </c>
      <c r="F780" t="n">
        <v>7.21147</v>
      </c>
      <c r="G780" t="n">
        <v>79.8379</v>
      </c>
      <c r="H780" t="inlineStr">
        <is>
          <t>GMNEG3-M-L21-C2</t>
        </is>
      </c>
      <c r="K780" t="inlineStr">
        <is>
          <t>S3</t>
        </is>
      </c>
      <c r="L780" t="inlineStr">
        <is>
          <t>4G</t>
        </is>
      </c>
      <c r="M780" t="inlineStr">
        <is>
          <t>2100</t>
        </is>
      </c>
      <c r="N780" t="inlineStr">
        <is>
          <t>AQU4518R9v06</t>
        </is>
      </c>
      <c r="O780" t="n">
        <v>12</v>
      </c>
      <c r="P780" t="n">
        <v>240</v>
      </c>
      <c r="Q780" t="n">
        <v>0</v>
      </c>
      <c r="Y780" t="inlineStr">
        <is>
          <t>2T2R</t>
        </is>
      </c>
      <c r="AB780" t="inlineStr">
        <is>
          <t>R9264H M901821</t>
        </is>
      </c>
      <c r="AC780" t="inlineStr">
        <is>
          <t>A9652 S35*3+R9264H M901821*3+R9254E S8500*2</t>
        </is>
      </c>
    </row>
    <row r="781" hidden="1" ht="15" customHeight="1" s="99">
      <c r="A781" t="inlineStr">
        <is>
          <t>GMNEG3</t>
        </is>
      </c>
      <c r="B781" t="inlineStr">
        <is>
          <t>GMNEG3_GUL00_Negombo_Ne</t>
        </is>
      </c>
      <c r="F781" t="n">
        <v>7.21147</v>
      </c>
      <c r="G781" t="n">
        <v>79.8379</v>
      </c>
      <c r="H781" t="inlineStr">
        <is>
          <t>GMNEG3I</t>
        </is>
      </c>
      <c r="K781" t="inlineStr">
        <is>
          <t>S3</t>
        </is>
      </c>
      <c r="L781" t="inlineStr">
        <is>
          <t>4G</t>
        </is>
      </c>
      <c r="M781" t="inlineStr">
        <is>
          <t>1800</t>
        </is>
      </c>
      <c r="N781" t="inlineStr">
        <is>
          <t>AQU4518R9v06</t>
        </is>
      </c>
      <c r="O781" t="n">
        <v>12</v>
      </c>
      <c r="P781" t="n">
        <v>240</v>
      </c>
      <c r="Q781" t="n">
        <v>0</v>
      </c>
      <c r="Y781" t="inlineStr">
        <is>
          <t>4T4R</t>
        </is>
      </c>
      <c r="AB781" t="inlineStr">
        <is>
          <t>R9264H M901821</t>
        </is>
      </c>
      <c r="AC781" t="inlineStr">
        <is>
          <t>A9652 S35*3+R9264H M901821*3+R9254E S8500*2</t>
        </is>
      </c>
    </row>
    <row r="782" hidden="1" ht="15" customHeight="1" s="99">
      <c r="A782" t="inlineStr">
        <is>
          <t>GMNEG4</t>
        </is>
      </c>
      <c r="B782" t="inlineStr"/>
      <c r="F782">
        <f>_xlfn.XLOOKUP(A782,'[1]4G Parameters'!$E:$E,'[1]4G Parameters'!$J:$J)</f>
        <v/>
      </c>
      <c r="G782">
        <f>_xlfn.XLOOKUP(A782,'[1]4G Parameters'!$E:$E,'[1]4G Parameters'!$I:$I)</f>
        <v/>
      </c>
      <c r="H782" t="inlineStr">
        <is>
          <t>GMNEG4P</t>
        </is>
      </c>
      <c r="K782" t="inlineStr">
        <is>
          <t>S1</t>
        </is>
      </c>
      <c r="L782" t="inlineStr">
        <is>
          <t>2G</t>
        </is>
      </c>
      <c r="M782" t="inlineStr">
        <is>
          <t>1800</t>
        </is>
      </c>
      <c r="N782" t="inlineStr"/>
      <c r="O782" t="n">
        <v>15</v>
      </c>
      <c r="P782" t="n">
        <v>60</v>
      </c>
      <c r="Q782" t="n">
        <v>2</v>
      </c>
      <c r="Y782" t="inlineStr"/>
      <c r="AB782" t="inlineStr">
        <is>
          <t>R9264 M1821N</t>
        </is>
      </c>
      <c r="AC782" t="inlineStr">
        <is>
          <t>A9652 S35*3+R9254E S8500*2+R9264 M1821N*3</t>
        </is>
      </c>
    </row>
    <row r="783" hidden="1" ht="15" customHeight="1" s="99">
      <c r="A783" t="inlineStr">
        <is>
          <t>GMNEG4</t>
        </is>
      </c>
      <c r="B783" t="inlineStr">
        <is>
          <t>GMNEG4_0UL00_NEGOMBO_IP_Ne</t>
        </is>
      </c>
      <c r="F783" t="n">
        <v>7.19214</v>
      </c>
      <c r="G783" t="n">
        <v>79.8573</v>
      </c>
      <c r="H783" t="inlineStr">
        <is>
          <t>GMNEG4-M-L85-A1</t>
        </is>
      </c>
      <c r="K783" t="inlineStr">
        <is>
          <t>S1</t>
        </is>
      </c>
      <c r="L783" t="inlineStr">
        <is>
          <t>4G</t>
        </is>
      </c>
      <c r="M783" t="inlineStr">
        <is>
          <t>850</t>
        </is>
      </c>
      <c r="N783" t="inlineStr">
        <is>
          <t>AQU4518R9v06</t>
        </is>
      </c>
      <c r="O783" t="n">
        <v>15</v>
      </c>
      <c r="P783" t="n">
        <v>60</v>
      </c>
      <c r="Q783" t="n">
        <v>0</v>
      </c>
      <c r="Y783" t="inlineStr">
        <is>
          <t>2T2R</t>
        </is>
      </c>
      <c r="AB783" t="inlineStr">
        <is>
          <t>R9254E S8500</t>
        </is>
      </c>
      <c r="AC783" t="inlineStr">
        <is>
          <t>A9652 S35*3+R9254E S8500*2+R9264 M1821N*3</t>
        </is>
      </c>
    </row>
    <row r="784" hidden="1" ht="15" customHeight="1" s="99">
      <c r="A784" t="inlineStr">
        <is>
          <t>GMNEG4</t>
        </is>
      </c>
      <c r="B784" t="inlineStr">
        <is>
          <t>GMNEG4_0UL00_NEGOMBO_IP_Ne</t>
        </is>
      </c>
      <c r="F784" t="n">
        <v>7.19214</v>
      </c>
      <c r="G784" t="n">
        <v>79.8573</v>
      </c>
      <c r="H784" t="inlineStr">
        <is>
          <t>GMNEG4-M-L21-A2</t>
        </is>
      </c>
      <c r="K784" t="inlineStr">
        <is>
          <t>S1</t>
        </is>
      </c>
      <c r="L784" t="inlineStr">
        <is>
          <t>4G</t>
        </is>
      </c>
      <c r="M784" t="inlineStr">
        <is>
          <t>2100</t>
        </is>
      </c>
      <c r="N784" t="inlineStr">
        <is>
          <t>AQU4518R9v06</t>
        </is>
      </c>
      <c r="O784" t="n">
        <v>15</v>
      </c>
      <c r="P784" t="n">
        <v>60</v>
      </c>
      <c r="Q784" t="n">
        <v>0</v>
      </c>
      <c r="Y784" t="inlineStr">
        <is>
          <t>2T2R</t>
        </is>
      </c>
      <c r="AB784" t="inlineStr">
        <is>
          <t>R9264 M1821N</t>
        </is>
      </c>
      <c r="AC784" t="inlineStr">
        <is>
          <t>A9652 S35*3+R9254E S8500*2+R9264 M1821N*3</t>
        </is>
      </c>
    </row>
    <row r="785" hidden="1" ht="15" customHeight="1" s="99">
      <c r="A785" t="inlineStr">
        <is>
          <t>GMNEG4</t>
        </is>
      </c>
      <c r="B785" t="inlineStr">
        <is>
          <t>GMNEG4_0UL00_NEGOMBO_IP_Ne</t>
        </is>
      </c>
      <c r="F785" t="n">
        <v>7.19214</v>
      </c>
      <c r="G785" t="n">
        <v>79.8573</v>
      </c>
      <c r="H785" t="inlineStr">
        <is>
          <t>GMNEG4G</t>
        </is>
      </c>
      <c r="K785" t="inlineStr">
        <is>
          <t>S1</t>
        </is>
      </c>
      <c r="L785" t="inlineStr">
        <is>
          <t>4G</t>
        </is>
      </c>
      <c r="M785" t="inlineStr">
        <is>
          <t>1800</t>
        </is>
      </c>
      <c r="N785" t="inlineStr">
        <is>
          <t>AQU4518R9v06</t>
        </is>
      </c>
      <c r="O785" t="n">
        <v>15</v>
      </c>
      <c r="P785" t="n">
        <v>60</v>
      </c>
      <c r="Q785" t="n">
        <v>0</v>
      </c>
      <c r="Y785" t="inlineStr">
        <is>
          <t>4T4R</t>
        </is>
      </c>
      <c r="AB785" t="inlineStr">
        <is>
          <t>R9264 M1821N</t>
        </is>
      </c>
      <c r="AC785" t="inlineStr">
        <is>
          <t>A9652 S35*3+R9254E S8500*2+R9264 M1821N*3</t>
        </is>
      </c>
    </row>
    <row r="786" hidden="1" ht="15" customHeight="1" s="99">
      <c r="A786" t="inlineStr">
        <is>
          <t>GMNEG4</t>
        </is>
      </c>
      <c r="B786" t="inlineStr"/>
      <c r="F786">
        <f>_xlfn.XLOOKUP(A786,'[1]4G Parameters'!$E:$E,'[1]4G Parameters'!$J:$J)</f>
        <v/>
      </c>
      <c r="G786">
        <f>_xlfn.XLOOKUP(A786,'[1]4G Parameters'!$E:$E,'[1]4G Parameters'!$I:$I)</f>
        <v/>
      </c>
      <c r="H786" t="inlineStr">
        <is>
          <t>GMNEG4Q</t>
        </is>
      </c>
      <c r="K786" t="inlineStr">
        <is>
          <t>S2</t>
        </is>
      </c>
      <c r="L786" t="inlineStr">
        <is>
          <t>2G</t>
        </is>
      </c>
      <c r="M786" t="inlineStr">
        <is>
          <t>1800</t>
        </is>
      </c>
      <c r="N786" t="inlineStr"/>
      <c r="O786" t="n">
        <v>15</v>
      </c>
      <c r="P786" t="n">
        <v>160</v>
      </c>
      <c r="Q786" t="n">
        <v>2</v>
      </c>
      <c r="Y786" t="inlineStr"/>
      <c r="AB786" t="inlineStr">
        <is>
          <t>R9264 M1821N</t>
        </is>
      </c>
      <c r="AC786" t="inlineStr">
        <is>
          <t>A9652 S35*3+R9254E S8500*2+R9264 M1821N*3</t>
        </is>
      </c>
    </row>
    <row r="787" hidden="1" ht="15" customHeight="1" s="99">
      <c r="A787" t="inlineStr">
        <is>
          <t>GMNEG4</t>
        </is>
      </c>
      <c r="B787" t="inlineStr">
        <is>
          <t>GMNEG4_0UL00_NEGOMBO_IP_Ne</t>
        </is>
      </c>
      <c r="F787" t="n">
        <v>7.19214</v>
      </c>
      <c r="G787" t="n">
        <v>79.8573</v>
      </c>
      <c r="H787" t="inlineStr">
        <is>
          <t>GMNEG4-M-L85-B1</t>
        </is>
      </c>
      <c r="K787" t="inlineStr">
        <is>
          <t>S2</t>
        </is>
      </c>
      <c r="L787" t="inlineStr">
        <is>
          <t>4G</t>
        </is>
      </c>
      <c r="M787" t="inlineStr">
        <is>
          <t>850</t>
        </is>
      </c>
      <c r="N787" t="inlineStr">
        <is>
          <t>AQU4518R9v06</t>
        </is>
      </c>
      <c r="O787" t="n">
        <v>15</v>
      </c>
      <c r="P787" t="n">
        <v>160</v>
      </c>
      <c r="Q787" t="n">
        <v>0</v>
      </c>
      <c r="Y787" t="inlineStr">
        <is>
          <t>2T2R</t>
        </is>
      </c>
      <c r="AB787" t="inlineStr">
        <is>
          <t>R9254E S8500</t>
        </is>
      </c>
      <c r="AC787" t="inlineStr">
        <is>
          <t>A9652 S35*3+R9254E S8500*2+R9264 M1821N*3</t>
        </is>
      </c>
    </row>
    <row r="788" hidden="1" ht="15" customHeight="1" s="99">
      <c r="A788" t="inlineStr">
        <is>
          <t>GMNEG4</t>
        </is>
      </c>
      <c r="B788" t="inlineStr">
        <is>
          <t>GMNEG4_0UL00_NEGOMBO_IP_Ne</t>
        </is>
      </c>
      <c r="F788" t="n">
        <v>7.19214</v>
      </c>
      <c r="G788" t="n">
        <v>79.8573</v>
      </c>
      <c r="H788" t="inlineStr">
        <is>
          <t>GMNEG4-M-L21-B2</t>
        </is>
      </c>
      <c r="K788" t="inlineStr">
        <is>
          <t>S2</t>
        </is>
      </c>
      <c r="L788" t="inlineStr">
        <is>
          <t>4G</t>
        </is>
      </c>
      <c r="M788" t="inlineStr">
        <is>
          <t>2100</t>
        </is>
      </c>
      <c r="N788" t="inlineStr">
        <is>
          <t>AQU4518R9v06</t>
        </is>
      </c>
      <c r="O788" t="n">
        <v>15</v>
      </c>
      <c r="P788" t="n">
        <v>160</v>
      </c>
      <c r="Q788" t="n">
        <v>0</v>
      </c>
      <c r="Y788" t="inlineStr">
        <is>
          <t>2T2R</t>
        </is>
      </c>
      <c r="AB788" t="inlineStr">
        <is>
          <t>R9264 M1821N</t>
        </is>
      </c>
      <c r="AC788" t="inlineStr">
        <is>
          <t>A9652 S35*3+R9254E S8500*2+R9264 M1821N*3</t>
        </is>
      </c>
    </row>
    <row r="789" hidden="1" ht="15" customHeight="1" s="99">
      <c r="A789" t="inlineStr">
        <is>
          <t>GMNEG4</t>
        </is>
      </c>
      <c r="B789" t="inlineStr">
        <is>
          <t>GMNEG4_0UL00_NEGOMBO_IP_Ne</t>
        </is>
      </c>
      <c r="F789" t="n">
        <v>7.19214</v>
      </c>
      <c r="G789" t="n">
        <v>79.8573</v>
      </c>
      <c r="H789" t="inlineStr">
        <is>
          <t>GMNEG4H</t>
        </is>
      </c>
      <c r="K789" t="inlineStr">
        <is>
          <t>S2</t>
        </is>
      </c>
      <c r="L789" t="inlineStr">
        <is>
          <t>4G</t>
        </is>
      </c>
      <c r="M789" t="inlineStr">
        <is>
          <t>1800</t>
        </is>
      </c>
      <c r="N789" t="inlineStr">
        <is>
          <t>AQU4518R9v06</t>
        </is>
      </c>
      <c r="O789" t="n">
        <v>15</v>
      </c>
      <c r="P789" t="n">
        <v>160</v>
      </c>
      <c r="Q789" t="n">
        <v>0</v>
      </c>
      <c r="Y789" t="inlineStr">
        <is>
          <t>4T4R</t>
        </is>
      </c>
      <c r="AB789" t="inlineStr">
        <is>
          <t>R9264 M1821N</t>
        </is>
      </c>
      <c r="AC789" t="inlineStr">
        <is>
          <t>A9652 S35*3+R9254E S8500*2+R9264 M1821N*3</t>
        </is>
      </c>
    </row>
    <row r="790" hidden="1" ht="15" customHeight="1" s="99">
      <c r="A790" t="inlineStr">
        <is>
          <t>GMNEG4</t>
        </is>
      </c>
      <c r="B790" t="inlineStr"/>
      <c r="F790">
        <f>_xlfn.XLOOKUP(A790,'[1]4G Parameters'!$E:$E,'[1]4G Parameters'!$J:$J)</f>
        <v/>
      </c>
      <c r="G790">
        <f>_xlfn.XLOOKUP(A790,'[1]4G Parameters'!$E:$E,'[1]4G Parameters'!$I:$I)</f>
        <v/>
      </c>
      <c r="H790" t="inlineStr">
        <is>
          <t>GMNEG4R</t>
        </is>
      </c>
      <c r="K790" t="inlineStr">
        <is>
          <t>S3</t>
        </is>
      </c>
      <c r="L790" t="inlineStr">
        <is>
          <t>2G</t>
        </is>
      </c>
      <c r="M790" t="inlineStr">
        <is>
          <t>1800</t>
        </is>
      </c>
      <c r="N790" t="inlineStr"/>
      <c r="O790" t="n">
        <v>15</v>
      </c>
      <c r="P790" t="n">
        <v>300</v>
      </c>
      <c r="Q790" t="n">
        <v>2</v>
      </c>
      <c r="Y790" t="inlineStr"/>
      <c r="AB790" t="inlineStr">
        <is>
          <t>R9264 M1821N</t>
        </is>
      </c>
      <c r="AC790" t="inlineStr">
        <is>
          <t>A9652 S35*3+R9254E S8500*2+R9264 M1821N*3</t>
        </is>
      </c>
    </row>
    <row r="791" hidden="1" ht="15" customHeight="1" s="99">
      <c r="A791" t="inlineStr">
        <is>
          <t>GMNEG4</t>
        </is>
      </c>
      <c r="B791" t="inlineStr">
        <is>
          <t>GMNEG4_0UL00_NEGOMBO_IP_Ne</t>
        </is>
      </c>
      <c r="F791" t="n">
        <v>7.19214</v>
      </c>
      <c r="G791" t="n">
        <v>79.8573</v>
      </c>
      <c r="H791" t="inlineStr">
        <is>
          <t>GMNEG4-M-L85-C1</t>
        </is>
      </c>
      <c r="K791" t="inlineStr">
        <is>
          <t>S3</t>
        </is>
      </c>
      <c r="L791" t="inlineStr">
        <is>
          <t>4G</t>
        </is>
      </c>
      <c r="M791" t="inlineStr">
        <is>
          <t>850</t>
        </is>
      </c>
      <c r="N791" t="inlineStr">
        <is>
          <t>AQU4518R9v06</t>
        </is>
      </c>
      <c r="O791" t="n">
        <v>15</v>
      </c>
      <c r="P791" t="n">
        <v>300</v>
      </c>
      <c r="Q791" t="n">
        <v>0</v>
      </c>
      <c r="Y791" t="inlineStr">
        <is>
          <t>2T2R</t>
        </is>
      </c>
      <c r="AB791" t="inlineStr">
        <is>
          <t>R9254E S8500</t>
        </is>
      </c>
      <c r="AC791" t="inlineStr">
        <is>
          <t>A9652 S35*3+R9254E S8500*2+R9264 M1821N*3</t>
        </is>
      </c>
    </row>
    <row r="792" hidden="1" ht="15" customHeight="1" s="99">
      <c r="A792" t="inlineStr">
        <is>
          <t>GMNEG4</t>
        </is>
      </c>
      <c r="B792" t="inlineStr">
        <is>
          <t>GMNEG4_0UL00_NEGOMBO_IP_Ne</t>
        </is>
      </c>
      <c r="F792" t="n">
        <v>7.19214</v>
      </c>
      <c r="G792" t="n">
        <v>79.8573</v>
      </c>
      <c r="H792" t="inlineStr">
        <is>
          <t>GMNEG4-M-L21-C2</t>
        </is>
      </c>
      <c r="K792" t="inlineStr">
        <is>
          <t>S3</t>
        </is>
      </c>
      <c r="L792" t="inlineStr">
        <is>
          <t>4G</t>
        </is>
      </c>
      <c r="M792" t="inlineStr">
        <is>
          <t>2100</t>
        </is>
      </c>
      <c r="N792" t="inlineStr">
        <is>
          <t>AQU4518R9v06</t>
        </is>
      </c>
      <c r="O792" t="n">
        <v>15</v>
      </c>
      <c r="P792" t="n">
        <v>300</v>
      </c>
      <c r="Q792" t="n">
        <v>0</v>
      </c>
      <c r="Y792" t="inlineStr">
        <is>
          <t>2T2R</t>
        </is>
      </c>
      <c r="AB792" t="inlineStr">
        <is>
          <t>R9264 M1821N</t>
        </is>
      </c>
      <c r="AC792" t="inlineStr">
        <is>
          <t>A9652 S35*3+R9254E S8500*2+R9264 M1821N*3</t>
        </is>
      </c>
    </row>
    <row r="793" hidden="1" ht="15" customHeight="1" s="99">
      <c r="A793" t="inlineStr">
        <is>
          <t>GMNEG4</t>
        </is>
      </c>
      <c r="B793" t="inlineStr">
        <is>
          <t>GMNEG4_0UL00_NEGOMBO_IP_Ne</t>
        </is>
      </c>
      <c r="F793" t="n">
        <v>7.19214</v>
      </c>
      <c r="G793" t="n">
        <v>79.8573</v>
      </c>
      <c r="H793" t="inlineStr">
        <is>
          <t>GMNEG4I</t>
        </is>
      </c>
      <c r="K793" t="inlineStr">
        <is>
          <t>S3</t>
        </is>
      </c>
      <c r="L793" t="inlineStr">
        <is>
          <t>4G</t>
        </is>
      </c>
      <c r="M793" t="inlineStr">
        <is>
          <t>1800</t>
        </is>
      </c>
      <c r="N793" t="inlineStr">
        <is>
          <t>AQU4518R9v06</t>
        </is>
      </c>
      <c r="O793" t="n">
        <v>15</v>
      </c>
      <c r="P793" t="n">
        <v>300</v>
      </c>
      <c r="Q793" t="n">
        <v>0</v>
      </c>
      <c r="Y793" t="inlineStr">
        <is>
          <t>4T4R</t>
        </is>
      </c>
      <c r="AB793" t="inlineStr">
        <is>
          <t>R9264 M1821N</t>
        </is>
      </c>
      <c r="AC793" t="inlineStr">
        <is>
          <t>A9652 S35*3+R9254E S8500*2+R9264 M1821N*3</t>
        </is>
      </c>
    </row>
    <row r="794" hidden="1" ht="15" customHeight="1" s="99">
      <c r="A794" t="inlineStr">
        <is>
          <t>GMNEG7</t>
        </is>
      </c>
      <c r="B794" t="inlineStr"/>
      <c r="F794">
        <f>_xlfn.XLOOKUP(A794,'[1]4G Parameters'!$E:$E,'[1]4G Parameters'!$J:$J)</f>
        <v/>
      </c>
      <c r="G794">
        <f>_xlfn.XLOOKUP(A794,'[1]4G Parameters'!$E:$E,'[1]4G Parameters'!$I:$I)</f>
        <v/>
      </c>
      <c r="H794" t="inlineStr">
        <is>
          <t>GMNEG7A</t>
        </is>
      </c>
      <c r="K794" t="inlineStr">
        <is>
          <t>S1</t>
        </is>
      </c>
      <c r="L794" t="inlineStr">
        <is>
          <t>2G</t>
        </is>
      </c>
      <c r="M794" t="inlineStr">
        <is>
          <t>900</t>
        </is>
      </c>
      <c r="N794" t="inlineStr"/>
      <c r="O794" t="n">
        <v>55</v>
      </c>
      <c r="P794" t="n">
        <v>15</v>
      </c>
      <c r="Q794" t="n">
        <v>2</v>
      </c>
      <c r="Y794" t="inlineStr"/>
      <c r="AB794" t="inlineStr">
        <is>
          <t>R9264H M901821</t>
        </is>
      </c>
      <c r="AC794" t="inlineStr">
        <is>
          <t>A9652 S35*3+R9254E S1800*1+R9264H M901821*3+R9254E S8500*2+R9264 M1821N*2</t>
        </is>
      </c>
    </row>
    <row r="795" hidden="1" ht="15" customHeight="1" s="99">
      <c r="A795" t="inlineStr">
        <is>
          <t>GMNEG7</t>
        </is>
      </c>
      <c r="B795" t="inlineStr"/>
      <c r="F795">
        <f>_xlfn.XLOOKUP(A795,'[1]4G Parameters'!$E:$E,'[1]4G Parameters'!$J:$J)</f>
        <v/>
      </c>
      <c r="G795">
        <f>_xlfn.XLOOKUP(A795,'[1]4G Parameters'!$E:$E,'[1]4G Parameters'!$I:$I)</f>
        <v/>
      </c>
      <c r="H795" t="inlineStr">
        <is>
          <t>GMNEG7P</t>
        </is>
      </c>
      <c r="K795" t="inlineStr">
        <is>
          <t>S1</t>
        </is>
      </c>
      <c r="L795" t="inlineStr">
        <is>
          <t>2G</t>
        </is>
      </c>
      <c r="M795" t="inlineStr">
        <is>
          <t>1800</t>
        </is>
      </c>
      <c r="N795" t="inlineStr"/>
      <c r="O795" t="n">
        <v>55</v>
      </c>
      <c r="P795" t="n">
        <v>15</v>
      </c>
      <c r="Q795" t="n">
        <v>2</v>
      </c>
      <c r="Y795" t="inlineStr"/>
      <c r="AB795" t="inlineStr">
        <is>
          <t>R9264H M901821</t>
        </is>
      </c>
      <c r="AC795" t="inlineStr">
        <is>
          <t>A9652 S35*3+R9254E S1800*1+R9264H M901821*3+R9254E S8500*2+R9264 M1821N*2</t>
        </is>
      </c>
    </row>
    <row r="796" hidden="1" ht="15" customHeight="1" s="99">
      <c r="AB796" t="inlineStr">
        <is>
          <t>R9264 M1821N</t>
        </is>
      </c>
    </row>
    <row r="797" hidden="1" ht="15" customHeight="1" s="99">
      <c r="A797" t="inlineStr">
        <is>
          <t>GMNEG7</t>
        </is>
      </c>
      <c r="B797" t="inlineStr">
        <is>
          <t>GMNEG7_GUL00_Negambo_IP_Ne</t>
        </is>
      </c>
      <c r="F797" t="n">
        <v>7.20475</v>
      </c>
      <c r="G797" t="n">
        <v>79.8655</v>
      </c>
      <c r="H797" t="inlineStr">
        <is>
          <t>GMNEG7-M-L85-A1</t>
        </is>
      </c>
      <c r="K797" t="inlineStr">
        <is>
          <t>S1</t>
        </is>
      </c>
      <c r="L797" t="inlineStr">
        <is>
          <t>4G</t>
        </is>
      </c>
      <c r="M797" t="inlineStr">
        <is>
          <t>850</t>
        </is>
      </c>
      <c r="N797" t="inlineStr">
        <is>
          <t>AQU4518R9v06</t>
        </is>
      </c>
      <c r="O797" t="n">
        <v>60</v>
      </c>
      <c r="P797" t="n">
        <v>15</v>
      </c>
      <c r="Q797" t="n">
        <v>0</v>
      </c>
      <c r="Y797" t="inlineStr">
        <is>
          <t>2T2R</t>
        </is>
      </c>
      <c r="AB797" t="inlineStr">
        <is>
          <t>R9254E S8500*2</t>
        </is>
      </c>
      <c r="AC797" t="inlineStr">
        <is>
          <t>A9652 S35*3+R9254E S1800*1+R9264H M901821*3+R9254E S8500*2+R9264 M1821N*2</t>
        </is>
      </c>
    </row>
    <row r="798" hidden="1" ht="15" customHeight="1" s="99">
      <c r="A798" t="inlineStr">
        <is>
          <t>GMNEG7</t>
        </is>
      </c>
      <c r="B798" t="inlineStr">
        <is>
          <t>GMNEG7_GUL00_Negambo_IP_Ne</t>
        </is>
      </c>
      <c r="F798" t="n">
        <v>7.20475</v>
      </c>
      <c r="G798" t="n">
        <v>79.8655</v>
      </c>
      <c r="H798" t="inlineStr">
        <is>
          <t>GMNEG7-M-L21-A2</t>
        </is>
      </c>
      <c r="K798" t="inlineStr">
        <is>
          <t>S1</t>
        </is>
      </c>
      <c r="L798" t="inlineStr">
        <is>
          <t>4G</t>
        </is>
      </c>
      <c r="M798" t="inlineStr">
        <is>
          <t>2100</t>
        </is>
      </c>
      <c r="N798" t="inlineStr">
        <is>
          <t>AQU4518R9v06</t>
        </is>
      </c>
      <c r="O798" t="n">
        <v>60</v>
      </c>
      <c r="P798" t="n">
        <v>15</v>
      </c>
      <c r="Q798" t="n">
        <v>0</v>
      </c>
      <c r="Y798" t="inlineStr">
        <is>
          <t>2T2R</t>
        </is>
      </c>
      <c r="AB798" t="inlineStr">
        <is>
          <t>R9264H M901821</t>
        </is>
      </c>
      <c r="AC798" t="inlineStr">
        <is>
          <t>A9652 S35*3+R9254E S1800*1+R9264H M901821*3+R9254E S8500*2+R9264 M1821N*2</t>
        </is>
      </c>
    </row>
    <row r="799" hidden="1" ht="15" customHeight="1" s="99">
      <c r="AB799" t="inlineStr">
        <is>
          <t>R9264 M1821N</t>
        </is>
      </c>
    </row>
    <row r="800" hidden="1" ht="15" customHeight="1" s="99">
      <c r="A800" t="inlineStr">
        <is>
          <t>GMNEG7</t>
        </is>
      </c>
      <c r="B800" t="inlineStr">
        <is>
          <t>GMNEG7_GUL00_Negambo_IP_Ne</t>
        </is>
      </c>
      <c r="F800" t="n">
        <v>7.20475</v>
      </c>
      <c r="G800" t="n">
        <v>79.8655</v>
      </c>
      <c r="H800" t="inlineStr">
        <is>
          <t>GMNEG7-M-L18-A1</t>
        </is>
      </c>
      <c r="K800" t="inlineStr">
        <is>
          <t>S1</t>
        </is>
      </c>
      <c r="L800" t="inlineStr">
        <is>
          <t>4G</t>
        </is>
      </c>
      <c r="M800" t="inlineStr">
        <is>
          <t>1800</t>
        </is>
      </c>
      <c r="N800" t="inlineStr">
        <is>
          <t>AMB4519R6v06</t>
        </is>
      </c>
      <c r="O800" t="n">
        <v>60</v>
      </c>
      <c r="P800" t="n">
        <v>15</v>
      </c>
      <c r="Q800" t="n">
        <v>0</v>
      </c>
      <c r="Y800" t="inlineStr">
        <is>
          <t>2T2R</t>
        </is>
      </c>
      <c r="AB800" t="inlineStr">
        <is>
          <t>R9264H M901821</t>
        </is>
      </c>
      <c r="AC800" t="inlineStr">
        <is>
          <t>A9652 S35*3+R9254E S1800*1+R9264H M901821*3+R9254E S8500*2+R9264 M1821N*2</t>
        </is>
      </c>
    </row>
    <row r="801" hidden="1" ht="15" customHeight="1" s="99">
      <c r="A801" t="inlineStr">
        <is>
          <t>GMNEG7</t>
        </is>
      </c>
      <c r="B801" t="inlineStr">
        <is>
          <t>GMNEG7_GUL00_Negambo_IP_Ne</t>
        </is>
      </c>
      <c r="F801" t="n">
        <v>7.20475</v>
      </c>
      <c r="G801" t="n">
        <v>79.8655</v>
      </c>
      <c r="H801" t="inlineStr">
        <is>
          <t>GMNEG7G</t>
        </is>
      </c>
      <c r="K801" t="inlineStr">
        <is>
          <t>S1</t>
        </is>
      </c>
      <c r="L801" t="inlineStr">
        <is>
          <t>4G</t>
        </is>
      </c>
      <c r="M801" t="inlineStr">
        <is>
          <t>1800</t>
        </is>
      </c>
      <c r="N801" t="inlineStr">
        <is>
          <t>AMB4519R6v06</t>
        </is>
      </c>
      <c r="O801" t="n">
        <v>60</v>
      </c>
      <c r="P801" t="n">
        <v>15</v>
      </c>
      <c r="Q801" t="n">
        <v>0</v>
      </c>
      <c r="Y801" t="inlineStr">
        <is>
          <t>2T2R</t>
        </is>
      </c>
      <c r="AB801" t="inlineStr">
        <is>
          <t>R9264 M1821N</t>
        </is>
      </c>
      <c r="AC801" t="inlineStr">
        <is>
          <t>A9652 S35*3+R9254E S1800*1+R9264H M901821*3+R9254E S8500*2+R9264 M1821N*2</t>
        </is>
      </c>
    </row>
    <row r="802" hidden="1" ht="15" customHeight="1" s="99">
      <c r="A802" t="inlineStr">
        <is>
          <t>GMNEG7</t>
        </is>
      </c>
      <c r="B802" t="inlineStr"/>
      <c r="F802">
        <f>_xlfn.XLOOKUP(A802,'[1]4G Parameters'!$E:$E,'[1]4G Parameters'!$J:$J)</f>
        <v/>
      </c>
      <c r="G802">
        <f>_xlfn.XLOOKUP(A802,'[1]4G Parameters'!$E:$E,'[1]4G Parameters'!$I:$I)</f>
        <v/>
      </c>
      <c r="H802" t="inlineStr">
        <is>
          <t>GMNEG7B</t>
        </is>
      </c>
      <c r="K802" t="inlineStr">
        <is>
          <t>S2</t>
        </is>
      </c>
      <c r="L802" t="inlineStr">
        <is>
          <t>2G</t>
        </is>
      </c>
      <c r="M802" t="inlineStr">
        <is>
          <t>900</t>
        </is>
      </c>
      <c r="N802" t="inlineStr"/>
      <c r="O802" t="n">
        <v>55</v>
      </c>
      <c r="P802" t="n">
        <v>120</v>
      </c>
      <c r="Q802" t="n">
        <v>2</v>
      </c>
      <c r="Y802" t="inlineStr"/>
      <c r="AB802" t="inlineStr">
        <is>
          <t>R9264H M901821</t>
        </is>
      </c>
      <c r="AC802" t="inlineStr">
        <is>
          <t>A9652 S35*3+R9254E S1800*1+R9264H M901821*3+R9254E S8500*2+R9264 M1821N*2</t>
        </is>
      </c>
    </row>
    <row r="803" hidden="1" ht="15" customHeight="1" s="99">
      <c r="A803" t="inlineStr">
        <is>
          <t>GMNEG7</t>
        </is>
      </c>
      <c r="B803" t="inlineStr"/>
      <c r="F803">
        <f>_xlfn.XLOOKUP(A803,'[1]4G Parameters'!$E:$E,'[1]4G Parameters'!$J:$J)</f>
        <v/>
      </c>
      <c r="G803">
        <f>_xlfn.XLOOKUP(A803,'[1]4G Parameters'!$E:$E,'[1]4G Parameters'!$I:$I)</f>
        <v/>
      </c>
      <c r="H803" t="inlineStr">
        <is>
          <t>GMNEG7Q</t>
        </is>
      </c>
      <c r="K803" t="inlineStr">
        <is>
          <t>S2</t>
        </is>
      </c>
      <c r="L803" t="inlineStr">
        <is>
          <t>2G</t>
        </is>
      </c>
      <c r="M803" t="inlineStr">
        <is>
          <t>1800</t>
        </is>
      </c>
      <c r="N803" t="inlineStr"/>
      <c r="O803" t="n">
        <v>55</v>
      </c>
      <c r="P803" t="n">
        <v>120</v>
      </c>
      <c r="Q803" t="n">
        <v>2</v>
      </c>
      <c r="Y803" t="inlineStr"/>
      <c r="AB803" t="inlineStr">
        <is>
          <t>R9264H M901821</t>
        </is>
      </c>
      <c r="AC803" t="inlineStr">
        <is>
          <t>A9652 S35*3+R9254E S1800*1+R9264H M901821*3+R9254E S8500*2+R9264 M1821N*2</t>
        </is>
      </c>
    </row>
    <row r="804" hidden="1" ht="15" customHeight="1" s="99">
      <c r="AB804" t="inlineStr">
        <is>
          <t>R9264 M1821N</t>
        </is>
      </c>
    </row>
    <row r="805" hidden="1" ht="15" customHeight="1" s="99">
      <c r="A805" t="inlineStr">
        <is>
          <t>GMNEG7</t>
        </is>
      </c>
      <c r="B805" t="inlineStr">
        <is>
          <t>GMNEG7_GUL00_Negambo_IP_Ne</t>
        </is>
      </c>
      <c r="F805" t="n">
        <v>7.20475</v>
      </c>
      <c r="G805" t="n">
        <v>79.8655</v>
      </c>
      <c r="H805" t="inlineStr">
        <is>
          <t>GMNEG7-M-L85-B1</t>
        </is>
      </c>
      <c r="K805" t="inlineStr">
        <is>
          <t>S2</t>
        </is>
      </c>
      <c r="L805" t="inlineStr">
        <is>
          <t>4G</t>
        </is>
      </c>
      <c r="M805" t="inlineStr">
        <is>
          <t>850</t>
        </is>
      </c>
      <c r="N805" t="inlineStr">
        <is>
          <t>AQU4518R9v06</t>
        </is>
      </c>
      <c r="O805" t="n">
        <v>60</v>
      </c>
      <c r="P805" t="n">
        <v>120</v>
      </c>
      <c r="Q805" t="n">
        <v>0</v>
      </c>
      <c r="Y805" t="inlineStr">
        <is>
          <t>2T2R</t>
        </is>
      </c>
      <c r="AB805" t="inlineStr">
        <is>
          <t>R9254E S8500*2</t>
        </is>
      </c>
      <c r="AC805" t="inlineStr">
        <is>
          <t>A9652 S35*3+R9254E S1800*1+R9264H M901821*3+R9254E S8500*2+R9264 M1821N*2</t>
        </is>
      </c>
    </row>
    <row r="806" hidden="1" ht="15" customHeight="1" s="99">
      <c r="A806" t="inlineStr">
        <is>
          <t>GMNEG7</t>
        </is>
      </c>
      <c r="B806" t="inlineStr">
        <is>
          <t>GMNEG7_GUL00_Negambo_IP_Ne</t>
        </is>
      </c>
      <c r="F806" t="n">
        <v>7.20475</v>
      </c>
      <c r="G806" t="n">
        <v>79.8655</v>
      </c>
      <c r="H806" t="inlineStr">
        <is>
          <t>GMNEG7-M-L21-B2</t>
        </is>
      </c>
      <c r="K806" t="inlineStr">
        <is>
          <t>S2</t>
        </is>
      </c>
      <c r="L806" t="inlineStr">
        <is>
          <t>4G</t>
        </is>
      </c>
      <c r="M806" t="inlineStr">
        <is>
          <t>2100</t>
        </is>
      </c>
      <c r="N806" t="inlineStr">
        <is>
          <t>AQU4518R9v06</t>
        </is>
      </c>
      <c r="O806" t="n">
        <v>60</v>
      </c>
      <c r="P806" t="n">
        <v>120</v>
      </c>
      <c r="Q806" t="n">
        <v>0</v>
      </c>
      <c r="Y806" t="inlineStr">
        <is>
          <t>2T2R</t>
        </is>
      </c>
      <c r="AB806" t="inlineStr">
        <is>
          <t>R9264H M901821</t>
        </is>
      </c>
      <c r="AC806" t="inlineStr">
        <is>
          <t>A9652 S35*3+R9254E S1800*1+R9264H M901821*3+R9254E S8500*2+R9264 M1821N*2</t>
        </is>
      </c>
    </row>
    <row r="807" hidden="1" ht="15" customHeight="1" s="99">
      <c r="AB807" t="inlineStr">
        <is>
          <t>R9264 M1821N</t>
        </is>
      </c>
    </row>
    <row r="808" hidden="1" ht="15" customHeight="1" s="99">
      <c r="A808" t="inlineStr">
        <is>
          <t>GMNEG7</t>
        </is>
      </c>
      <c r="B808" t="inlineStr">
        <is>
          <t>GMNEG7_GUL00_Negambo_IP_Ne</t>
        </is>
      </c>
      <c r="F808" t="n">
        <v>7.20475</v>
      </c>
      <c r="G808" t="n">
        <v>79.8655</v>
      </c>
      <c r="H808" t="inlineStr">
        <is>
          <t>GMNEG7-M-L18-H1</t>
        </is>
      </c>
      <c r="K808" t="inlineStr">
        <is>
          <t>S2</t>
        </is>
      </c>
      <c r="L808" t="inlineStr">
        <is>
          <t>4G</t>
        </is>
      </c>
      <c r="M808" t="inlineStr">
        <is>
          <t>1800</t>
        </is>
      </c>
      <c r="N808" t="inlineStr">
        <is>
          <t>AMB4519R6v06</t>
        </is>
      </c>
      <c r="O808" t="n">
        <v>60</v>
      </c>
      <c r="P808" t="n">
        <v>120</v>
      </c>
      <c r="Q808" t="n">
        <v>0</v>
      </c>
      <c r="Y808" t="inlineStr">
        <is>
          <t>2T2R</t>
        </is>
      </c>
      <c r="AB808" t="inlineStr">
        <is>
          <t>R9264H M901821</t>
        </is>
      </c>
      <c r="AC808" t="inlineStr">
        <is>
          <t>A9652 S35*3+R9254E S1800*1+R9264H M901821*3+R9254E S8500*2+R9264 M1821N*2</t>
        </is>
      </c>
    </row>
    <row r="809" hidden="1" ht="15" customHeight="1" s="99">
      <c r="A809" t="inlineStr">
        <is>
          <t>GMNEG7</t>
        </is>
      </c>
      <c r="B809" t="inlineStr">
        <is>
          <t>GMNEG7_GUL00_Negambo_IP_Ne</t>
        </is>
      </c>
      <c r="F809" t="n">
        <v>7.20475</v>
      </c>
      <c r="G809" t="n">
        <v>79.8655</v>
      </c>
      <c r="H809" t="inlineStr">
        <is>
          <t>GMNEG7H</t>
        </is>
      </c>
      <c r="K809" t="inlineStr">
        <is>
          <t>S2</t>
        </is>
      </c>
      <c r="L809" t="inlineStr">
        <is>
          <t>4G</t>
        </is>
      </c>
      <c r="M809" t="inlineStr">
        <is>
          <t>1800</t>
        </is>
      </c>
      <c r="N809" t="inlineStr">
        <is>
          <t>AMB4519R6v06</t>
        </is>
      </c>
      <c r="O809" t="n">
        <v>60</v>
      </c>
      <c r="P809" t="n">
        <v>120</v>
      </c>
      <c r="Q809" t="n">
        <v>0</v>
      </c>
      <c r="Y809" t="inlineStr">
        <is>
          <t>2T2R</t>
        </is>
      </c>
      <c r="AB809" t="inlineStr">
        <is>
          <t>R9264 M1821N</t>
        </is>
      </c>
      <c r="AC809" t="inlineStr">
        <is>
          <t>A9652 S35*3+R9254E S1800*1+R9264H M901821*3+R9254E S8500*2+R9264 M1821N*2</t>
        </is>
      </c>
    </row>
    <row r="810" hidden="1" ht="15" customHeight="1" s="99">
      <c r="A810" t="inlineStr">
        <is>
          <t>GMNEG7</t>
        </is>
      </c>
      <c r="B810" t="inlineStr"/>
      <c r="F810">
        <f>_xlfn.XLOOKUP(A810,'[1]4G Parameters'!$E:$E,'[1]4G Parameters'!$J:$J)</f>
        <v/>
      </c>
      <c r="G810">
        <f>_xlfn.XLOOKUP(A810,'[1]4G Parameters'!$E:$E,'[1]4G Parameters'!$I:$I)</f>
        <v/>
      </c>
      <c r="H810" t="inlineStr">
        <is>
          <t>GMNEG7C</t>
        </is>
      </c>
      <c r="K810" t="inlineStr">
        <is>
          <t>S3</t>
        </is>
      </c>
      <c r="L810" t="inlineStr">
        <is>
          <t>2G</t>
        </is>
      </c>
      <c r="M810" t="inlineStr">
        <is>
          <t>900</t>
        </is>
      </c>
      <c r="N810" t="inlineStr"/>
      <c r="O810" t="n">
        <v>55</v>
      </c>
      <c r="P810" t="n">
        <v>250</v>
      </c>
      <c r="Q810" t="n">
        <v>2</v>
      </c>
      <c r="Y810" t="inlineStr"/>
      <c r="AB810" t="inlineStr">
        <is>
          <t>R9264H M901821</t>
        </is>
      </c>
      <c r="AC810" t="inlineStr">
        <is>
          <t>A9652 S35*3+R9254E S1800*1+R9264H M901821*3+R9254E S8500*2+R9264 M1821N*2</t>
        </is>
      </c>
    </row>
    <row r="811" hidden="1" ht="15" customHeight="1" s="99">
      <c r="A811" t="inlineStr">
        <is>
          <t>GMNEG7</t>
        </is>
      </c>
      <c r="B811" t="inlineStr"/>
      <c r="F811">
        <f>_xlfn.XLOOKUP(A811,'[1]4G Parameters'!$E:$E,'[1]4G Parameters'!$J:$J)</f>
        <v/>
      </c>
      <c r="G811">
        <f>_xlfn.XLOOKUP(A811,'[1]4G Parameters'!$E:$E,'[1]4G Parameters'!$I:$I)</f>
        <v/>
      </c>
      <c r="H811" t="inlineStr">
        <is>
          <t>GMNEG7R</t>
        </is>
      </c>
      <c r="K811" t="inlineStr">
        <is>
          <t>S3</t>
        </is>
      </c>
      <c r="L811" t="inlineStr">
        <is>
          <t>2G</t>
        </is>
      </c>
      <c r="M811" t="inlineStr">
        <is>
          <t>1800</t>
        </is>
      </c>
      <c r="N811" t="inlineStr"/>
      <c r="O811" t="n">
        <v>55</v>
      </c>
      <c r="P811" t="n">
        <v>250</v>
      </c>
      <c r="Q811" t="n">
        <v>2</v>
      </c>
      <c r="Y811" t="inlineStr"/>
      <c r="AB811" t="inlineStr">
        <is>
          <t>R9264H M901821</t>
        </is>
      </c>
      <c r="AC811" t="inlineStr">
        <is>
          <t>A9652 S35*3+R9254E S1800*1+R9264H M901821*3+R9254E S8500*2+R9264 M1821N*2</t>
        </is>
      </c>
    </row>
    <row r="812" hidden="1" ht="15" customHeight="1" s="99">
      <c r="A812" t="inlineStr">
        <is>
          <t>GMNEG7</t>
        </is>
      </c>
      <c r="B812" t="inlineStr">
        <is>
          <t>GMNEG7_GUL00_Negambo_IP_Ne</t>
        </is>
      </c>
      <c r="F812" t="n">
        <v>7.20475</v>
      </c>
      <c r="G812" t="n">
        <v>79.8655</v>
      </c>
      <c r="H812" t="inlineStr">
        <is>
          <t>GMNEG7-M-L85-C1</t>
        </is>
      </c>
      <c r="K812" t="inlineStr">
        <is>
          <t>S3</t>
        </is>
      </c>
      <c r="L812" t="inlineStr">
        <is>
          <t>4G</t>
        </is>
      </c>
      <c r="M812" t="inlineStr">
        <is>
          <t>850</t>
        </is>
      </c>
      <c r="N812" t="inlineStr">
        <is>
          <t>AQU4518R9v06</t>
        </is>
      </c>
      <c r="O812" t="n">
        <v>60</v>
      </c>
      <c r="P812" t="n">
        <v>250</v>
      </c>
      <c r="Q812" t="n">
        <v>0</v>
      </c>
      <c r="Y812" t="inlineStr">
        <is>
          <t>2T2R</t>
        </is>
      </c>
      <c r="AB812" t="inlineStr">
        <is>
          <t>R9254E S8500*2</t>
        </is>
      </c>
      <c r="AC812" t="inlineStr">
        <is>
          <t>A9652 S35*3+R9254E S1800*1+R9264H M901821*3+R9254E S8500*2+R9264 M1821N*2</t>
        </is>
      </c>
    </row>
    <row r="813" hidden="1" ht="15" customHeight="1" s="99">
      <c r="A813" t="inlineStr">
        <is>
          <t>GMNEG7</t>
        </is>
      </c>
      <c r="B813" t="inlineStr">
        <is>
          <t>GMNEG7_GUL00_Negambo_IP_Ne</t>
        </is>
      </c>
      <c r="F813" t="n">
        <v>7.20475</v>
      </c>
      <c r="G813" t="n">
        <v>79.8655</v>
      </c>
      <c r="H813" t="inlineStr">
        <is>
          <t>GMNEG7I</t>
        </is>
      </c>
      <c r="K813" t="inlineStr">
        <is>
          <t>S3</t>
        </is>
      </c>
      <c r="L813" t="inlineStr">
        <is>
          <t>4G</t>
        </is>
      </c>
      <c r="M813" t="inlineStr">
        <is>
          <t>1800</t>
        </is>
      </c>
      <c r="N813" t="inlineStr">
        <is>
          <t>AQU4518R9v06</t>
        </is>
      </c>
      <c r="O813" t="n">
        <v>60</v>
      </c>
      <c r="P813" t="n">
        <v>250</v>
      </c>
      <c r="Q813" t="n">
        <v>0</v>
      </c>
      <c r="Y813" t="inlineStr">
        <is>
          <t>4T4R</t>
        </is>
      </c>
      <c r="AB813" t="inlineStr">
        <is>
          <t>R9264H M901821</t>
        </is>
      </c>
      <c r="AC813" t="inlineStr">
        <is>
          <t>A9652 S35*3+R9254E S1800*1+R9264H M901821*3+R9254E S8500*2+R9264 M1821N*2</t>
        </is>
      </c>
    </row>
    <row r="814" hidden="1" ht="15" customHeight="1" s="99">
      <c r="A814" t="inlineStr">
        <is>
          <t>GMNEG7</t>
        </is>
      </c>
      <c r="B814" t="inlineStr">
        <is>
          <t>GMNEG7_GUL00_Negambo_IP_Ne</t>
        </is>
      </c>
      <c r="D814" t="inlineStr">
        <is>
          <t>R9254E S1800需要换成2100单频</t>
        </is>
      </c>
      <c r="F814" t="n">
        <v>7.20475</v>
      </c>
      <c r="G814" t="n">
        <v>79.8655</v>
      </c>
      <c r="H814" t="inlineStr">
        <is>
          <t>GMNEG7-M-L21-D2</t>
        </is>
      </c>
      <c r="K814" t="inlineStr">
        <is>
          <t>S4</t>
        </is>
      </c>
      <c r="L814" t="inlineStr">
        <is>
          <t>4G</t>
        </is>
      </c>
      <c r="M814" t="inlineStr">
        <is>
          <t>2100</t>
        </is>
      </c>
      <c r="N814" t="inlineStr">
        <is>
          <t>AQU4518R9v06</t>
        </is>
      </c>
      <c r="O814" t="n">
        <v>60</v>
      </c>
      <c r="P814" t="n">
        <v>270</v>
      </c>
      <c r="Q814" t="n">
        <v>0</v>
      </c>
      <c r="Y814" t="inlineStr">
        <is>
          <t>2T2R</t>
        </is>
      </c>
      <c r="AB814" t="inlineStr">
        <is>
          <t>R9264H M901821</t>
        </is>
      </c>
      <c r="AC814" t="inlineStr">
        <is>
          <t>A9652 S35*3+R9254E S1800*1+R9264H M901821*3+R9254E S8500*2+R9264 M1821N*2</t>
        </is>
      </c>
    </row>
    <row r="815" hidden="1" ht="15" customHeight="1" s="99">
      <c r="A815" t="inlineStr">
        <is>
          <t>GMNTN2</t>
        </is>
      </c>
      <c r="B815" t="inlineStr"/>
      <c r="D815" t="inlineStr">
        <is>
          <t>无850</t>
        </is>
      </c>
      <c r="F815">
        <f>_xlfn.XLOOKUP(A815,'[1]4G Parameters'!$E:$E,'[1]4G Parameters'!$J:$J)</f>
        <v/>
      </c>
      <c r="G815">
        <f>_xlfn.XLOOKUP(A815,'[1]4G Parameters'!$E:$E,'[1]4G Parameters'!$I:$I)</f>
        <v/>
      </c>
      <c r="H815" t="inlineStr">
        <is>
          <t>GMNTN2P</t>
        </is>
      </c>
      <c r="K815" t="inlineStr">
        <is>
          <t>S1</t>
        </is>
      </c>
      <c r="L815" t="inlineStr">
        <is>
          <t>2G</t>
        </is>
      </c>
      <c r="M815" t="inlineStr">
        <is>
          <t>1800</t>
        </is>
      </c>
      <c r="N815" t="inlineStr"/>
      <c r="O815" t="n">
        <v>0</v>
      </c>
      <c r="P815" t="n">
        <v>70</v>
      </c>
      <c r="Q815" t="n">
        <v>2</v>
      </c>
      <c r="Y815" t="inlineStr"/>
      <c r="AB815" t="inlineStr">
        <is>
          <t>R9264 M1821N</t>
        </is>
      </c>
      <c r="AC815" t="inlineStr">
        <is>
          <t>A9652 S35*3+R9254E S8500*2+R9264 M1821N*2+R9268H M1821*1</t>
        </is>
      </c>
    </row>
    <row r="816" hidden="1" ht="15" customHeight="1" s="99">
      <c r="A816" t="inlineStr">
        <is>
          <t>GMNTN2</t>
        </is>
      </c>
      <c r="B816" t="inlineStr">
        <is>
          <t>GMNTN2_GUL00_Munnakkare_IP_Ne</t>
        </is>
      </c>
      <c r="D816" t="inlineStr">
        <is>
          <t>无850</t>
        </is>
      </c>
      <c r="F816" t="n">
        <v>7.206448</v>
      </c>
      <c r="G816" t="n">
        <v>79.834045</v>
      </c>
      <c r="H816" t="inlineStr">
        <is>
          <t>GMNTN2G</t>
        </is>
      </c>
      <c r="K816" t="inlineStr">
        <is>
          <t>S1</t>
        </is>
      </c>
      <c r="L816" t="inlineStr">
        <is>
          <t>4G</t>
        </is>
      </c>
      <c r="M816" t="inlineStr">
        <is>
          <t>1800</t>
        </is>
      </c>
      <c r="N816" t="inlineStr">
        <is>
          <t>APE4517R0v06</t>
        </is>
      </c>
      <c r="O816" t="n">
        <v>12</v>
      </c>
      <c r="P816" t="n">
        <v>70</v>
      </c>
      <c r="Q816" t="n">
        <v>0</v>
      </c>
      <c r="Y816" t="inlineStr">
        <is>
          <t>4T4R</t>
        </is>
      </c>
      <c r="AB816" t="inlineStr">
        <is>
          <t>R9264 M1821N</t>
        </is>
      </c>
      <c r="AC816" t="inlineStr">
        <is>
          <t>A9652 S35*3+R9254E S8500*2+R9264 M1821N*2+R9268H M1821*1</t>
        </is>
      </c>
    </row>
    <row r="817" hidden="1" ht="15" customHeight="1" s="99">
      <c r="A817" t="inlineStr">
        <is>
          <t>GMNTN2</t>
        </is>
      </c>
      <c r="B817" t="inlineStr"/>
      <c r="D817" t="inlineStr">
        <is>
          <t>无850</t>
        </is>
      </c>
      <c r="F817">
        <f>_xlfn.XLOOKUP(A817,'[1]4G Parameters'!$E:$E,'[1]4G Parameters'!$J:$J)</f>
        <v/>
      </c>
      <c r="G817">
        <f>_xlfn.XLOOKUP(A817,'[1]4G Parameters'!$E:$E,'[1]4G Parameters'!$I:$I)</f>
        <v/>
      </c>
      <c r="H817" t="inlineStr">
        <is>
          <t>GMNTN2Q</t>
        </is>
      </c>
      <c r="K817" t="inlineStr">
        <is>
          <t>S2</t>
        </is>
      </c>
      <c r="L817" t="inlineStr">
        <is>
          <t>2G</t>
        </is>
      </c>
      <c r="M817" t="inlineStr">
        <is>
          <t>1800</t>
        </is>
      </c>
      <c r="N817" t="inlineStr"/>
      <c r="O817" t="n">
        <v>0</v>
      </c>
      <c r="P817" t="n">
        <v>180</v>
      </c>
      <c r="Q817" t="n">
        <v>2</v>
      </c>
      <c r="Y817" t="inlineStr"/>
      <c r="AB817" t="inlineStr">
        <is>
          <t>R9268H M1821</t>
        </is>
      </c>
      <c r="AC817" t="inlineStr">
        <is>
          <t>A9652 S35*3+R9254E S8500*2+R9264 M1821N*2+R9268H M1821*1</t>
        </is>
      </c>
    </row>
    <row r="818" hidden="1" ht="15" customHeight="1" s="99">
      <c r="A818" t="inlineStr">
        <is>
          <t>GMNTN2</t>
        </is>
      </c>
      <c r="B818" t="inlineStr">
        <is>
          <t>GMNTN2_GUL00_Munnakkare_IP_Ne</t>
        </is>
      </c>
      <c r="D818" t="inlineStr">
        <is>
          <t>无850</t>
        </is>
      </c>
      <c r="F818" t="n">
        <v>7.206448</v>
      </c>
      <c r="G818" t="n">
        <v>79.834045</v>
      </c>
      <c r="H818" t="inlineStr">
        <is>
          <t>GMNTN2-M-L21-B2</t>
        </is>
      </c>
      <c r="K818" t="inlineStr">
        <is>
          <t>S2</t>
        </is>
      </c>
      <c r="L818" t="inlineStr">
        <is>
          <t>4G</t>
        </is>
      </c>
      <c r="M818" t="inlineStr">
        <is>
          <t>2100</t>
        </is>
      </c>
      <c r="N818" t="inlineStr">
        <is>
          <t>APE4517R0v06</t>
        </is>
      </c>
      <c r="O818" t="n">
        <v>12</v>
      </c>
      <c r="P818" t="n">
        <v>180</v>
      </c>
      <c r="Q818" t="n">
        <v>0</v>
      </c>
      <c r="Y818" t="inlineStr">
        <is>
          <t>2T2R</t>
        </is>
      </c>
      <c r="AB818" t="inlineStr">
        <is>
          <t>R9268H M1821</t>
        </is>
      </c>
      <c r="AC818" t="inlineStr">
        <is>
          <t>A9652 S35*3+R9254E S8500*2+R9264 M1821N*2+R9268H M1821*1</t>
        </is>
      </c>
    </row>
    <row r="819" hidden="1" ht="15" customHeight="1" s="99">
      <c r="A819" t="inlineStr">
        <is>
          <t>GMNTN2</t>
        </is>
      </c>
      <c r="B819" t="inlineStr">
        <is>
          <t>GMNTN2_GUL00_Munnakkare_IP_Ne</t>
        </is>
      </c>
      <c r="D819" t="inlineStr">
        <is>
          <t>无850</t>
        </is>
      </c>
      <c r="F819" t="n">
        <v>7.206448</v>
      </c>
      <c r="G819" t="n">
        <v>79.834045</v>
      </c>
      <c r="H819" t="inlineStr">
        <is>
          <t>GMNTN2H</t>
        </is>
      </c>
      <c r="K819" t="inlineStr">
        <is>
          <t>S2</t>
        </is>
      </c>
      <c r="L819" t="inlineStr">
        <is>
          <t>4G</t>
        </is>
      </c>
      <c r="M819" t="inlineStr">
        <is>
          <t>1800</t>
        </is>
      </c>
      <c r="N819" t="inlineStr">
        <is>
          <t>APE4517R0v06</t>
        </is>
      </c>
      <c r="O819" t="n">
        <v>12</v>
      </c>
      <c r="P819" t="n">
        <v>180</v>
      </c>
      <c r="Q819" t="n">
        <v>0</v>
      </c>
      <c r="Y819" t="inlineStr">
        <is>
          <t>2T2R</t>
        </is>
      </c>
      <c r="AB819" t="inlineStr">
        <is>
          <t>R9268H M1821</t>
        </is>
      </c>
      <c r="AC819" t="inlineStr">
        <is>
          <t>A9652 S35*3+R9254E S8500*2+R9264 M1821N*2+R9268H M1821*1</t>
        </is>
      </c>
    </row>
    <row r="820" hidden="1" ht="15" customHeight="1" s="99">
      <c r="A820" t="inlineStr">
        <is>
          <t>GMNTN2</t>
        </is>
      </c>
      <c r="B820" t="inlineStr">
        <is>
          <t>GMNTN2_GUL00_Munnakkare_IP_Ne</t>
        </is>
      </c>
      <c r="D820" t="inlineStr">
        <is>
          <t>无850，拉远？</t>
        </is>
      </c>
      <c r="F820" t="n">
        <v>7.206448</v>
      </c>
      <c r="G820" t="n">
        <v>79.834045</v>
      </c>
      <c r="H820" t="inlineStr">
        <is>
          <t>GMNTN2-M-L18-B1</t>
        </is>
      </c>
      <c r="K820" t="inlineStr">
        <is>
          <t>S2</t>
        </is>
      </c>
      <c r="L820" t="inlineStr">
        <is>
          <t>4G</t>
        </is>
      </c>
      <c r="M820" t="inlineStr">
        <is>
          <t>1800</t>
        </is>
      </c>
      <c r="N820" t="inlineStr">
        <is>
          <t>APE4517R0v06</t>
        </is>
      </c>
      <c r="O820" t="n">
        <v>12</v>
      </c>
      <c r="P820" t="n">
        <v>180</v>
      </c>
      <c r="Q820" t="n">
        <v>0</v>
      </c>
      <c r="Y820" t="inlineStr">
        <is>
          <t>2T2R</t>
        </is>
      </c>
      <c r="AB820" t="inlineStr">
        <is>
          <t>R9268H M1821</t>
        </is>
      </c>
      <c r="AC820" t="inlineStr">
        <is>
          <t>A9652 S35*3+R9254E S8500*2+R9264 M1821N*2+R9268H M1821*1</t>
        </is>
      </c>
    </row>
    <row r="821" hidden="1" ht="15" customHeight="1" s="99">
      <c r="A821" t="inlineStr">
        <is>
          <t>GMNTN2</t>
        </is>
      </c>
      <c r="B821" t="inlineStr"/>
      <c r="D821" t="inlineStr">
        <is>
          <t>无850</t>
        </is>
      </c>
      <c r="F821">
        <f>_xlfn.XLOOKUP(A821,'[1]4G Parameters'!$E:$E,'[1]4G Parameters'!$J:$J)</f>
        <v/>
      </c>
      <c r="G821">
        <f>_xlfn.XLOOKUP(A821,'[1]4G Parameters'!$E:$E,'[1]4G Parameters'!$I:$I)</f>
        <v/>
      </c>
      <c r="H821" t="inlineStr">
        <is>
          <t>GMNTN2R</t>
        </is>
      </c>
      <c r="K821" t="inlineStr">
        <is>
          <t>S3</t>
        </is>
      </c>
      <c r="L821" t="inlineStr">
        <is>
          <t>2G</t>
        </is>
      </c>
      <c r="M821" t="inlineStr">
        <is>
          <t>1800</t>
        </is>
      </c>
      <c r="N821" t="inlineStr"/>
      <c r="O821" t="n">
        <v>0</v>
      </c>
      <c r="P821" t="n">
        <v>270</v>
      </c>
      <c r="Q821" t="n">
        <v>2</v>
      </c>
      <c r="Y821" t="inlineStr"/>
      <c r="AB821" t="inlineStr">
        <is>
          <t>R9264 M1821N</t>
        </is>
      </c>
      <c r="AC821" t="inlineStr">
        <is>
          <t>A9652 S35*3+R9254E S8500*2+R9264 M1821N*2+R9268H M1821*1</t>
        </is>
      </c>
    </row>
    <row r="822" hidden="1" ht="15" customHeight="1" s="99">
      <c r="A822" t="inlineStr">
        <is>
          <t>GMNTN2</t>
        </is>
      </c>
      <c r="B822" t="inlineStr">
        <is>
          <t>GMNTN2_GUL00_Munnakkare_IP_Ne</t>
        </is>
      </c>
      <c r="D822" t="inlineStr">
        <is>
          <t>无850</t>
        </is>
      </c>
      <c r="F822" t="n">
        <v>7.206448</v>
      </c>
      <c r="G822" t="n">
        <v>79.834045</v>
      </c>
      <c r="H822" t="inlineStr">
        <is>
          <t>GMNTN2-M-L21-C2</t>
        </is>
      </c>
      <c r="K822" t="inlineStr">
        <is>
          <t>S3</t>
        </is>
      </c>
      <c r="L822" t="inlineStr">
        <is>
          <t>4G</t>
        </is>
      </c>
      <c r="M822" t="inlineStr">
        <is>
          <t>2100</t>
        </is>
      </c>
      <c r="N822" t="inlineStr">
        <is>
          <t>APE4517R0v06</t>
        </is>
      </c>
      <c r="O822" t="n">
        <v>12</v>
      </c>
      <c r="P822" t="n">
        <v>270</v>
      </c>
      <c r="Q822" t="n">
        <v>0</v>
      </c>
      <c r="Y822" t="inlineStr">
        <is>
          <t>2T2R</t>
        </is>
      </c>
      <c r="AB822" t="inlineStr">
        <is>
          <t>R9264 M1821N</t>
        </is>
      </c>
      <c r="AC822" t="inlineStr">
        <is>
          <t>A9652 S35*3+R9254E S8500*2+R9264 M1821N*2+R9268H M1821*1</t>
        </is>
      </c>
    </row>
    <row r="823" hidden="1" ht="15" customHeight="1" s="99">
      <c r="A823" t="inlineStr">
        <is>
          <t>GMNTN2</t>
        </is>
      </c>
      <c r="B823" t="inlineStr">
        <is>
          <t>GMNTN2_GUL00_Munnakkare_IP_Ne</t>
        </is>
      </c>
      <c r="D823" t="inlineStr">
        <is>
          <t>无850</t>
        </is>
      </c>
      <c r="F823" t="n">
        <v>7.206448</v>
      </c>
      <c r="G823" t="n">
        <v>79.834045</v>
      </c>
      <c r="H823" t="inlineStr">
        <is>
          <t>GMNTN2I</t>
        </is>
      </c>
      <c r="K823" t="inlineStr">
        <is>
          <t>S3</t>
        </is>
      </c>
      <c r="L823" t="inlineStr">
        <is>
          <t>4G</t>
        </is>
      </c>
      <c r="M823" t="inlineStr">
        <is>
          <t>1800</t>
        </is>
      </c>
      <c r="N823" t="inlineStr">
        <is>
          <t>APE4517R0v06</t>
        </is>
      </c>
      <c r="O823" t="n">
        <v>12</v>
      </c>
      <c r="P823" t="n">
        <v>270</v>
      </c>
      <c r="Q823" t="n">
        <v>0</v>
      </c>
      <c r="Y823" t="inlineStr">
        <is>
          <t>4T4R</t>
        </is>
      </c>
      <c r="AB823" t="inlineStr">
        <is>
          <t>R9264 M1821N</t>
        </is>
      </c>
      <c r="AC823" t="inlineStr">
        <is>
          <t>A9652 S35*3+R9254E S8500*2+R9264 M1821N*2+R9268H M1821*1</t>
        </is>
      </c>
    </row>
    <row r="824" hidden="1" ht="15" customHeight="1" s="99">
      <c r="A824" t="inlineStr">
        <is>
          <t>GMNTN3</t>
        </is>
      </c>
      <c r="B824" t="inlineStr"/>
      <c r="D824" t="inlineStr">
        <is>
          <t>无900+2100</t>
        </is>
      </c>
      <c r="F824">
        <f>_xlfn.XLOOKUP(A824,'[1]4G Parameters'!$E:$E,'[1]4G Parameters'!$J:$J)</f>
        <v/>
      </c>
      <c r="G824">
        <f>_xlfn.XLOOKUP(A824,'[1]4G Parameters'!$E:$E,'[1]4G Parameters'!$I:$I)</f>
        <v/>
      </c>
      <c r="H824" t="inlineStr">
        <is>
          <t>GMNTN3P</t>
        </is>
      </c>
      <c r="K824" t="inlineStr">
        <is>
          <t>S1</t>
        </is>
      </c>
      <c r="L824" t="inlineStr">
        <is>
          <t>2G</t>
        </is>
      </c>
      <c r="M824" t="inlineStr">
        <is>
          <t>1800</t>
        </is>
      </c>
      <c r="N824" t="inlineStr"/>
      <c r="O824" t="n">
        <v>0</v>
      </c>
      <c r="P824" t="n">
        <v>0</v>
      </c>
      <c r="Q824" t="n">
        <v>2</v>
      </c>
      <c r="Y824" t="inlineStr"/>
      <c r="AB824" t="inlineStr">
        <is>
          <t>R9264H M901821</t>
        </is>
      </c>
      <c r="AC824" t="inlineStr">
        <is>
          <t>R9264H M901821*3</t>
        </is>
      </c>
    </row>
    <row r="825" hidden="1" ht="15" customHeight="1" s="99">
      <c r="A825" t="inlineStr">
        <is>
          <t>GMNTN3</t>
        </is>
      </c>
      <c r="B825" t="inlineStr">
        <is>
          <t>GMNTN3_G0L00_Munnakarai2_Ne</t>
        </is>
      </c>
      <c r="D825" t="inlineStr">
        <is>
          <t>无900+2100</t>
        </is>
      </c>
      <c r="F825" t="n">
        <v>7.1985869</v>
      </c>
      <c r="G825" t="n">
        <v>79.833422</v>
      </c>
      <c r="H825" t="inlineStr">
        <is>
          <t>GMNTN3G</t>
        </is>
      </c>
      <c r="K825" t="inlineStr">
        <is>
          <t>S1</t>
        </is>
      </c>
      <c r="L825" t="inlineStr">
        <is>
          <t>4G</t>
        </is>
      </c>
      <c r="M825" t="inlineStr">
        <is>
          <t>1800</t>
        </is>
      </c>
      <c r="N825" t="inlineStr">
        <is>
          <t>AQU4518R9v06</t>
        </is>
      </c>
      <c r="O825" t="n">
        <v>4</v>
      </c>
      <c r="P825" t="n">
        <v>0</v>
      </c>
      <c r="Q825" t="n">
        <v>0</v>
      </c>
      <c r="Y825" t="inlineStr">
        <is>
          <t>4T4R</t>
        </is>
      </c>
      <c r="AB825" t="inlineStr">
        <is>
          <t>R9264H M901821</t>
        </is>
      </c>
      <c r="AC825" t="inlineStr">
        <is>
          <t>R9264H M901821*3</t>
        </is>
      </c>
    </row>
    <row r="826" hidden="1" ht="15" customHeight="1" s="99">
      <c r="A826" t="inlineStr">
        <is>
          <t>GMNTN3</t>
        </is>
      </c>
      <c r="B826" t="inlineStr"/>
      <c r="D826" t="inlineStr">
        <is>
          <t>无900+2100</t>
        </is>
      </c>
      <c r="F826">
        <f>_xlfn.XLOOKUP(A826,'[1]4G Parameters'!$E:$E,'[1]4G Parameters'!$J:$J)</f>
        <v/>
      </c>
      <c r="G826">
        <f>_xlfn.XLOOKUP(A826,'[1]4G Parameters'!$E:$E,'[1]4G Parameters'!$I:$I)</f>
        <v/>
      </c>
      <c r="H826" t="inlineStr">
        <is>
          <t>GMNTN3Q</t>
        </is>
      </c>
      <c r="K826" t="inlineStr">
        <is>
          <t>S2</t>
        </is>
      </c>
      <c r="L826" t="inlineStr">
        <is>
          <t>2G</t>
        </is>
      </c>
      <c r="M826" t="inlineStr">
        <is>
          <t>1800</t>
        </is>
      </c>
      <c r="N826" t="inlineStr"/>
      <c r="O826" t="n">
        <v>0</v>
      </c>
      <c r="P826" t="n">
        <v>120</v>
      </c>
      <c r="Q826" t="n">
        <v>2</v>
      </c>
      <c r="Y826" t="inlineStr"/>
      <c r="AB826" t="inlineStr">
        <is>
          <t>R9264H M901821</t>
        </is>
      </c>
      <c r="AC826" t="inlineStr">
        <is>
          <t>R9264H M901821*3</t>
        </is>
      </c>
    </row>
    <row r="827" hidden="1" ht="15" customHeight="1" s="99">
      <c r="A827" t="inlineStr">
        <is>
          <t>GMNTN3</t>
        </is>
      </c>
      <c r="B827" t="inlineStr">
        <is>
          <t>GMNTN3_G0L00_Munnakarai2_Ne</t>
        </is>
      </c>
      <c r="D827" t="inlineStr">
        <is>
          <t>无900+2100</t>
        </is>
      </c>
      <c r="F827" t="n">
        <v>7.1985869</v>
      </c>
      <c r="G827" t="n">
        <v>79.833422</v>
      </c>
      <c r="H827" t="inlineStr">
        <is>
          <t>GMNTN3H</t>
        </is>
      </c>
      <c r="K827" t="inlineStr">
        <is>
          <t>S2</t>
        </is>
      </c>
      <c r="L827" t="inlineStr">
        <is>
          <t>4G</t>
        </is>
      </c>
      <c r="M827" t="inlineStr">
        <is>
          <t>1800</t>
        </is>
      </c>
      <c r="N827" t="inlineStr">
        <is>
          <t>AQU4518R9v06</t>
        </is>
      </c>
      <c r="O827" t="n">
        <v>4</v>
      </c>
      <c r="P827" t="n">
        <v>120</v>
      </c>
      <c r="Q827" t="n">
        <v>0</v>
      </c>
      <c r="Y827" t="inlineStr">
        <is>
          <t>4T4R</t>
        </is>
      </c>
      <c r="AB827" t="inlineStr">
        <is>
          <t>R9264H M901821</t>
        </is>
      </c>
      <c r="AC827" t="inlineStr">
        <is>
          <t>R9264H M901821*3</t>
        </is>
      </c>
    </row>
    <row r="828" hidden="1" ht="15" customHeight="1" s="99">
      <c r="A828" t="inlineStr">
        <is>
          <t>GMNTN3</t>
        </is>
      </c>
      <c r="B828" t="inlineStr"/>
      <c r="D828" t="inlineStr">
        <is>
          <t>无900+2100</t>
        </is>
      </c>
      <c r="F828">
        <f>_xlfn.XLOOKUP(A828,'[1]4G Parameters'!$E:$E,'[1]4G Parameters'!$J:$J)</f>
        <v/>
      </c>
      <c r="G828">
        <f>_xlfn.XLOOKUP(A828,'[1]4G Parameters'!$E:$E,'[1]4G Parameters'!$I:$I)</f>
        <v/>
      </c>
      <c r="H828" t="inlineStr">
        <is>
          <t>GMNTN3R</t>
        </is>
      </c>
      <c r="K828" t="inlineStr">
        <is>
          <t>S3</t>
        </is>
      </c>
      <c r="L828" t="inlineStr">
        <is>
          <t>2G</t>
        </is>
      </c>
      <c r="M828" t="inlineStr">
        <is>
          <t>1800</t>
        </is>
      </c>
      <c r="N828" t="inlineStr"/>
      <c r="O828" t="n">
        <v>0</v>
      </c>
      <c r="P828" t="n">
        <v>240</v>
      </c>
      <c r="Q828" t="n">
        <v>2</v>
      </c>
      <c r="Y828" t="inlineStr"/>
      <c r="AB828" t="inlineStr">
        <is>
          <t>R9264H M901821</t>
        </is>
      </c>
      <c r="AC828" t="inlineStr">
        <is>
          <t>R9264H M901821*3</t>
        </is>
      </c>
    </row>
    <row r="829" hidden="1" ht="15" customHeight="1" s="99">
      <c r="A829" t="inlineStr">
        <is>
          <t>GMNTN3</t>
        </is>
      </c>
      <c r="B829" t="inlineStr">
        <is>
          <t>GMNTN3_G0L00_Munnakarai2_Ne</t>
        </is>
      </c>
      <c r="D829" t="inlineStr">
        <is>
          <t>无900+2100</t>
        </is>
      </c>
      <c r="F829" t="n">
        <v>7.1985869</v>
      </c>
      <c r="G829" t="n">
        <v>79.833422</v>
      </c>
      <c r="H829" t="inlineStr">
        <is>
          <t>GMNTN3I</t>
        </is>
      </c>
      <c r="K829" t="inlineStr">
        <is>
          <t>S3</t>
        </is>
      </c>
      <c r="L829" t="inlineStr">
        <is>
          <t>4G</t>
        </is>
      </c>
      <c r="M829" t="inlineStr">
        <is>
          <t>1800</t>
        </is>
      </c>
      <c r="N829" t="inlineStr">
        <is>
          <t>AQU4518R9v06</t>
        </is>
      </c>
      <c r="O829" t="n">
        <v>4</v>
      </c>
      <c r="P829" t="n">
        <v>240</v>
      </c>
      <c r="Q829" t="n">
        <v>0</v>
      </c>
      <c r="Y829" t="inlineStr">
        <is>
          <t>4T4R</t>
        </is>
      </c>
      <c r="AB829" t="inlineStr">
        <is>
          <t>R9264H M901821</t>
        </is>
      </c>
      <c r="AC829" t="inlineStr">
        <is>
          <t>R9264H M901821*3</t>
        </is>
      </c>
    </row>
    <row r="830" hidden="1" ht="15" customHeight="1" s="99">
      <c r="A830" t="inlineStr">
        <is>
          <t>GMPAR1</t>
        </is>
      </c>
      <c r="B830" t="inlineStr"/>
      <c r="F830">
        <f>_xlfn.XLOOKUP(A830,'[1]4G Parameters'!$E:$E,'[1]4G Parameters'!$J:$J)</f>
        <v/>
      </c>
      <c r="G830">
        <f>_xlfn.XLOOKUP(A830,'[1]4G Parameters'!$E:$E,'[1]4G Parameters'!$I:$I)</f>
        <v/>
      </c>
      <c r="H830" t="inlineStr">
        <is>
          <t>GMPAR1A</t>
        </is>
      </c>
      <c r="K830" t="inlineStr">
        <is>
          <t>S1</t>
        </is>
      </c>
      <c r="L830" t="inlineStr">
        <is>
          <t>2G</t>
        </is>
      </c>
      <c r="M830" t="inlineStr">
        <is>
          <t>900</t>
        </is>
      </c>
      <c r="N830" t="inlineStr"/>
      <c r="O830" t="n">
        <v>40</v>
      </c>
      <c r="P830" t="n">
        <v>170</v>
      </c>
      <c r="Q830" t="n">
        <v>2</v>
      </c>
      <c r="Y830" t="inlineStr"/>
      <c r="AB830" t="inlineStr">
        <is>
          <t>R9264H M901821</t>
        </is>
      </c>
      <c r="AC830" t="inlineStr">
        <is>
          <t>A9652 S35*3+R9264H M901821*3+R9254E S8500*2</t>
        </is>
      </c>
    </row>
    <row r="831" hidden="1" ht="15" customHeight="1" s="99">
      <c r="A831" t="inlineStr">
        <is>
          <t>GMPAR1</t>
        </is>
      </c>
      <c r="B831" t="inlineStr"/>
      <c r="F831">
        <f>_xlfn.XLOOKUP(A831,'[1]4G Parameters'!$E:$E,'[1]4G Parameters'!$J:$J)</f>
        <v/>
      </c>
      <c r="G831">
        <f>_xlfn.XLOOKUP(A831,'[1]4G Parameters'!$E:$E,'[1]4G Parameters'!$I:$I)</f>
        <v/>
      </c>
      <c r="H831" t="inlineStr">
        <is>
          <t>GMPAR1P</t>
        </is>
      </c>
      <c r="K831" t="inlineStr">
        <is>
          <t>S1</t>
        </is>
      </c>
      <c r="L831" t="inlineStr">
        <is>
          <t>2G</t>
        </is>
      </c>
      <c r="M831" t="inlineStr">
        <is>
          <t>1800</t>
        </is>
      </c>
      <c r="N831" t="inlineStr"/>
      <c r="O831" t="n">
        <v>40</v>
      </c>
      <c r="P831" t="n">
        <v>170</v>
      </c>
      <c r="Q831" t="n">
        <v>2</v>
      </c>
      <c r="Y831" t="inlineStr"/>
      <c r="AB831" t="inlineStr">
        <is>
          <t>R9264H M901821</t>
        </is>
      </c>
      <c r="AC831" t="inlineStr">
        <is>
          <t>A9652 S35*3+R9264H M901821*3+R9254E S8500*2</t>
        </is>
      </c>
    </row>
    <row r="832" hidden="1" ht="15" customHeight="1" s="99">
      <c r="A832" t="inlineStr">
        <is>
          <t>GMPAR1</t>
        </is>
      </c>
      <c r="B832" t="inlineStr">
        <is>
          <t>GMPAR1_GUL00_Parakandeniya_Kd</t>
        </is>
      </c>
      <c r="F832" t="n">
        <v>7.03911</v>
      </c>
      <c r="G832" t="n">
        <v>79.9678</v>
      </c>
      <c r="H832" t="inlineStr">
        <is>
          <t>GMPAR1-M-L85-A1</t>
        </is>
      </c>
      <c r="K832" t="inlineStr">
        <is>
          <t>S1</t>
        </is>
      </c>
      <c r="L832" t="inlineStr">
        <is>
          <t>4G</t>
        </is>
      </c>
      <c r="M832" t="inlineStr">
        <is>
          <t>850</t>
        </is>
      </c>
      <c r="N832" t="inlineStr">
        <is>
          <t>AQU4518R9v06</t>
        </is>
      </c>
      <c r="O832" t="n">
        <v>40</v>
      </c>
      <c r="P832" t="n">
        <v>170</v>
      </c>
      <c r="Q832" t="n">
        <v>0</v>
      </c>
      <c r="Y832" t="inlineStr">
        <is>
          <t>2T2R</t>
        </is>
      </c>
      <c r="AB832" t="inlineStr">
        <is>
          <t>R9254E S8500</t>
        </is>
      </c>
      <c r="AC832" t="inlineStr">
        <is>
          <t>A9652 S35*3+R9264H M901821*3+R9254E S8500*2</t>
        </is>
      </c>
    </row>
    <row r="833" hidden="1" ht="15" customHeight="1" s="99">
      <c r="A833" t="inlineStr">
        <is>
          <t>GMPAR1</t>
        </is>
      </c>
      <c r="B833" t="inlineStr">
        <is>
          <t>GMPAR1_GUL00_Parakandeniya_Kd</t>
        </is>
      </c>
      <c r="F833" t="n">
        <v>7.03911</v>
      </c>
      <c r="G833" t="n">
        <v>79.9678</v>
      </c>
      <c r="H833" t="inlineStr">
        <is>
          <t>GMPAR1-M-L21-A2</t>
        </is>
      </c>
      <c r="K833" t="inlineStr">
        <is>
          <t>S1</t>
        </is>
      </c>
      <c r="L833" t="inlineStr">
        <is>
          <t>4G</t>
        </is>
      </c>
      <c r="M833" t="inlineStr">
        <is>
          <t>2100</t>
        </is>
      </c>
      <c r="N833" t="inlineStr">
        <is>
          <t>AQU4518R9v06</t>
        </is>
      </c>
      <c r="O833" t="n">
        <v>40</v>
      </c>
      <c r="P833" t="n">
        <v>170</v>
      </c>
      <c r="Q833" t="n">
        <v>0</v>
      </c>
      <c r="Y833" t="inlineStr">
        <is>
          <t>2T2R</t>
        </is>
      </c>
      <c r="AB833" t="inlineStr">
        <is>
          <t>R9264H M901821</t>
        </is>
      </c>
      <c r="AC833" t="inlineStr">
        <is>
          <t>A9652 S35*3+R9264H M901821*3+R9254E S8500*2</t>
        </is>
      </c>
    </row>
    <row r="834" hidden="1" ht="15" customHeight="1" s="99">
      <c r="A834" t="inlineStr">
        <is>
          <t>GMPAR1</t>
        </is>
      </c>
      <c r="B834" t="inlineStr">
        <is>
          <t>GMPAR1_GUL00_Parakandeniya_Kd</t>
        </is>
      </c>
      <c r="F834" t="n">
        <v>7.03911</v>
      </c>
      <c r="G834" t="n">
        <v>79.9678</v>
      </c>
      <c r="H834" t="inlineStr">
        <is>
          <t>GMPAR1G</t>
        </is>
      </c>
      <c r="K834" t="inlineStr">
        <is>
          <t>S1</t>
        </is>
      </c>
      <c r="L834" t="inlineStr">
        <is>
          <t>4G</t>
        </is>
      </c>
      <c r="M834" t="inlineStr">
        <is>
          <t>1800</t>
        </is>
      </c>
      <c r="N834" t="inlineStr">
        <is>
          <t>AQU4518R9v06</t>
        </is>
      </c>
      <c r="O834" t="n">
        <v>40</v>
      </c>
      <c r="P834" t="n">
        <v>170</v>
      </c>
      <c r="Q834" t="n">
        <v>0</v>
      </c>
      <c r="Y834" t="inlineStr">
        <is>
          <t>4T4R</t>
        </is>
      </c>
      <c r="AB834" t="inlineStr">
        <is>
          <t>R9264H M901821</t>
        </is>
      </c>
      <c r="AC834" t="inlineStr">
        <is>
          <t>A9652 S35*3+R9264H M901821*3+R9254E S8500*2</t>
        </is>
      </c>
    </row>
    <row r="835" hidden="1" ht="15" customHeight="1" s="99">
      <c r="A835" t="inlineStr">
        <is>
          <t>GMPAR1</t>
        </is>
      </c>
      <c r="B835" t="inlineStr"/>
      <c r="F835">
        <f>_xlfn.XLOOKUP(A835,'[1]4G Parameters'!$E:$E,'[1]4G Parameters'!$J:$J)</f>
        <v/>
      </c>
      <c r="G835">
        <f>_xlfn.XLOOKUP(A835,'[1]4G Parameters'!$E:$E,'[1]4G Parameters'!$I:$I)</f>
        <v/>
      </c>
      <c r="H835" t="inlineStr">
        <is>
          <t>GMPAR1B</t>
        </is>
      </c>
      <c r="K835" t="inlineStr">
        <is>
          <t>S2</t>
        </is>
      </c>
      <c r="L835" t="inlineStr">
        <is>
          <t>2G</t>
        </is>
      </c>
      <c r="M835" t="inlineStr">
        <is>
          <t>900</t>
        </is>
      </c>
      <c r="N835" t="inlineStr"/>
      <c r="O835" t="n">
        <v>40</v>
      </c>
      <c r="P835" t="n">
        <v>260</v>
      </c>
      <c r="Q835" t="n">
        <v>2</v>
      </c>
      <c r="Y835" t="inlineStr"/>
      <c r="AB835" t="inlineStr">
        <is>
          <t>R9264H M901821</t>
        </is>
      </c>
      <c r="AC835" t="inlineStr">
        <is>
          <t>A9652 S35*3+R9264H M901821*3+R9254E S8500*2</t>
        </is>
      </c>
    </row>
    <row r="836" hidden="1" ht="15" customHeight="1" s="99">
      <c r="A836" t="inlineStr">
        <is>
          <t>GMPAR1</t>
        </is>
      </c>
      <c r="B836" t="inlineStr"/>
      <c r="F836">
        <f>_xlfn.XLOOKUP(A836,'[1]4G Parameters'!$E:$E,'[1]4G Parameters'!$J:$J)</f>
        <v/>
      </c>
      <c r="G836">
        <f>_xlfn.XLOOKUP(A836,'[1]4G Parameters'!$E:$E,'[1]4G Parameters'!$I:$I)</f>
        <v/>
      </c>
      <c r="H836" t="inlineStr">
        <is>
          <t>GMPAR1Q</t>
        </is>
      </c>
      <c r="K836" t="inlineStr">
        <is>
          <t>S2</t>
        </is>
      </c>
      <c r="L836" t="inlineStr">
        <is>
          <t>2G</t>
        </is>
      </c>
      <c r="M836" t="inlineStr">
        <is>
          <t>1800</t>
        </is>
      </c>
      <c r="N836" t="inlineStr"/>
      <c r="O836" t="n">
        <v>40</v>
      </c>
      <c r="P836" t="n">
        <v>260</v>
      </c>
      <c r="Q836" t="n">
        <v>2</v>
      </c>
      <c r="Y836" t="inlineStr"/>
      <c r="AB836" t="inlineStr">
        <is>
          <t>R9264H M901821</t>
        </is>
      </c>
      <c r="AC836" t="inlineStr">
        <is>
          <t>A9652 S35*3+R9264H M901821*3+R9254E S8500*2</t>
        </is>
      </c>
    </row>
    <row r="837" hidden="1" ht="15" customHeight="1" s="99">
      <c r="A837" t="inlineStr">
        <is>
          <t>GMPAR1</t>
        </is>
      </c>
      <c r="B837" t="inlineStr">
        <is>
          <t>GMPAR1_GUL00_Parakandeniya_Kd</t>
        </is>
      </c>
      <c r="F837" t="n">
        <v>7.03911</v>
      </c>
      <c r="G837" t="n">
        <v>79.9678</v>
      </c>
      <c r="H837" t="inlineStr">
        <is>
          <t>GMPAR1-M-L85-B1</t>
        </is>
      </c>
      <c r="K837" t="inlineStr">
        <is>
          <t>S2</t>
        </is>
      </c>
      <c r="L837" t="inlineStr">
        <is>
          <t>4G</t>
        </is>
      </c>
      <c r="M837" t="inlineStr">
        <is>
          <t>850</t>
        </is>
      </c>
      <c r="N837" t="inlineStr">
        <is>
          <t>AQU4518R9v06</t>
        </is>
      </c>
      <c r="O837" t="n">
        <v>40</v>
      </c>
      <c r="P837" t="n">
        <v>260</v>
      </c>
      <c r="Q837" t="n">
        <v>0</v>
      </c>
      <c r="Y837" t="inlineStr">
        <is>
          <t>2T2R</t>
        </is>
      </c>
      <c r="AB837" t="inlineStr">
        <is>
          <t>R9254E S8500</t>
        </is>
      </c>
      <c r="AC837" t="inlineStr">
        <is>
          <t>A9652 S35*3+R9264H M901821*3+R9254E S8500*2</t>
        </is>
      </c>
    </row>
    <row r="838" hidden="1" ht="15" customHeight="1" s="99">
      <c r="A838" t="inlineStr">
        <is>
          <t>GMPAR1</t>
        </is>
      </c>
      <c r="B838" t="inlineStr">
        <is>
          <t>GMPAR1_GUL00_Parakandeniya_Kd</t>
        </is>
      </c>
      <c r="F838" t="n">
        <v>7.03911</v>
      </c>
      <c r="G838" t="n">
        <v>79.9678</v>
      </c>
      <c r="H838" t="inlineStr">
        <is>
          <t>GMPAR1-M-L21-B2</t>
        </is>
      </c>
      <c r="K838" t="inlineStr">
        <is>
          <t>S2</t>
        </is>
      </c>
      <c r="L838" t="inlineStr">
        <is>
          <t>4G</t>
        </is>
      </c>
      <c r="M838" t="inlineStr">
        <is>
          <t>2100</t>
        </is>
      </c>
      <c r="N838" t="inlineStr">
        <is>
          <t>AQU4518R9v06</t>
        </is>
      </c>
      <c r="O838" t="n">
        <v>40</v>
      </c>
      <c r="P838" t="n">
        <v>260</v>
      </c>
      <c r="Q838" t="n">
        <v>0</v>
      </c>
      <c r="Y838" t="inlineStr">
        <is>
          <t>2T2R</t>
        </is>
      </c>
      <c r="AB838" t="inlineStr">
        <is>
          <t>R9264H M901821</t>
        </is>
      </c>
      <c r="AC838" t="inlineStr">
        <is>
          <t>A9652 S35*3+R9264H M901821*3+R9254E S8500*2</t>
        </is>
      </c>
    </row>
    <row r="839" hidden="1" ht="15" customHeight="1" s="99">
      <c r="A839" t="inlineStr">
        <is>
          <t>GMPAR1</t>
        </is>
      </c>
      <c r="B839" t="inlineStr">
        <is>
          <t>GMPAR1_GUL00_Parakandeniya_Kd</t>
        </is>
      </c>
      <c r="F839" t="n">
        <v>7.03911</v>
      </c>
      <c r="G839" t="n">
        <v>79.9678</v>
      </c>
      <c r="H839" t="inlineStr">
        <is>
          <t>GMPAR1H</t>
        </is>
      </c>
      <c r="K839" t="inlineStr">
        <is>
          <t>S2</t>
        </is>
      </c>
      <c r="L839" t="inlineStr">
        <is>
          <t>4G</t>
        </is>
      </c>
      <c r="M839" t="inlineStr">
        <is>
          <t>1800</t>
        </is>
      </c>
      <c r="N839" t="inlineStr">
        <is>
          <t>AQU4518R9v06</t>
        </is>
      </c>
      <c r="O839" t="n">
        <v>40</v>
      </c>
      <c r="P839" t="n">
        <v>260</v>
      </c>
      <c r="Q839" t="n">
        <v>0</v>
      </c>
      <c r="Y839" t="inlineStr">
        <is>
          <t>4T4R</t>
        </is>
      </c>
      <c r="AB839" t="inlineStr">
        <is>
          <t>R9264H M901821</t>
        </is>
      </c>
      <c r="AC839" t="inlineStr">
        <is>
          <t>A9652 S35*3+R9264H M901821*3+R9254E S8500*2</t>
        </is>
      </c>
    </row>
    <row r="840" hidden="1" ht="15" customHeight="1" s="99">
      <c r="A840" t="inlineStr">
        <is>
          <t>GMPAR1</t>
        </is>
      </c>
      <c r="B840" t="inlineStr"/>
      <c r="F840">
        <f>_xlfn.XLOOKUP(A840,'[1]4G Parameters'!$E:$E,'[1]4G Parameters'!$J:$J)</f>
        <v/>
      </c>
      <c r="G840">
        <f>_xlfn.XLOOKUP(A840,'[1]4G Parameters'!$E:$E,'[1]4G Parameters'!$I:$I)</f>
        <v/>
      </c>
      <c r="H840" t="inlineStr">
        <is>
          <t>GMPAR1C</t>
        </is>
      </c>
      <c r="K840" t="inlineStr">
        <is>
          <t>S3</t>
        </is>
      </c>
      <c r="L840" t="inlineStr">
        <is>
          <t>2G</t>
        </is>
      </c>
      <c r="M840" t="inlineStr">
        <is>
          <t>900</t>
        </is>
      </c>
      <c r="N840" t="inlineStr"/>
      <c r="O840" t="n">
        <v>40</v>
      </c>
      <c r="P840" t="n">
        <v>345</v>
      </c>
      <c r="Q840" t="n">
        <v>2</v>
      </c>
      <c r="Y840" t="inlineStr"/>
      <c r="AB840" t="inlineStr">
        <is>
          <t>R9264H M901821</t>
        </is>
      </c>
      <c r="AC840" t="inlineStr">
        <is>
          <t>A9652 S35*3+R9264H M901821*3+R9254E S8500*2</t>
        </is>
      </c>
    </row>
    <row r="841" hidden="1" ht="15" customHeight="1" s="99">
      <c r="A841" t="inlineStr">
        <is>
          <t>GMPAR1</t>
        </is>
      </c>
      <c r="B841" t="inlineStr"/>
      <c r="F841">
        <f>_xlfn.XLOOKUP(A841,'[1]4G Parameters'!$E:$E,'[1]4G Parameters'!$J:$J)</f>
        <v/>
      </c>
      <c r="G841">
        <f>_xlfn.XLOOKUP(A841,'[1]4G Parameters'!$E:$E,'[1]4G Parameters'!$I:$I)</f>
        <v/>
      </c>
      <c r="H841" t="inlineStr">
        <is>
          <t>GMPAR1R</t>
        </is>
      </c>
      <c r="K841" t="inlineStr">
        <is>
          <t>S3</t>
        </is>
      </c>
      <c r="L841" t="inlineStr">
        <is>
          <t>2G</t>
        </is>
      </c>
      <c r="M841" t="inlineStr">
        <is>
          <t>1800</t>
        </is>
      </c>
      <c r="N841" t="inlineStr"/>
      <c r="O841" t="n">
        <v>40</v>
      </c>
      <c r="P841" t="n">
        <v>345</v>
      </c>
      <c r="Q841" t="n">
        <v>2</v>
      </c>
      <c r="Y841" t="inlineStr"/>
      <c r="AB841" t="inlineStr">
        <is>
          <t>R9264H M901821</t>
        </is>
      </c>
      <c r="AC841" t="inlineStr">
        <is>
          <t>A9652 S35*3+R9264H M901821*3+R9254E S8500*2</t>
        </is>
      </c>
    </row>
    <row r="842" hidden="1" ht="15" customHeight="1" s="99">
      <c r="A842" t="inlineStr">
        <is>
          <t>GMPAR1</t>
        </is>
      </c>
      <c r="B842" t="inlineStr">
        <is>
          <t>GMPAR1_GUL00_Parakandeniya_Kd</t>
        </is>
      </c>
      <c r="F842" t="n">
        <v>7.03911</v>
      </c>
      <c r="G842" t="n">
        <v>79.9678</v>
      </c>
      <c r="H842" t="inlineStr">
        <is>
          <t>GMPAR1-M-L85-C1</t>
        </is>
      </c>
      <c r="K842" t="inlineStr">
        <is>
          <t>S3</t>
        </is>
      </c>
      <c r="L842" t="inlineStr">
        <is>
          <t>4G</t>
        </is>
      </c>
      <c r="M842" t="inlineStr">
        <is>
          <t>850</t>
        </is>
      </c>
      <c r="N842" t="inlineStr">
        <is>
          <t>AQU4518R9v06</t>
        </is>
      </c>
      <c r="O842" t="n">
        <v>40</v>
      </c>
      <c r="P842" t="n">
        <v>345</v>
      </c>
      <c r="Q842" t="n">
        <v>0</v>
      </c>
      <c r="Y842" t="inlineStr">
        <is>
          <t>2T2R</t>
        </is>
      </c>
      <c r="AB842" t="inlineStr">
        <is>
          <t>R9254E S8500</t>
        </is>
      </c>
      <c r="AC842" t="inlineStr">
        <is>
          <t>A9652 S35*3+R9264H M901821*3+R9254E S8500*2</t>
        </is>
      </c>
    </row>
    <row r="843" hidden="1" ht="15" customHeight="1" s="99">
      <c r="A843" t="inlineStr">
        <is>
          <t>GMPAR1</t>
        </is>
      </c>
      <c r="B843" t="inlineStr">
        <is>
          <t>GMPAR1_GUL00_Parakandeniya_Kd</t>
        </is>
      </c>
      <c r="F843" t="n">
        <v>7.03911</v>
      </c>
      <c r="G843" t="n">
        <v>79.9678</v>
      </c>
      <c r="H843" t="inlineStr">
        <is>
          <t>GMPAR1-M-L21-C2</t>
        </is>
      </c>
      <c r="K843" t="inlineStr">
        <is>
          <t>S3</t>
        </is>
      </c>
      <c r="L843" t="inlineStr">
        <is>
          <t>4G</t>
        </is>
      </c>
      <c r="M843" t="inlineStr">
        <is>
          <t>2100</t>
        </is>
      </c>
      <c r="N843" t="inlineStr">
        <is>
          <t>AQU4518R9v06</t>
        </is>
      </c>
      <c r="O843" t="n">
        <v>40</v>
      </c>
      <c r="P843" t="n">
        <v>345</v>
      </c>
      <c r="Q843" t="n">
        <v>0</v>
      </c>
      <c r="Y843" t="inlineStr">
        <is>
          <t>2T2R</t>
        </is>
      </c>
      <c r="AB843" t="inlineStr">
        <is>
          <t>R9264H M901821</t>
        </is>
      </c>
      <c r="AC843" t="inlineStr">
        <is>
          <t>A9652 S35*3+R9264H M901821*3+R9254E S8500*2</t>
        </is>
      </c>
    </row>
    <row r="844" hidden="1" ht="15" customHeight="1" s="99">
      <c r="A844" t="inlineStr">
        <is>
          <t>GMPAR1</t>
        </is>
      </c>
      <c r="B844" t="inlineStr">
        <is>
          <t>GMPAR1_GUL00_Parakandeniya_Kd</t>
        </is>
      </c>
      <c r="F844" t="n">
        <v>7.03911</v>
      </c>
      <c r="G844" t="n">
        <v>79.9678</v>
      </c>
      <c r="H844" t="inlineStr">
        <is>
          <t>GMPAR1-M-L18-C1</t>
        </is>
      </c>
      <c r="K844" t="inlineStr">
        <is>
          <t>S3</t>
        </is>
      </c>
      <c r="L844" t="inlineStr">
        <is>
          <t>4G</t>
        </is>
      </c>
      <c r="M844" t="inlineStr">
        <is>
          <t>1800</t>
        </is>
      </c>
      <c r="N844" t="inlineStr">
        <is>
          <t>AQU4518R9v06</t>
        </is>
      </c>
      <c r="O844" t="n">
        <v>40</v>
      </c>
      <c r="P844" t="n">
        <v>345</v>
      </c>
      <c r="Q844" t="n">
        <v>0</v>
      </c>
      <c r="Y844" t="inlineStr">
        <is>
          <t>2T2R</t>
        </is>
      </c>
      <c r="AB844" t="inlineStr">
        <is>
          <t>R9264H M901821</t>
        </is>
      </c>
      <c r="AC844" t="inlineStr">
        <is>
          <t>A9652 S35*3+R9264H M901821*3+R9254E S8500*2</t>
        </is>
      </c>
    </row>
    <row r="845" hidden="1" ht="15" customHeight="1" s="99">
      <c r="A845" t="inlineStr">
        <is>
          <t>GMPAR1</t>
        </is>
      </c>
      <c r="B845" t="inlineStr">
        <is>
          <t>GMPAR1_GUL00_Parakandeniya_Kd</t>
        </is>
      </c>
      <c r="F845" t="n">
        <v>7.03911</v>
      </c>
      <c r="G845" t="n">
        <v>79.9678</v>
      </c>
      <c r="H845" t="inlineStr">
        <is>
          <t>GMPAR1I</t>
        </is>
      </c>
      <c r="K845" t="inlineStr">
        <is>
          <t>S3</t>
        </is>
      </c>
      <c r="L845" t="inlineStr">
        <is>
          <t>4G</t>
        </is>
      </c>
      <c r="M845" t="inlineStr">
        <is>
          <t>1800</t>
        </is>
      </c>
      <c r="N845" t="inlineStr">
        <is>
          <t>AQU4518R9v06</t>
        </is>
      </c>
      <c r="O845" t="n">
        <v>40</v>
      </c>
      <c r="P845" t="n">
        <v>345</v>
      </c>
      <c r="Q845" t="n">
        <v>0</v>
      </c>
      <c r="Y845" t="inlineStr">
        <is>
          <t>4T4R</t>
        </is>
      </c>
      <c r="AB845" t="inlineStr">
        <is>
          <t>R9264H M901821</t>
        </is>
      </c>
      <c r="AC845" t="inlineStr">
        <is>
          <t>A9652 S35*3+R9264H M901821*3+R9254E S8500*2</t>
        </is>
      </c>
    </row>
    <row r="846" hidden="1" ht="15" customHeight="1" s="99">
      <c r="A846" t="inlineStr">
        <is>
          <t>GMPAR2</t>
        </is>
      </c>
      <c r="B846" t="inlineStr"/>
      <c r="F846">
        <f>_xlfn.XLOOKUP(A846,'[1]4G Parameters'!$E:$E,'[1]4G Parameters'!$J:$J)</f>
        <v/>
      </c>
      <c r="G846">
        <f>_xlfn.XLOOKUP(A846,'[1]4G Parameters'!$E:$E,'[1]4G Parameters'!$I:$I)</f>
        <v/>
      </c>
      <c r="H846" t="inlineStr">
        <is>
          <t>GMPAR2A</t>
        </is>
      </c>
      <c r="K846" t="inlineStr">
        <is>
          <t>S1</t>
        </is>
      </c>
      <c r="L846" t="inlineStr">
        <is>
          <t>2G</t>
        </is>
      </c>
      <c r="M846" t="inlineStr">
        <is>
          <t>900</t>
        </is>
      </c>
      <c r="N846" t="inlineStr"/>
      <c r="O846" t="n">
        <v>30</v>
      </c>
      <c r="P846" t="n">
        <v>30</v>
      </c>
      <c r="Q846" t="n">
        <v>2</v>
      </c>
      <c r="Y846" t="inlineStr"/>
      <c r="AB846" t="inlineStr">
        <is>
          <t>R9244 S9000</t>
        </is>
      </c>
      <c r="AC846" t="inlineStr">
        <is>
          <t>R9254E S1800*3+R9254E S8500*2+R9244 S9000*2</t>
        </is>
      </c>
    </row>
    <row r="847" hidden="1" ht="15" customHeight="1" s="99">
      <c r="A847" t="inlineStr">
        <is>
          <t>GMPAR2</t>
        </is>
      </c>
      <c r="B847" t="inlineStr"/>
      <c r="F847">
        <f>_xlfn.XLOOKUP(A847,'[1]4G Parameters'!$E:$E,'[1]4G Parameters'!$J:$J)</f>
        <v/>
      </c>
      <c r="G847">
        <f>_xlfn.XLOOKUP(A847,'[1]4G Parameters'!$E:$E,'[1]4G Parameters'!$I:$I)</f>
        <v/>
      </c>
      <c r="H847" t="inlineStr">
        <is>
          <t>GMPAR2P</t>
        </is>
      </c>
      <c r="K847" t="inlineStr">
        <is>
          <t>S1</t>
        </is>
      </c>
      <c r="L847" t="inlineStr">
        <is>
          <t>2G</t>
        </is>
      </c>
      <c r="M847" t="inlineStr">
        <is>
          <t>1800</t>
        </is>
      </c>
      <c r="N847" t="inlineStr"/>
      <c r="O847" t="n">
        <v>30</v>
      </c>
      <c r="P847" t="n">
        <v>30</v>
      </c>
      <c r="Q847" t="n">
        <v>2</v>
      </c>
      <c r="Y847" t="inlineStr"/>
      <c r="AB847" t="inlineStr">
        <is>
          <t>R9254E S1800</t>
        </is>
      </c>
      <c r="AC847" t="inlineStr">
        <is>
          <t>R9254E S1800*3+R9254E S8500*2+R9244 S9000*2</t>
        </is>
      </c>
    </row>
    <row r="848" hidden="1" ht="15" customHeight="1" s="99">
      <c r="A848" t="inlineStr">
        <is>
          <t>GMPAR2</t>
        </is>
      </c>
      <c r="B848" t="inlineStr">
        <is>
          <t>GMPAR2_G0L00_Parakandeniya2_Kd</t>
        </is>
      </c>
      <c r="F848" t="n">
        <v>7.03353</v>
      </c>
      <c r="G848" t="n">
        <v>79.97709999999999</v>
      </c>
      <c r="H848" t="inlineStr">
        <is>
          <t>GMPAR2-M-L85-A1</t>
        </is>
      </c>
      <c r="K848" t="inlineStr">
        <is>
          <t>S1</t>
        </is>
      </c>
      <c r="L848" t="inlineStr">
        <is>
          <t>4G</t>
        </is>
      </c>
      <c r="M848" t="inlineStr">
        <is>
          <t>850</t>
        </is>
      </c>
      <c r="N848" t="inlineStr">
        <is>
          <t>APE4517R0v06</t>
        </is>
      </c>
      <c r="O848" t="n">
        <v>40</v>
      </c>
      <c r="P848" t="n">
        <v>30</v>
      </c>
      <c r="Q848" t="n">
        <v>0</v>
      </c>
      <c r="Y848" t="inlineStr">
        <is>
          <t>2T2R</t>
        </is>
      </c>
      <c r="AB848" t="inlineStr">
        <is>
          <t>R9254E S8500</t>
        </is>
      </c>
      <c r="AC848" t="inlineStr">
        <is>
          <t>R9254E S1800*3+R9254E S8500*2+R9244 S9000*2</t>
        </is>
      </c>
    </row>
    <row r="849" hidden="1" ht="15" customHeight="1" s="99">
      <c r="A849" t="inlineStr">
        <is>
          <t>GMPAR2</t>
        </is>
      </c>
      <c r="B849" t="inlineStr">
        <is>
          <t>GMPAR2_G0L00_Parakandeniya2_Kd</t>
        </is>
      </c>
      <c r="F849" t="n">
        <v>7.03353</v>
      </c>
      <c r="G849" t="n">
        <v>79.97709999999999</v>
      </c>
      <c r="H849" t="inlineStr">
        <is>
          <t>GMPAR2G</t>
        </is>
      </c>
      <c r="K849" t="inlineStr">
        <is>
          <t>S1</t>
        </is>
      </c>
      <c r="L849" t="inlineStr">
        <is>
          <t>4G</t>
        </is>
      </c>
      <c r="M849" t="inlineStr">
        <is>
          <t>1800</t>
        </is>
      </c>
      <c r="N849" t="inlineStr">
        <is>
          <t>APE4517R0v06</t>
        </is>
      </c>
      <c r="O849" t="n">
        <v>40</v>
      </c>
      <c r="P849" t="n">
        <v>30</v>
      </c>
      <c r="Q849" t="n">
        <v>0</v>
      </c>
      <c r="Y849" t="inlineStr">
        <is>
          <t>4T4R</t>
        </is>
      </c>
      <c r="AB849" t="inlineStr">
        <is>
          <t>R9254E S1800</t>
        </is>
      </c>
      <c r="AC849" t="inlineStr">
        <is>
          <t>R9254E S1800*3+R9254E S8500*2+R9244 S9000*2</t>
        </is>
      </c>
    </row>
    <row r="850" hidden="1" ht="15" customHeight="1" s="99">
      <c r="A850" t="inlineStr">
        <is>
          <t>GMPAR2</t>
        </is>
      </c>
      <c r="B850" t="inlineStr"/>
      <c r="F850">
        <f>_xlfn.XLOOKUP(A850,'[1]4G Parameters'!$E:$E,'[1]4G Parameters'!$J:$J)</f>
        <v/>
      </c>
      <c r="G850">
        <f>_xlfn.XLOOKUP(A850,'[1]4G Parameters'!$E:$E,'[1]4G Parameters'!$I:$I)</f>
        <v/>
      </c>
      <c r="H850" t="inlineStr">
        <is>
          <t>GMPAR2B</t>
        </is>
      </c>
      <c r="K850" t="inlineStr">
        <is>
          <t>S2</t>
        </is>
      </c>
      <c r="L850" t="inlineStr">
        <is>
          <t>2G</t>
        </is>
      </c>
      <c r="M850" t="inlineStr">
        <is>
          <t>900</t>
        </is>
      </c>
      <c r="N850" t="inlineStr"/>
      <c r="O850" t="n">
        <v>30</v>
      </c>
      <c r="P850" t="n">
        <v>180</v>
      </c>
      <c r="Q850" t="n">
        <v>2</v>
      </c>
      <c r="Y850" t="inlineStr"/>
      <c r="AB850" t="inlineStr">
        <is>
          <t>R9244 S9000</t>
        </is>
      </c>
      <c r="AC850" t="inlineStr">
        <is>
          <t>R9254E S1800*3+R9254E S8500*2+R9244 S9000*2</t>
        </is>
      </c>
    </row>
    <row r="851" hidden="1" ht="15" customHeight="1" s="99">
      <c r="A851" t="inlineStr">
        <is>
          <t>GMPAR2</t>
        </is>
      </c>
      <c r="B851" t="inlineStr"/>
      <c r="F851">
        <f>_xlfn.XLOOKUP(A851,'[1]4G Parameters'!$E:$E,'[1]4G Parameters'!$J:$J)</f>
        <v/>
      </c>
      <c r="G851">
        <f>_xlfn.XLOOKUP(A851,'[1]4G Parameters'!$E:$E,'[1]4G Parameters'!$I:$I)</f>
        <v/>
      </c>
      <c r="H851" t="inlineStr">
        <is>
          <t>GMPAR2Q</t>
        </is>
      </c>
      <c r="K851" t="inlineStr">
        <is>
          <t>S2</t>
        </is>
      </c>
      <c r="L851" t="inlineStr">
        <is>
          <t>2G</t>
        </is>
      </c>
      <c r="M851" t="inlineStr">
        <is>
          <t>1800</t>
        </is>
      </c>
      <c r="N851" t="inlineStr"/>
      <c r="O851" t="n">
        <v>30</v>
      </c>
      <c r="P851" t="n">
        <v>180</v>
      </c>
      <c r="Q851" t="n">
        <v>2</v>
      </c>
      <c r="Y851" t="inlineStr"/>
      <c r="AB851" t="inlineStr">
        <is>
          <t>R9254E S1800</t>
        </is>
      </c>
      <c r="AC851" t="inlineStr">
        <is>
          <t>R9254E S1800*3+R9254E S8500*2+R9244 S9000*2</t>
        </is>
      </c>
    </row>
    <row r="852" hidden="1" ht="15" customHeight="1" s="99">
      <c r="A852" t="inlineStr">
        <is>
          <t>GMPAR2</t>
        </is>
      </c>
      <c r="B852" t="inlineStr">
        <is>
          <t>GMPAR2_G0L00_Parakandeniya2_Kd</t>
        </is>
      </c>
      <c r="F852" t="n">
        <v>7.03353</v>
      </c>
      <c r="G852" t="n">
        <v>79.97709999999999</v>
      </c>
      <c r="H852" t="inlineStr">
        <is>
          <t>GMPAR2-M-L85-B1</t>
        </is>
      </c>
      <c r="K852" t="inlineStr">
        <is>
          <t>S2</t>
        </is>
      </c>
      <c r="L852" t="inlineStr">
        <is>
          <t>4G</t>
        </is>
      </c>
      <c r="M852" t="inlineStr">
        <is>
          <t>850</t>
        </is>
      </c>
      <c r="N852" t="inlineStr">
        <is>
          <t>APE4517R0v06</t>
        </is>
      </c>
      <c r="O852" t="n">
        <v>40</v>
      </c>
      <c r="P852" t="n">
        <v>180</v>
      </c>
      <c r="Q852" t="n">
        <v>0</v>
      </c>
      <c r="Y852" t="inlineStr">
        <is>
          <t>2T2R</t>
        </is>
      </c>
      <c r="AB852" t="inlineStr">
        <is>
          <t>R9254E S8500</t>
        </is>
      </c>
      <c r="AC852" t="inlineStr">
        <is>
          <t>R9254E S1800*3+R9254E S8500*2+R9244 S9000*2</t>
        </is>
      </c>
    </row>
    <row r="853" hidden="1" ht="15" customHeight="1" s="99">
      <c r="A853" t="inlineStr">
        <is>
          <t>GMPAR2</t>
        </is>
      </c>
      <c r="B853" t="inlineStr">
        <is>
          <t>GMPAR2_G0L00_Parakandeniya2_Kd</t>
        </is>
      </c>
      <c r="F853" t="n">
        <v>7.03353</v>
      </c>
      <c r="G853" t="n">
        <v>79.97709999999999</v>
      </c>
      <c r="H853" t="inlineStr">
        <is>
          <t>GMPAR2H</t>
        </is>
      </c>
      <c r="K853" t="inlineStr">
        <is>
          <t>S2</t>
        </is>
      </c>
      <c r="L853" t="inlineStr">
        <is>
          <t>4G</t>
        </is>
      </c>
      <c r="M853" t="inlineStr">
        <is>
          <t>1800</t>
        </is>
      </c>
      <c r="N853" t="inlineStr">
        <is>
          <t>APE4517R0v06</t>
        </is>
      </c>
      <c r="O853" t="n">
        <v>40</v>
      </c>
      <c r="P853" t="n">
        <v>180</v>
      </c>
      <c r="Q853" t="n">
        <v>0</v>
      </c>
      <c r="Y853" t="inlineStr">
        <is>
          <t>4T4R</t>
        </is>
      </c>
      <c r="AB853" t="inlineStr">
        <is>
          <t>R9254E S1800</t>
        </is>
      </c>
      <c r="AC853" t="inlineStr">
        <is>
          <t>R9254E S1800*3+R9254E S8500*2+R9244 S9000*2</t>
        </is>
      </c>
    </row>
    <row r="854" hidden="1" ht="15" customHeight="1" s="99">
      <c r="A854" t="inlineStr">
        <is>
          <t>GMPAR2</t>
        </is>
      </c>
      <c r="B854" t="inlineStr"/>
      <c r="F854">
        <f>_xlfn.XLOOKUP(A854,'[1]4G Parameters'!$E:$E,'[1]4G Parameters'!$J:$J)</f>
        <v/>
      </c>
      <c r="G854">
        <f>_xlfn.XLOOKUP(A854,'[1]4G Parameters'!$E:$E,'[1]4G Parameters'!$I:$I)</f>
        <v/>
      </c>
      <c r="H854" t="inlineStr">
        <is>
          <t>GMPAR2C</t>
        </is>
      </c>
      <c r="K854" t="inlineStr">
        <is>
          <t>S3</t>
        </is>
      </c>
      <c r="L854" t="inlineStr">
        <is>
          <t>2G</t>
        </is>
      </c>
      <c r="M854" t="inlineStr">
        <is>
          <t>900</t>
        </is>
      </c>
      <c r="N854" t="inlineStr"/>
      <c r="O854" t="n">
        <v>30</v>
      </c>
      <c r="P854" t="n">
        <v>290</v>
      </c>
      <c r="Q854" t="n">
        <v>2</v>
      </c>
      <c r="Y854" t="inlineStr"/>
      <c r="AB854" t="inlineStr">
        <is>
          <t>R9244 S9000</t>
        </is>
      </c>
      <c r="AC854" t="inlineStr">
        <is>
          <t>R9254E S1800*3+R9254E S8500*2+R9244 S9000*2</t>
        </is>
      </c>
    </row>
    <row r="855" hidden="1" ht="15" customHeight="1" s="99">
      <c r="A855" t="inlineStr">
        <is>
          <t>GMPAR2</t>
        </is>
      </c>
      <c r="B855" t="inlineStr"/>
      <c r="F855">
        <f>_xlfn.XLOOKUP(A855,'[1]4G Parameters'!$E:$E,'[1]4G Parameters'!$J:$J)</f>
        <v/>
      </c>
      <c r="G855">
        <f>_xlfn.XLOOKUP(A855,'[1]4G Parameters'!$E:$E,'[1]4G Parameters'!$I:$I)</f>
        <v/>
      </c>
      <c r="H855" t="inlineStr">
        <is>
          <t>GMPAR2R</t>
        </is>
      </c>
      <c r="K855" t="inlineStr">
        <is>
          <t>S3</t>
        </is>
      </c>
      <c r="L855" t="inlineStr">
        <is>
          <t>2G</t>
        </is>
      </c>
      <c r="M855" t="inlineStr">
        <is>
          <t>1800</t>
        </is>
      </c>
      <c r="N855" t="inlineStr"/>
      <c r="O855" t="n">
        <v>30</v>
      </c>
      <c r="P855" t="n">
        <v>290</v>
      </c>
      <c r="Q855" t="n">
        <v>2</v>
      </c>
      <c r="Y855" t="inlineStr"/>
      <c r="AB855" t="inlineStr">
        <is>
          <t>R9254E S1800</t>
        </is>
      </c>
      <c r="AC855" t="inlineStr">
        <is>
          <t>R9254E S1800*3+R9254E S8500*2+R9244 S9000*2</t>
        </is>
      </c>
    </row>
    <row r="856" hidden="1" ht="15" customHeight="1" s="99">
      <c r="A856" t="inlineStr">
        <is>
          <t>GMPAR2</t>
        </is>
      </c>
      <c r="B856" t="inlineStr">
        <is>
          <t>GMPAR2_G0L00_Parakandeniya2_Kd</t>
        </is>
      </c>
      <c r="F856" t="n">
        <v>7.03353</v>
      </c>
      <c r="G856" t="n">
        <v>79.97709999999999</v>
      </c>
      <c r="H856" t="inlineStr">
        <is>
          <t>GMPAR2-M-L85-C1</t>
        </is>
      </c>
      <c r="K856" t="inlineStr">
        <is>
          <t>S3</t>
        </is>
      </c>
      <c r="L856" t="inlineStr">
        <is>
          <t>4G</t>
        </is>
      </c>
      <c r="M856" t="inlineStr">
        <is>
          <t>850</t>
        </is>
      </c>
      <c r="N856" t="inlineStr">
        <is>
          <t>APE4517R0v06</t>
        </is>
      </c>
      <c r="O856" t="n">
        <v>40</v>
      </c>
      <c r="P856" t="n">
        <v>290</v>
      </c>
      <c r="Q856" t="n">
        <v>0</v>
      </c>
      <c r="Y856" t="inlineStr">
        <is>
          <t>2T2R</t>
        </is>
      </c>
      <c r="AB856" t="inlineStr">
        <is>
          <t>R9254E S8500</t>
        </is>
      </c>
      <c r="AC856" t="inlineStr">
        <is>
          <t>R9254E S1800*3+R9254E S8500*2+R9244 S9000*2</t>
        </is>
      </c>
    </row>
    <row r="857" hidden="1" ht="15" customHeight="1" s="99">
      <c r="A857" t="inlineStr">
        <is>
          <t>GMPAR2</t>
        </is>
      </c>
      <c r="B857" t="inlineStr">
        <is>
          <t>GMPAR2_G0L00_Parakandeniya2_Kd</t>
        </is>
      </c>
      <c r="F857" t="n">
        <v>7.03353</v>
      </c>
      <c r="G857" t="n">
        <v>79.97709999999999</v>
      </c>
      <c r="H857" t="inlineStr">
        <is>
          <t>GMPAR2I</t>
        </is>
      </c>
      <c r="K857" t="inlineStr">
        <is>
          <t>S3</t>
        </is>
      </c>
      <c r="L857" t="inlineStr">
        <is>
          <t>4G</t>
        </is>
      </c>
      <c r="M857" t="inlineStr">
        <is>
          <t>1800</t>
        </is>
      </c>
      <c r="N857" t="inlineStr">
        <is>
          <t>APE4517R0v06</t>
        </is>
      </c>
      <c r="O857" t="n">
        <v>40</v>
      </c>
      <c r="P857" t="n">
        <v>290</v>
      </c>
      <c r="Q857" t="n">
        <v>0</v>
      </c>
      <c r="Y857" t="inlineStr">
        <is>
          <t>4T4R</t>
        </is>
      </c>
      <c r="AB857" t="inlineStr">
        <is>
          <t>R9254E S1800</t>
        </is>
      </c>
      <c r="AC857" t="inlineStr">
        <is>
          <t>R9254E S1800*3+R9254E S8500*2+R9244 S9000*2</t>
        </is>
      </c>
    </row>
    <row r="858" hidden="1" ht="15" customHeight="1" s="99">
      <c r="A858" t="inlineStr">
        <is>
          <t>GMPIT1</t>
        </is>
      </c>
      <c r="B858" t="inlineStr"/>
      <c r="F858">
        <f>_xlfn.XLOOKUP(A858,'[1]4G Parameters'!$E:$E,'[1]4G Parameters'!$J:$J)</f>
        <v/>
      </c>
      <c r="G858">
        <f>_xlfn.XLOOKUP(A858,'[1]4G Parameters'!$E:$E,'[1]4G Parameters'!$I:$I)</f>
        <v/>
      </c>
      <c r="H858" t="inlineStr">
        <is>
          <t>GMPIT1A</t>
        </is>
      </c>
      <c r="K858" t="inlineStr">
        <is>
          <t>S1</t>
        </is>
      </c>
      <c r="L858" t="inlineStr">
        <is>
          <t>2G</t>
        </is>
      </c>
      <c r="M858" t="inlineStr">
        <is>
          <t>900</t>
        </is>
      </c>
      <c r="N858" t="inlineStr"/>
      <c r="O858" t="n">
        <v>55</v>
      </c>
      <c r="P858" t="n">
        <v>0</v>
      </c>
      <c r="Q858" t="n">
        <v>2</v>
      </c>
      <c r="Y858" t="inlineStr"/>
      <c r="AB858" t="inlineStr">
        <is>
          <t>R9264H M901821</t>
        </is>
      </c>
      <c r="AC858" t="inlineStr">
        <is>
          <t>A9652 S35*3+R9264H M901821*3+R9254E S8500*2+R9264 M1821N*2</t>
        </is>
      </c>
    </row>
    <row r="859" hidden="1" ht="15" customHeight="1" s="99">
      <c r="A859" t="inlineStr">
        <is>
          <t>GMPIT1</t>
        </is>
      </c>
      <c r="B859" t="inlineStr"/>
      <c r="F859">
        <f>_xlfn.XLOOKUP(A859,'[1]4G Parameters'!$E:$E,'[1]4G Parameters'!$J:$J)</f>
        <v/>
      </c>
      <c r="G859">
        <f>_xlfn.XLOOKUP(A859,'[1]4G Parameters'!$E:$E,'[1]4G Parameters'!$I:$I)</f>
        <v/>
      </c>
      <c r="H859" t="inlineStr">
        <is>
          <t>GMPIT1P</t>
        </is>
      </c>
      <c r="K859" t="inlineStr">
        <is>
          <t>S1</t>
        </is>
      </c>
      <c r="L859" t="inlineStr">
        <is>
          <t>2G</t>
        </is>
      </c>
      <c r="M859" t="inlineStr">
        <is>
          <t>1800</t>
        </is>
      </c>
      <c r="N859" t="inlineStr"/>
      <c r="O859" t="n">
        <v>55</v>
      </c>
      <c r="P859" t="n">
        <v>0</v>
      </c>
      <c r="Q859" t="n">
        <v>2</v>
      </c>
      <c r="Y859" t="inlineStr"/>
      <c r="AB859" t="inlineStr">
        <is>
          <t>R9264H M901821</t>
        </is>
      </c>
      <c r="AC859" t="inlineStr">
        <is>
          <t>A9652 S35*3+R9264H M901821*3+R9254E S8500*2+R9264 M1821N*2</t>
        </is>
      </c>
    </row>
    <row r="860" hidden="1" ht="15" customHeight="1" s="99">
      <c r="A860" t="inlineStr">
        <is>
          <t>GMPIT1</t>
        </is>
      </c>
      <c r="B860" t="inlineStr">
        <is>
          <t>GMPIT1_GUL00_Pitipana_Ne</t>
        </is>
      </c>
      <c r="F860" t="n">
        <v>7.19843</v>
      </c>
      <c r="G860" t="n">
        <v>79.8206</v>
      </c>
      <c r="H860" t="inlineStr">
        <is>
          <t>GMPIT1-M-L85-A1</t>
        </is>
      </c>
      <c r="K860" t="inlineStr">
        <is>
          <t>S1</t>
        </is>
      </c>
      <c r="L860" t="inlineStr">
        <is>
          <t>4G</t>
        </is>
      </c>
      <c r="M860" t="inlineStr">
        <is>
          <t>850</t>
        </is>
      </c>
      <c r="N860" t="inlineStr">
        <is>
          <t>AQU4518R9v06</t>
        </is>
      </c>
      <c r="O860" t="n">
        <v>60</v>
      </c>
      <c r="P860" t="n">
        <v>0</v>
      </c>
      <c r="Q860" t="n">
        <v>0</v>
      </c>
      <c r="Y860" t="inlineStr">
        <is>
          <t>2T2R</t>
        </is>
      </c>
      <c r="AB860" t="inlineStr">
        <is>
          <t>R9254E S8500</t>
        </is>
      </c>
      <c r="AC860" t="inlineStr">
        <is>
          <t>A9652 S35*3+R9264H M901821*3+R9254E S8500*2+R9264 M1821N*2</t>
        </is>
      </c>
    </row>
    <row r="861" hidden="1" ht="15" customHeight="1" s="99">
      <c r="A861" t="inlineStr">
        <is>
          <t>GMPIT1</t>
        </is>
      </c>
      <c r="B861" t="inlineStr">
        <is>
          <t>GMPIT1_GUL00_Pitipana_Ne</t>
        </is>
      </c>
      <c r="F861" t="n">
        <v>7.19843</v>
      </c>
      <c r="G861" t="n">
        <v>79.8206</v>
      </c>
      <c r="H861" t="inlineStr">
        <is>
          <t>GMPIT1-M-L21-A2</t>
        </is>
      </c>
      <c r="K861" t="inlineStr">
        <is>
          <t>S1</t>
        </is>
      </c>
      <c r="L861" t="inlineStr">
        <is>
          <t>4G</t>
        </is>
      </c>
      <c r="M861" t="inlineStr">
        <is>
          <t>2100</t>
        </is>
      </c>
      <c r="N861" t="inlineStr">
        <is>
          <t>AQU4518R9v06</t>
        </is>
      </c>
      <c r="O861" t="n">
        <v>60</v>
      </c>
      <c r="P861" t="n">
        <v>0</v>
      </c>
      <c r="Q861" t="n">
        <v>0</v>
      </c>
      <c r="Y861" t="inlineStr">
        <is>
          <t>2T2R</t>
        </is>
      </c>
      <c r="AB861" t="inlineStr">
        <is>
          <t>R9264H M901821</t>
        </is>
      </c>
      <c r="AC861" t="inlineStr">
        <is>
          <t>A9652 S35*3+R9264H M901821*3+R9254E S8500*2+R9264 M1821N*2</t>
        </is>
      </c>
    </row>
    <row r="862" hidden="1" ht="15" customHeight="1" s="99">
      <c r="A862" t="inlineStr">
        <is>
          <t>GMPIT1</t>
        </is>
      </c>
      <c r="B862" t="inlineStr">
        <is>
          <t>GMPIT1_GUL00_Pitipana_Ne</t>
        </is>
      </c>
      <c r="F862" t="n">
        <v>7.19843</v>
      </c>
      <c r="G862" t="n">
        <v>79.8206</v>
      </c>
      <c r="H862" t="inlineStr">
        <is>
          <t>GMPIT1G</t>
        </is>
      </c>
      <c r="K862" t="inlineStr">
        <is>
          <t>S1</t>
        </is>
      </c>
      <c r="L862" t="inlineStr">
        <is>
          <t>4G</t>
        </is>
      </c>
      <c r="M862" t="inlineStr">
        <is>
          <t>1800</t>
        </is>
      </c>
      <c r="N862" t="inlineStr">
        <is>
          <t>AQU4518R9v06</t>
        </is>
      </c>
      <c r="O862" t="n">
        <v>60</v>
      </c>
      <c r="P862" t="n">
        <v>0</v>
      </c>
      <c r="Q862" t="n">
        <v>0</v>
      </c>
      <c r="Y862" t="inlineStr">
        <is>
          <t>4T4R</t>
        </is>
      </c>
      <c r="AB862" t="inlineStr">
        <is>
          <t>R9264H M901821</t>
        </is>
      </c>
      <c r="AC862" t="inlineStr">
        <is>
          <t>A9652 S35*3+R9264H M901821*3+R9254E S8500*2+R9264 M1821N*2</t>
        </is>
      </c>
    </row>
    <row r="863" hidden="1" ht="15" customHeight="1" s="99">
      <c r="A863" t="inlineStr">
        <is>
          <t>GMPIT1</t>
        </is>
      </c>
      <c r="B863" t="inlineStr"/>
      <c r="F863">
        <f>_xlfn.XLOOKUP(A863,'[1]4G Parameters'!$E:$E,'[1]4G Parameters'!$J:$J)</f>
        <v/>
      </c>
      <c r="G863">
        <f>_xlfn.XLOOKUP(A863,'[1]4G Parameters'!$E:$E,'[1]4G Parameters'!$I:$I)</f>
        <v/>
      </c>
      <c r="H863" t="inlineStr">
        <is>
          <t>GMPIT1B</t>
        </is>
      </c>
      <c r="K863" t="inlineStr">
        <is>
          <t>S2</t>
        </is>
      </c>
      <c r="L863" t="inlineStr">
        <is>
          <t>2G</t>
        </is>
      </c>
      <c r="M863" t="inlineStr">
        <is>
          <t>900</t>
        </is>
      </c>
      <c r="N863" t="inlineStr"/>
      <c r="O863" t="n">
        <v>55</v>
      </c>
      <c r="P863" t="n">
        <v>80</v>
      </c>
      <c r="Q863" t="n">
        <v>2</v>
      </c>
      <c r="Y863" t="inlineStr"/>
      <c r="AB863" t="inlineStr">
        <is>
          <t>R9264H M901821</t>
        </is>
      </c>
      <c r="AC863" t="inlineStr">
        <is>
          <t>A9652 S35*3+R9264H M901821*3+R9254E S8500*2+R9264 M1821N*2</t>
        </is>
      </c>
    </row>
    <row r="864" hidden="1" ht="15" customHeight="1" s="99">
      <c r="A864" t="inlineStr">
        <is>
          <t>GMPIT1</t>
        </is>
      </c>
      <c r="B864" t="inlineStr"/>
      <c r="F864">
        <f>_xlfn.XLOOKUP(A864,'[1]4G Parameters'!$E:$E,'[1]4G Parameters'!$J:$J)</f>
        <v/>
      </c>
      <c r="G864">
        <f>_xlfn.XLOOKUP(A864,'[1]4G Parameters'!$E:$E,'[1]4G Parameters'!$I:$I)</f>
        <v/>
      </c>
      <c r="H864" t="inlineStr">
        <is>
          <t>GMPIT1Q</t>
        </is>
      </c>
      <c r="K864" t="inlineStr">
        <is>
          <t>S2</t>
        </is>
      </c>
      <c r="L864" t="inlineStr">
        <is>
          <t>2G</t>
        </is>
      </c>
      <c r="M864" t="inlineStr">
        <is>
          <t>1800</t>
        </is>
      </c>
      <c r="N864" t="inlineStr"/>
      <c r="O864" t="n">
        <v>55</v>
      </c>
      <c r="P864" t="n">
        <v>80</v>
      </c>
      <c r="Q864" t="n">
        <v>2</v>
      </c>
      <c r="Y864" t="inlineStr"/>
      <c r="AB864" t="inlineStr">
        <is>
          <t>R9264H M901821</t>
        </is>
      </c>
      <c r="AC864" t="inlineStr">
        <is>
          <t>A9652 S35*3+R9264H M901821*3+R9254E S8500*2+R9264 M1821N*2</t>
        </is>
      </c>
    </row>
    <row r="865" hidden="1" ht="15" customHeight="1" s="99"/>
    <row r="866" hidden="1" ht="15" customHeight="1" s="99">
      <c r="A866" t="inlineStr">
        <is>
          <t>GMPIT1</t>
        </is>
      </c>
      <c r="B866" t="inlineStr">
        <is>
          <t>GMPIT1_GUL00_Pitipana_Ne</t>
        </is>
      </c>
      <c r="F866" t="n">
        <v>7.19843</v>
      </c>
      <c r="G866" t="n">
        <v>79.8206</v>
      </c>
      <c r="H866" t="inlineStr">
        <is>
          <t>GMPIT1-M-L85-B1</t>
        </is>
      </c>
      <c r="K866" t="inlineStr">
        <is>
          <t>S2</t>
        </is>
      </c>
      <c r="L866" t="inlineStr">
        <is>
          <t>4G</t>
        </is>
      </c>
      <c r="M866" t="inlineStr">
        <is>
          <t>850</t>
        </is>
      </c>
      <c r="N866" t="inlineStr">
        <is>
          <t>AQU4518R9v06</t>
        </is>
      </c>
      <c r="O866" t="n">
        <v>60</v>
      </c>
      <c r="P866" t="n">
        <v>80</v>
      </c>
      <c r="Q866" t="n">
        <v>0</v>
      </c>
      <c r="Y866" t="inlineStr">
        <is>
          <t>2T2R</t>
        </is>
      </c>
      <c r="AB866" t="inlineStr">
        <is>
          <t>R9254E S8500</t>
        </is>
      </c>
      <c r="AC866" t="inlineStr">
        <is>
          <t>A9652 S35*3+R9264H M901821*3+R9254E S8500*2+R9264 M1821N*2</t>
        </is>
      </c>
    </row>
    <row r="867" hidden="1" ht="15" customHeight="1" s="99">
      <c r="A867" t="inlineStr">
        <is>
          <t>GMPIT1</t>
        </is>
      </c>
      <c r="B867" t="inlineStr">
        <is>
          <t>GMPIT1_GUL00_Pitipana_Ne</t>
        </is>
      </c>
      <c r="F867" t="n">
        <v>7.19843</v>
      </c>
      <c r="G867" t="n">
        <v>79.8206</v>
      </c>
      <c r="H867" t="inlineStr">
        <is>
          <t>GMPIT1-M-L21-B2</t>
        </is>
      </c>
      <c r="K867" t="inlineStr">
        <is>
          <t>S2</t>
        </is>
      </c>
      <c r="L867" t="inlineStr">
        <is>
          <t>4G</t>
        </is>
      </c>
      <c r="M867" t="inlineStr">
        <is>
          <t>2100</t>
        </is>
      </c>
      <c r="N867" t="inlineStr">
        <is>
          <t>AQU4518R9v06</t>
        </is>
      </c>
      <c r="O867" t="n">
        <v>60</v>
      </c>
      <c r="P867" t="n">
        <v>80</v>
      </c>
      <c r="Q867" t="n">
        <v>0</v>
      </c>
      <c r="Y867" t="inlineStr">
        <is>
          <t>2T2R</t>
        </is>
      </c>
      <c r="AB867" t="inlineStr">
        <is>
          <t>R9264H M901821</t>
        </is>
      </c>
      <c r="AC867" t="inlineStr">
        <is>
          <t>A9652 S35*3+R9264H M901821*3+R9254E S8500*2+R9264 M1821N*2</t>
        </is>
      </c>
    </row>
    <row r="868" hidden="1" ht="15" customHeight="1" s="99"/>
    <row r="869" hidden="1" ht="15" customHeight="1" s="99">
      <c r="A869" t="inlineStr">
        <is>
          <t>GMPIT1</t>
        </is>
      </c>
      <c r="B869" t="inlineStr">
        <is>
          <t>GMPIT1_GUL00_Pitipana_Ne</t>
        </is>
      </c>
      <c r="F869" t="n">
        <v>7.19843</v>
      </c>
      <c r="G869" t="n">
        <v>79.8206</v>
      </c>
      <c r="H869" t="inlineStr">
        <is>
          <t>GMPIT1-M-L18-H1</t>
        </is>
      </c>
      <c r="K869" t="inlineStr">
        <is>
          <t>S2</t>
        </is>
      </c>
      <c r="L869" t="inlineStr">
        <is>
          <t>4G</t>
        </is>
      </c>
      <c r="M869" t="inlineStr">
        <is>
          <t>1800</t>
        </is>
      </c>
      <c r="N869" t="inlineStr">
        <is>
          <t>AMB4519R6v06</t>
        </is>
      </c>
      <c r="O869" t="n">
        <v>60</v>
      </c>
      <c r="P869" t="n">
        <v>80</v>
      </c>
      <c r="Q869" t="n">
        <v>0</v>
      </c>
      <c r="Y869" t="inlineStr">
        <is>
          <t>2T2R</t>
        </is>
      </c>
      <c r="AB869" t="inlineStr">
        <is>
          <t>R9264H M901821</t>
        </is>
      </c>
      <c r="AC869" t="inlineStr">
        <is>
          <t>A9652 S35*3+R9264H M901821*3+R9254E S8500*2+R9264 M1821N*2</t>
        </is>
      </c>
    </row>
    <row r="870" hidden="1" ht="15" customHeight="1" s="99">
      <c r="A870" t="inlineStr">
        <is>
          <t>GMPIT1</t>
        </is>
      </c>
      <c r="B870" t="inlineStr">
        <is>
          <t>GMPIT1_GUL00_Pitipana_Ne</t>
        </is>
      </c>
      <c r="F870" t="n">
        <v>7.19843</v>
      </c>
      <c r="G870" t="n">
        <v>79.8206</v>
      </c>
      <c r="H870" t="inlineStr">
        <is>
          <t>GMPIT1H</t>
        </is>
      </c>
      <c r="K870" t="inlineStr">
        <is>
          <t>S2</t>
        </is>
      </c>
      <c r="L870" t="inlineStr">
        <is>
          <t>4G</t>
        </is>
      </c>
      <c r="M870" t="inlineStr">
        <is>
          <t>1800</t>
        </is>
      </c>
      <c r="N870" t="inlineStr">
        <is>
          <t>AMB4519R6v06</t>
        </is>
      </c>
      <c r="O870" t="n">
        <v>60</v>
      </c>
      <c r="P870" t="n">
        <v>80</v>
      </c>
      <c r="Q870" t="n">
        <v>0</v>
      </c>
      <c r="Y870" t="inlineStr">
        <is>
          <t>2T2R</t>
        </is>
      </c>
      <c r="AB870" t="inlineStr">
        <is>
          <t>R9264 M1821N</t>
        </is>
      </c>
      <c r="AC870" t="inlineStr">
        <is>
          <t>A9652 S35*3+R9264H M901821*3+R9254E S8500*2+R9264 M1821N*2</t>
        </is>
      </c>
    </row>
    <row r="871" hidden="1" ht="15" customHeight="1" s="99">
      <c r="A871" t="inlineStr">
        <is>
          <t>GMPIT1</t>
        </is>
      </c>
      <c r="B871" t="inlineStr"/>
      <c r="F871">
        <f>_xlfn.XLOOKUP(A871,'[1]4G Parameters'!$E:$E,'[1]4G Parameters'!$J:$J)</f>
        <v/>
      </c>
      <c r="G871">
        <f>_xlfn.XLOOKUP(A871,'[1]4G Parameters'!$E:$E,'[1]4G Parameters'!$I:$I)</f>
        <v/>
      </c>
      <c r="H871" t="inlineStr">
        <is>
          <t>GMPIT1C</t>
        </is>
      </c>
      <c r="K871" t="inlineStr">
        <is>
          <t>S3</t>
        </is>
      </c>
      <c r="L871" t="inlineStr">
        <is>
          <t>2G</t>
        </is>
      </c>
      <c r="M871" t="inlineStr">
        <is>
          <t>900</t>
        </is>
      </c>
      <c r="N871" t="inlineStr"/>
      <c r="O871" t="n">
        <v>55</v>
      </c>
      <c r="P871" t="n">
        <v>170</v>
      </c>
      <c r="Q871" t="n">
        <v>2</v>
      </c>
      <c r="Y871" t="inlineStr"/>
      <c r="AB871" t="inlineStr">
        <is>
          <t>R9264H M901821</t>
        </is>
      </c>
      <c r="AC871" t="inlineStr">
        <is>
          <t>A9652 S35*3+R9264H M901821*3+R9254E S8500*2+R9264 M1821N*2</t>
        </is>
      </c>
    </row>
    <row r="872" hidden="1" ht="15" customHeight="1" s="99">
      <c r="A872" t="inlineStr">
        <is>
          <t>GMPIT1</t>
        </is>
      </c>
      <c r="B872" t="inlineStr"/>
      <c r="F872">
        <f>_xlfn.XLOOKUP(A872,'[1]4G Parameters'!$E:$E,'[1]4G Parameters'!$J:$J)</f>
        <v/>
      </c>
      <c r="G872">
        <f>_xlfn.XLOOKUP(A872,'[1]4G Parameters'!$E:$E,'[1]4G Parameters'!$I:$I)</f>
        <v/>
      </c>
      <c r="H872" t="inlineStr">
        <is>
          <t>GMPIT1R</t>
        </is>
      </c>
      <c r="K872" t="inlineStr">
        <is>
          <t>S3</t>
        </is>
      </c>
      <c r="L872" t="inlineStr">
        <is>
          <t>2G</t>
        </is>
      </c>
      <c r="M872" t="inlineStr">
        <is>
          <t>1800</t>
        </is>
      </c>
      <c r="N872" t="inlineStr"/>
      <c r="O872" t="n">
        <v>55</v>
      </c>
      <c r="P872" t="n">
        <v>170</v>
      </c>
      <c r="Q872" t="n">
        <v>2</v>
      </c>
      <c r="Y872" t="inlineStr"/>
      <c r="AB872" t="inlineStr">
        <is>
          <t>R9264H M901821</t>
        </is>
      </c>
      <c r="AC872" t="inlineStr">
        <is>
          <t>A9652 S35*3+R9264H M901821*3+R9254E S8500*2+R9264 M1821N*2</t>
        </is>
      </c>
    </row>
    <row r="873" hidden="1" ht="15" customHeight="1" s="99"/>
    <row r="874" hidden="1" ht="15" customHeight="1" s="99">
      <c r="A874" t="inlineStr">
        <is>
          <t>GMPIT1</t>
        </is>
      </c>
      <c r="B874" t="inlineStr">
        <is>
          <t>GMPIT1_GUL00_Pitipana_Ne</t>
        </is>
      </c>
      <c r="F874" t="n">
        <v>7.19843</v>
      </c>
      <c r="G874" t="n">
        <v>79.8206</v>
      </c>
      <c r="H874" t="inlineStr">
        <is>
          <t>GMPIT1-M-L85-C1</t>
        </is>
      </c>
      <c r="K874" t="inlineStr">
        <is>
          <t>S3</t>
        </is>
      </c>
      <c r="L874" t="inlineStr">
        <is>
          <t>4G</t>
        </is>
      </c>
      <c r="M874" t="inlineStr">
        <is>
          <t>850</t>
        </is>
      </c>
      <c r="N874" t="inlineStr">
        <is>
          <t>AQU4518R9v06</t>
        </is>
      </c>
      <c r="O874" t="n">
        <v>60</v>
      </c>
      <c r="P874" t="n">
        <v>170</v>
      </c>
      <c r="Q874" t="n">
        <v>0</v>
      </c>
      <c r="Y874" t="inlineStr">
        <is>
          <t>2T2R</t>
        </is>
      </c>
      <c r="AB874" t="inlineStr">
        <is>
          <t>R9254E S8500</t>
        </is>
      </c>
      <c r="AC874" t="inlineStr">
        <is>
          <t>A9652 S35*3+R9264H M901821*3+R9254E S8500*2+R9264 M1821N*2</t>
        </is>
      </c>
    </row>
    <row r="875" hidden="1" ht="15" customHeight="1" s="99">
      <c r="A875" t="inlineStr">
        <is>
          <t>GMPIT1</t>
        </is>
      </c>
      <c r="B875" t="inlineStr">
        <is>
          <t>GMPIT1_GUL00_Pitipana_Ne</t>
        </is>
      </c>
      <c r="F875" t="n">
        <v>7.19843</v>
      </c>
      <c r="G875" t="n">
        <v>79.8206</v>
      </c>
      <c r="H875" t="inlineStr">
        <is>
          <t>GMPIT1-M-L21-C2</t>
        </is>
      </c>
      <c r="K875" t="inlineStr">
        <is>
          <t>S3</t>
        </is>
      </c>
      <c r="L875" t="inlineStr">
        <is>
          <t>4G</t>
        </is>
      </c>
      <c r="M875" t="inlineStr">
        <is>
          <t>2100</t>
        </is>
      </c>
      <c r="N875" t="inlineStr">
        <is>
          <t>AQU4518R9v06</t>
        </is>
      </c>
      <c r="O875" t="n">
        <v>60</v>
      </c>
      <c r="P875" t="n">
        <v>170</v>
      </c>
      <c r="Q875" t="n">
        <v>0</v>
      </c>
      <c r="Y875" t="inlineStr">
        <is>
          <t>4T4R</t>
        </is>
      </c>
      <c r="AB875" t="inlineStr">
        <is>
          <t>R9264H M901821</t>
        </is>
      </c>
      <c r="AC875" t="inlineStr">
        <is>
          <t>A9652 S35*3+R9264H M901821*3+R9254E S8500*2+R9264 M1821N*2</t>
        </is>
      </c>
    </row>
    <row r="876" hidden="1" ht="15" customHeight="1" s="99">
      <c r="A876" t="inlineStr">
        <is>
          <t>GMPIT1</t>
        </is>
      </c>
      <c r="B876" t="inlineStr">
        <is>
          <t>GMPIT1_GUL00_Pitipana_Ne</t>
        </is>
      </c>
      <c r="F876" t="n">
        <v>7.19843</v>
      </c>
      <c r="G876" t="n">
        <v>79.8206</v>
      </c>
      <c r="H876" t="inlineStr">
        <is>
          <t>GMPIT1-M-L21-C1</t>
        </is>
      </c>
      <c r="K876" t="inlineStr">
        <is>
          <t>S3</t>
        </is>
      </c>
      <c r="L876" t="inlineStr">
        <is>
          <t>4G</t>
        </is>
      </c>
      <c r="M876" t="inlineStr">
        <is>
          <t>2100</t>
        </is>
      </c>
      <c r="N876" t="inlineStr">
        <is>
          <t>AQU4518R9v06</t>
        </is>
      </c>
      <c r="O876" t="n">
        <v>60</v>
      </c>
      <c r="P876" t="n">
        <v>170</v>
      </c>
      <c r="Q876" t="n">
        <v>0</v>
      </c>
      <c r="Y876" t="inlineStr">
        <is>
          <t>4T4R</t>
        </is>
      </c>
      <c r="AB876" t="inlineStr">
        <is>
          <t>R9264 M1821N</t>
        </is>
      </c>
      <c r="AC876" t="inlineStr">
        <is>
          <t>A9652 S35*3+R9264H M901821*3+R9254E S8500*2+R9264 M1821N*2</t>
        </is>
      </c>
    </row>
    <row r="877" hidden="1" ht="15" customHeight="1" s="99">
      <c r="A877" t="inlineStr">
        <is>
          <t>GMPIT1</t>
        </is>
      </c>
      <c r="B877" t="inlineStr">
        <is>
          <t>GMPIT1_GUL00_Pitipana_Ne</t>
        </is>
      </c>
      <c r="F877" t="n">
        <v>7.19843</v>
      </c>
      <c r="G877" t="n">
        <v>79.8206</v>
      </c>
      <c r="H877" t="inlineStr">
        <is>
          <t>GMPIT1-M-L18-C1</t>
        </is>
      </c>
      <c r="K877" t="inlineStr">
        <is>
          <t>S3</t>
        </is>
      </c>
      <c r="L877" t="inlineStr">
        <is>
          <t>4G</t>
        </is>
      </c>
      <c r="M877" t="inlineStr">
        <is>
          <t>1800</t>
        </is>
      </c>
      <c r="N877" t="inlineStr">
        <is>
          <t>AMB4519R6v06</t>
        </is>
      </c>
      <c r="O877" t="n">
        <v>60</v>
      </c>
      <c r="P877" t="n">
        <v>170</v>
      </c>
      <c r="Q877" t="n">
        <v>0</v>
      </c>
      <c r="Y877" t="inlineStr">
        <is>
          <t>4T4R</t>
        </is>
      </c>
      <c r="AB877" t="inlineStr">
        <is>
          <t>R9264H M901821</t>
        </is>
      </c>
      <c r="AC877" t="inlineStr">
        <is>
          <t>A9652 S35*3+R9264H M901821*3+R9254E S8500*2+R9264 M1821N*2</t>
        </is>
      </c>
    </row>
    <row r="878" hidden="1" ht="15" customHeight="1" s="99">
      <c r="A878" t="inlineStr">
        <is>
          <t>GMPIT1</t>
        </is>
      </c>
      <c r="B878" t="inlineStr">
        <is>
          <t>GMPIT1_GUL00_Pitipana_Ne</t>
        </is>
      </c>
      <c r="F878" t="n">
        <v>7.19843</v>
      </c>
      <c r="G878" t="n">
        <v>79.8206</v>
      </c>
      <c r="H878" t="inlineStr">
        <is>
          <t>GMPIT1I</t>
        </is>
      </c>
      <c r="K878" t="inlineStr">
        <is>
          <t>S3</t>
        </is>
      </c>
      <c r="L878" t="inlineStr">
        <is>
          <t>4G</t>
        </is>
      </c>
      <c r="M878" t="inlineStr">
        <is>
          <t>1800</t>
        </is>
      </c>
      <c r="N878" t="inlineStr">
        <is>
          <t>AMB4519R6v06</t>
        </is>
      </c>
      <c r="O878" t="n">
        <v>60</v>
      </c>
      <c r="P878" t="n">
        <v>170</v>
      </c>
      <c r="Q878" t="n">
        <v>0</v>
      </c>
      <c r="Y878" t="inlineStr">
        <is>
          <t>4T4R</t>
        </is>
      </c>
      <c r="AB878" t="inlineStr">
        <is>
          <t>R9264 M1821N</t>
        </is>
      </c>
      <c r="AC878" t="inlineStr">
        <is>
          <t>A9652 S35*3+R9264H M901821*3+R9254E S8500*2+R9264 M1821N*2</t>
        </is>
      </c>
    </row>
    <row r="879" hidden="1" ht="15" customHeight="1" s="99">
      <c r="A879" t="inlineStr">
        <is>
          <t>GMWEB1</t>
        </is>
      </c>
      <c r="B879" t="inlineStr"/>
      <c r="F879">
        <f>_xlfn.XLOOKUP(A879,'[1]4G Parameters'!$E:$E,'[1]4G Parameters'!$J:$J)</f>
        <v/>
      </c>
      <c r="G879">
        <f>_xlfn.XLOOKUP(A879,'[1]4G Parameters'!$E:$E,'[1]4G Parameters'!$I:$I)</f>
        <v/>
      </c>
      <c r="H879" t="inlineStr">
        <is>
          <t>GMWEB1A</t>
        </is>
      </c>
      <c r="K879" t="inlineStr">
        <is>
          <t>S1</t>
        </is>
      </c>
      <c r="L879" t="inlineStr">
        <is>
          <t>2G</t>
        </is>
      </c>
      <c r="M879" t="inlineStr">
        <is>
          <t>900</t>
        </is>
      </c>
      <c r="N879" t="inlineStr"/>
      <c r="O879" t="n">
        <v>60</v>
      </c>
      <c r="P879" t="n">
        <v>0</v>
      </c>
      <c r="Q879" t="n">
        <v>2</v>
      </c>
      <c r="Y879" t="inlineStr"/>
      <c r="AB879" t="inlineStr">
        <is>
          <t>R9264H M901821</t>
        </is>
      </c>
      <c r="AC879" t="inlineStr">
        <is>
          <t>A9652 S35*3+R9264H M901821*3+R9254E S8500*2</t>
        </is>
      </c>
    </row>
    <row r="880" hidden="1" ht="15" customHeight="1" s="99">
      <c r="A880" t="inlineStr">
        <is>
          <t>GMWEB1</t>
        </is>
      </c>
      <c r="B880" t="inlineStr"/>
      <c r="F880">
        <f>_xlfn.XLOOKUP(A880,'[1]4G Parameters'!$E:$E,'[1]4G Parameters'!$J:$J)</f>
        <v/>
      </c>
      <c r="G880">
        <f>_xlfn.XLOOKUP(A880,'[1]4G Parameters'!$E:$E,'[1]4G Parameters'!$I:$I)</f>
        <v/>
      </c>
      <c r="H880" t="inlineStr">
        <is>
          <t>GMWEB1P</t>
        </is>
      </c>
      <c r="K880" t="inlineStr">
        <is>
          <t>S1</t>
        </is>
      </c>
      <c r="L880" t="inlineStr">
        <is>
          <t>2G</t>
        </is>
      </c>
      <c r="M880" t="inlineStr">
        <is>
          <t>1800</t>
        </is>
      </c>
      <c r="N880" t="inlineStr"/>
      <c r="O880" t="n">
        <v>60</v>
      </c>
      <c r="P880" t="n">
        <v>0</v>
      </c>
      <c r="Q880" t="n">
        <v>2</v>
      </c>
      <c r="Y880" t="inlineStr"/>
      <c r="AB880" t="inlineStr">
        <is>
          <t>R9264H M901821</t>
        </is>
      </c>
      <c r="AC880" t="inlineStr">
        <is>
          <t>A9652 S35*3+R9264H M901821*3+R9254E S8500*2</t>
        </is>
      </c>
    </row>
    <row r="881" hidden="1" ht="15" customHeight="1" s="99">
      <c r="A881" t="inlineStr">
        <is>
          <t>GMWEB1</t>
        </is>
      </c>
      <c r="B881" t="inlineStr">
        <is>
          <t>GMWEB1_G0L00_Weboda North_TXD_Kd</t>
        </is>
      </c>
      <c r="F881" t="n">
        <v>7.0161</v>
      </c>
      <c r="G881" t="n">
        <v>79.9954</v>
      </c>
      <c r="H881" t="inlineStr">
        <is>
          <t>GMWEB1-M-L85-A1</t>
        </is>
      </c>
      <c r="K881" t="inlineStr">
        <is>
          <t>S1</t>
        </is>
      </c>
      <c r="L881" t="inlineStr">
        <is>
          <t>4G</t>
        </is>
      </c>
      <c r="M881" t="inlineStr">
        <is>
          <t>850</t>
        </is>
      </c>
      <c r="N881" t="inlineStr"/>
      <c r="O881" t="n">
        <v>60</v>
      </c>
      <c r="P881" t="n">
        <v>0</v>
      </c>
      <c r="Q881" t="n">
        <v>0</v>
      </c>
      <c r="Y881" t="inlineStr">
        <is>
          <t>2T2R</t>
        </is>
      </c>
      <c r="AB881" t="inlineStr">
        <is>
          <t>R9254E S8500</t>
        </is>
      </c>
      <c r="AC881" t="inlineStr">
        <is>
          <t>A9652 S35*3+R9264H M901821*3+R9254E S8500*2</t>
        </is>
      </c>
    </row>
    <row r="882" hidden="1" ht="15" customHeight="1" s="99">
      <c r="A882" t="inlineStr">
        <is>
          <t>GMWEB1</t>
        </is>
      </c>
      <c r="B882" t="inlineStr">
        <is>
          <t>GMWEB1_G0L00_Weboda North_TXD_Kd</t>
        </is>
      </c>
      <c r="F882" t="n">
        <v>7.0161</v>
      </c>
      <c r="G882" t="n">
        <v>79.9954</v>
      </c>
      <c r="H882" t="inlineStr">
        <is>
          <t>GMWEB1G</t>
        </is>
      </c>
      <c r="K882" t="inlineStr">
        <is>
          <t>S1</t>
        </is>
      </c>
      <c r="L882" t="inlineStr">
        <is>
          <t>4G</t>
        </is>
      </c>
      <c r="M882" t="inlineStr">
        <is>
          <t>1800</t>
        </is>
      </c>
      <c r="N882" t="inlineStr"/>
      <c r="O882" t="n">
        <v>60</v>
      </c>
      <c r="P882" t="n">
        <v>0</v>
      </c>
      <c r="Q882" t="n">
        <v>0</v>
      </c>
      <c r="Y882" t="inlineStr">
        <is>
          <t>2T2R</t>
        </is>
      </c>
      <c r="AB882" t="inlineStr">
        <is>
          <t>R9264H M901821</t>
        </is>
      </c>
      <c r="AC882" t="inlineStr">
        <is>
          <t>A9652 S35*3+R9264H M901821*3+R9254E S8500*2</t>
        </is>
      </c>
    </row>
    <row r="883" hidden="1" ht="15" customHeight="1" s="99">
      <c r="A883" t="inlineStr">
        <is>
          <t>GMWEB1</t>
        </is>
      </c>
      <c r="B883" t="inlineStr"/>
      <c r="F883">
        <f>_xlfn.XLOOKUP(A883,'[1]4G Parameters'!$E:$E,'[1]4G Parameters'!$J:$J)</f>
        <v/>
      </c>
      <c r="G883">
        <f>_xlfn.XLOOKUP(A883,'[1]4G Parameters'!$E:$E,'[1]4G Parameters'!$I:$I)</f>
        <v/>
      </c>
      <c r="H883" t="inlineStr">
        <is>
          <t>GMWEB1B</t>
        </is>
      </c>
      <c r="K883" t="inlineStr">
        <is>
          <t>S2</t>
        </is>
      </c>
      <c r="L883" t="inlineStr">
        <is>
          <t>2G</t>
        </is>
      </c>
      <c r="M883" t="inlineStr">
        <is>
          <t>900</t>
        </is>
      </c>
      <c r="N883" t="inlineStr"/>
      <c r="O883" t="n">
        <v>60</v>
      </c>
      <c r="P883" t="n">
        <v>120</v>
      </c>
      <c r="Q883" t="n">
        <v>2</v>
      </c>
      <c r="Y883" t="inlineStr"/>
      <c r="AB883" t="inlineStr">
        <is>
          <t>R9264H M901821</t>
        </is>
      </c>
      <c r="AC883" t="inlineStr">
        <is>
          <t>A9652 S35*3+R9264H M901821*3+R9254E S8500*2</t>
        </is>
      </c>
    </row>
    <row r="884" hidden="1" ht="15" customHeight="1" s="99">
      <c r="A884" t="inlineStr">
        <is>
          <t>GMWEB1</t>
        </is>
      </c>
      <c r="B884" t="inlineStr"/>
      <c r="F884">
        <f>_xlfn.XLOOKUP(A884,'[1]4G Parameters'!$E:$E,'[1]4G Parameters'!$J:$J)</f>
        <v/>
      </c>
      <c r="G884">
        <f>_xlfn.XLOOKUP(A884,'[1]4G Parameters'!$E:$E,'[1]4G Parameters'!$I:$I)</f>
        <v/>
      </c>
      <c r="H884" t="inlineStr">
        <is>
          <t>GMWEB1Q</t>
        </is>
      </c>
      <c r="K884" t="inlineStr">
        <is>
          <t>S2</t>
        </is>
      </c>
      <c r="L884" t="inlineStr">
        <is>
          <t>2G</t>
        </is>
      </c>
      <c r="M884" t="inlineStr">
        <is>
          <t>1800</t>
        </is>
      </c>
      <c r="N884" t="inlineStr"/>
      <c r="O884" t="n">
        <v>60</v>
      </c>
      <c r="P884" t="n">
        <v>120</v>
      </c>
      <c r="Q884" t="n">
        <v>2</v>
      </c>
      <c r="Y884" t="inlineStr"/>
      <c r="AB884" t="inlineStr">
        <is>
          <t>R9264H M901821</t>
        </is>
      </c>
      <c r="AC884" t="inlineStr">
        <is>
          <t>A9652 S35*3+R9264H M901821*3+R9254E S8500*2</t>
        </is>
      </c>
    </row>
    <row r="885" hidden="1" ht="15" customHeight="1" s="99">
      <c r="A885" t="inlineStr">
        <is>
          <t>GMWEB1</t>
        </is>
      </c>
      <c r="B885" t="inlineStr">
        <is>
          <t>GMWEB1_G0L00_Weboda North_TXD_Kd</t>
        </is>
      </c>
      <c r="F885" t="n">
        <v>7.0161</v>
      </c>
      <c r="G885" t="n">
        <v>79.9954</v>
      </c>
      <c r="H885" t="inlineStr">
        <is>
          <t>GMWEB1-M-L85-B1</t>
        </is>
      </c>
      <c r="K885" t="inlineStr">
        <is>
          <t>S2</t>
        </is>
      </c>
      <c r="L885" t="inlineStr">
        <is>
          <t>4G</t>
        </is>
      </c>
      <c r="M885" t="inlineStr">
        <is>
          <t>850</t>
        </is>
      </c>
      <c r="N885" t="inlineStr"/>
      <c r="O885" t="n">
        <v>60</v>
      </c>
      <c r="P885" t="n">
        <v>120</v>
      </c>
      <c r="Q885" t="n">
        <v>0</v>
      </c>
      <c r="Y885" t="inlineStr">
        <is>
          <t>2T2R</t>
        </is>
      </c>
      <c r="AB885" t="inlineStr">
        <is>
          <t>R9254E S8500</t>
        </is>
      </c>
      <c r="AC885" t="inlineStr">
        <is>
          <t>A9652 S35*3+R9264H M901821*3+R9254E S8500*2</t>
        </is>
      </c>
    </row>
    <row r="886" hidden="1" ht="15" customHeight="1" s="99">
      <c r="A886" t="inlineStr">
        <is>
          <t>GMWEB1</t>
        </is>
      </c>
      <c r="B886" t="inlineStr">
        <is>
          <t>GMWEB1_G0L00_Weboda North_TXD_Kd</t>
        </is>
      </c>
      <c r="F886" t="n">
        <v>7.0161</v>
      </c>
      <c r="G886" t="n">
        <v>79.9954</v>
      </c>
      <c r="H886" t="inlineStr">
        <is>
          <t>GMWEB1H</t>
        </is>
      </c>
      <c r="K886" t="inlineStr">
        <is>
          <t>S2</t>
        </is>
      </c>
      <c r="L886" t="inlineStr">
        <is>
          <t>4G</t>
        </is>
      </c>
      <c r="M886" t="inlineStr">
        <is>
          <t>1800</t>
        </is>
      </c>
      <c r="N886" t="inlineStr"/>
      <c r="O886" t="n">
        <v>60</v>
      </c>
      <c r="P886" t="n">
        <v>120</v>
      </c>
      <c r="Q886" t="n">
        <v>0</v>
      </c>
      <c r="Y886" t="inlineStr">
        <is>
          <t>2T2R</t>
        </is>
      </c>
      <c r="AB886" t="inlineStr">
        <is>
          <t>R9264H M901821</t>
        </is>
      </c>
      <c r="AC886" t="inlineStr">
        <is>
          <t>A9652 S35*3+R9264H M901821*3+R9254E S8500*2</t>
        </is>
      </c>
    </row>
    <row r="887" hidden="1" ht="15" customHeight="1" s="99">
      <c r="A887" t="inlineStr">
        <is>
          <t>GMWEB1</t>
        </is>
      </c>
      <c r="B887" t="inlineStr"/>
      <c r="F887">
        <f>_xlfn.XLOOKUP(A887,'[1]4G Parameters'!$E:$E,'[1]4G Parameters'!$J:$J)</f>
        <v/>
      </c>
      <c r="G887">
        <f>_xlfn.XLOOKUP(A887,'[1]4G Parameters'!$E:$E,'[1]4G Parameters'!$I:$I)</f>
        <v/>
      </c>
      <c r="H887" t="inlineStr">
        <is>
          <t>GMWEB1C</t>
        </is>
      </c>
      <c r="K887" t="inlineStr">
        <is>
          <t>S3</t>
        </is>
      </c>
      <c r="L887" t="inlineStr">
        <is>
          <t>2G</t>
        </is>
      </c>
      <c r="M887" t="inlineStr">
        <is>
          <t>900</t>
        </is>
      </c>
      <c r="N887" t="inlineStr"/>
      <c r="O887" t="n">
        <v>60</v>
      </c>
      <c r="P887" t="n">
        <v>240</v>
      </c>
      <c r="Q887" t="n">
        <v>2</v>
      </c>
      <c r="Y887" t="inlineStr"/>
      <c r="AB887" t="inlineStr">
        <is>
          <t>R9264H M901821</t>
        </is>
      </c>
      <c r="AC887" t="inlineStr">
        <is>
          <t>A9652 S35*3+R9264H M901821*3+R9254E S8500*2</t>
        </is>
      </c>
    </row>
    <row r="888" hidden="1" ht="15" customHeight="1" s="99">
      <c r="A888" t="inlineStr">
        <is>
          <t>GMWEB1</t>
        </is>
      </c>
      <c r="B888" t="inlineStr"/>
      <c r="F888">
        <f>_xlfn.XLOOKUP(A888,'[1]4G Parameters'!$E:$E,'[1]4G Parameters'!$J:$J)</f>
        <v/>
      </c>
      <c r="G888">
        <f>_xlfn.XLOOKUP(A888,'[1]4G Parameters'!$E:$E,'[1]4G Parameters'!$I:$I)</f>
        <v/>
      </c>
      <c r="H888" t="inlineStr">
        <is>
          <t>GMWEB1R</t>
        </is>
      </c>
      <c r="K888" t="inlineStr">
        <is>
          <t>S3</t>
        </is>
      </c>
      <c r="L888" t="inlineStr">
        <is>
          <t>2G</t>
        </is>
      </c>
      <c r="M888" t="inlineStr">
        <is>
          <t>1800</t>
        </is>
      </c>
      <c r="N888" t="inlineStr"/>
      <c r="O888" t="n">
        <v>60</v>
      </c>
      <c r="P888" t="n">
        <v>240</v>
      </c>
      <c r="Q888" t="n">
        <v>2</v>
      </c>
      <c r="Y888" t="inlineStr"/>
      <c r="AB888" t="inlineStr">
        <is>
          <t>R9264H M901821</t>
        </is>
      </c>
      <c r="AC888" t="inlineStr">
        <is>
          <t>A9652 S35*3+R9264H M901821*3+R9254E S8500*2</t>
        </is>
      </c>
    </row>
    <row r="889" hidden="1" ht="15" customHeight="1" s="99">
      <c r="A889" t="inlineStr">
        <is>
          <t>GMWEB1</t>
        </is>
      </c>
      <c r="B889" t="inlineStr">
        <is>
          <t>GMWEB1_G0L00_Weboda North_TXD_Kd</t>
        </is>
      </c>
      <c r="F889" t="n">
        <v>7.0161</v>
      </c>
      <c r="G889" t="n">
        <v>79.9954</v>
      </c>
      <c r="H889" t="inlineStr">
        <is>
          <t>GMWEB1-M-L85-C1</t>
        </is>
      </c>
      <c r="K889" t="inlineStr">
        <is>
          <t>S3</t>
        </is>
      </c>
      <c r="L889" t="inlineStr">
        <is>
          <t>4G</t>
        </is>
      </c>
      <c r="M889" t="inlineStr">
        <is>
          <t>850</t>
        </is>
      </c>
      <c r="N889" t="inlineStr"/>
      <c r="O889" t="n">
        <v>60</v>
      </c>
      <c r="P889" t="n">
        <v>240</v>
      </c>
      <c r="Q889" t="n">
        <v>0</v>
      </c>
      <c r="Y889" t="inlineStr">
        <is>
          <t>2T2R</t>
        </is>
      </c>
      <c r="AB889" t="inlineStr">
        <is>
          <t>R9254E S8500</t>
        </is>
      </c>
      <c r="AC889" t="inlineStr">
        <is>
          <t>A9652 S35*3+R9264H M901821*3+R9254E S8500*2</t>
        </is>
      </c>
    </row>
    <row r="890" hidden="1" ht="15" customHeight="1" s="99">
      <c r="A890" t="inlineStr">
        <is>
          <t>GMWEB1</t>
        </is>
      </c>
      <c r="B890" t="inlineStr">
        <is>
          <t>GMWEB1_G0L00_Weboda North_TXD_Kd</t>
        </is>
      </c>
      <c r="F890" t="n">
        <v>7.0161</v>
      </c>
      <c r="G890" t="n">
        <v>79.9954</v>
      </c>
      <c r="H890" t="inlineStr">
        <is>
          <t>GMWEB1I</t>
        </is>
      </c>
      <c r="K890" t="inlineStr">
        <is>
          <t>S3</t>
        </is>
      </c>
      <c r="L890" t="inlineStr">
        <is>
          <t>4G</t>
        </is>
      </c>
      <c r="M890" t="inlineStr">
        <is>
          <t>1800</t>
        </is>
      </c>
      <c r="N890" t="inlineStr"/>
      <c r="O890" t="n">
        <v>60</v>
      </c>
      <c r="P890" t="n">
        <v>240</v>
      </c>
      <c r="Q890" t="n">
        <v>0</v>
      </c>
      <c r="Y890" t="inlineStr">
        <is>
          <t>4T4R</t>
        </is>
      </c>
      <c r="AB890" t="inlineStr">
        <is>
          <t>R9264H M901821</t>
        </is>
      </c>
      <c r="AC890" t="inlineStr">
        <is>
          <t>A9652 S35*3+R9264H M901821*3+R9254E S8500*2</t>
        </is>
      </c>
    </row>
    <row r="891" hidden="1" ht="15" customHeight="1" s="99">
      <c r="A891" t="inlineStr">
        <is>
          <t>IBDSO1</t>
        </is>
      </c>
      <c r="B891" t="inlineStr"/>
      <c r="F891">
        <f>_xlfn.XLOOKUP(A891,'[1]4G Parameters'!$E:$E,'[1]4G Parameters'!$J:$J)</f>
        <v/>
      </c>
      <c r="G891">
        <f>_xlfn.XLOOKUP(A891,'[1]4G Parameters'!$E:$E,'[1]4G Parameters'!$I:$I)</f>
        <v/>
      </c>
      <c r="H891" t="inlineStr">
        <is>
          <t>IBDSO1P</t>
        </is>
      </c>
      <c r="K891" t="inlineStr">
        <is>
          <t>S1</t>
        </is>
      </c>
      <c r="L891" t="inlineStr">
        <is>
          <t>2G</t>
        </is>
      </c>
      <c r="M891" t="inlineStr">
        <is>
          <t>1800</t>
        </is>
      </c>
      <c r="N891" t="inlineStr"/>
      <c r="O891" t="n">
        <v>0</v>
      </c>
      <c r="P891" t="n">
        <v>-1</v>
      </c>
      <c r="Q891" t="n">
        <v>2</v>
      </c>
      <c r="Y891" t="inlineStr"/>
      <c r="AC891" t="inlineStr">
        <is>
          <t>ZXSDR R8892N M1821E*3</t>
        </is>
      </c>
    </row>
    <row r="892" hidden="1" ht="15" customHeight="1" s="99">
      <c r="A892" t="inlineStr">
        <is>
          <t>IBDSO1</t>
        </is>
      </c>
      <c r="B892" t="inlineStr">
        <is>
          <t>IBDSO1_G0L00_DS Office Complex Gampaha_8_IP_Gm</t>
        </is>
      </c>
      <c r="F892" t="n">
        <v>7.084</v>
      </c>
      <c r="G892" t="n">
        <v>80.01090000000001</v>
      </c>
      <c r="H892" t="inlineStr">
        <is>
          <t>IBDSO1G</t>
        </is>
      </c>
      <c r="K892" t="inlineStr">
        <is>
          <t>S1</t>
        </is>
      </c>
      <c r="L892" t="inlineStr">
        <is>
          <t>4G</t>
        </is>
      </c>
      <c r="M892" t="inlineStr">
        <is>
          <t>1800</t>
        </is>
      </c>
      <c r="N892" t="inlineStr"/>
      <c r="O892" t="n">
        <v>0</v>
      </c>
      <c r="P892" t="n">
        <v>-1</v>
      </c>
      <c r="Q892" t="n">
        <v>0</v>
      </c>
      <c r="Y892" t="inlineStr">
        <is>
          <t>1T1R</t>
        </is>
      </c>
      <c r="AC892" t="inlineStr">
        <is>
          <t>ZXSDR R8892N M1821E*3</t>
        </is>
      </c>
    </row>
    <row r="893" hidden="1" ht="15" customHeight="1" s="99">
      <c r="A893" t="inlineStr">
        <is>
          <t>IBDSO1</t>
        </is>
      </c>
      <c r="B893" t="inlineStr"/>
      <c r="F893">
        <f>_xlfn.XLOOKUP(A893,'[1]4G Parameters'!$E:$E,'[1]4G Parameters'!$J:$J)</f>
        <v/>
      </c>
      <c r="G893">
        <f>_xlfn.XLOOKUP(A893,'[1]4G Parameters'!$E:$E,'[1]4G Parameters'!$I:$I)</f>
        <v/>
      </c>
      <c r="H893" t="inlineStr">
        <is>
          <t>IBDSO1Q</t>
        </is>
      </c>
      <c r="K893" t="inlineStr">
        <is>
          <t>S2</t>
        </is>
      </c>
      <c r="L893" t="inlineStr">
        <is>
          <t>2G</t>
        </is>
      </c>
      <c r="M893" t="inlineStr">
        <is>
          <t>1800</t>
        </is>
      </c>
      <c r="N893" t="inlineStr"/>
      <c r="O893" t="n">
        <v>0</v>
      </c>
      <c r="P893" t="n">
        <v>-1</v>
      </c>
      <c r="Q893" t="n">
        <v>2</v>
      </c>
      <c r="Y893" t="inlineStr"/>
      <c r="AC893" t="inlineStr">
        <is>
          <t>ZXSDR R8892N M1821E*3</t>
        </is>
      </c>
    </row>
    <row r="894" hidden="1" ht="15" customHeight="1" s="99">
      <c r="A894" t="inlineStr">
        <is>
          <t>IBDSO1</t>
        </is>
      </c>
      <c r="B894" t="inlineStr">
        <is>
          <t>IBDSO1_G0L00_DS Office Complex Gampaha_8_IP_Gm</t>
        </is>
      </c>
      <c r="F894" t="n">
        <v>7.084</v>
      </c>
      <c r="G894" t="n">
        <v>80.01090000000001</v>
      </c>
      <c r="H894" t="inlineStr">
        <is>
          <t>IBDSO1H</t>
        </is>
      </c>
      <c r="K894" t="inlineStr">
        <is>
          <t>S2</t>
        </is>
      </c>
      <c r="L894" t="inlineStr">
        <is>
          <t>4G</t>
        </is>
      </c>
      <c r="M894" t="inlineStr">
        <is>
          <t>1800</t>
        </is>
      </c>
      <c r="N894" t="inlineStr"/>
      <c r="O894" t="n">
        <v>0</v>
      </c>
      <c r="P894" t="n">
        <v>-1</v>
      </c>
      <c r="Q894" t="n">
        <v>0</v>
      </c>
      <c r="Y894" t="inlineStr">
        <is>
          <t>1T1R</t>
        </is>
      </c>
      <c r="AC894" t="inlineStr">
        <is>
          <t>ZXSDR R8892N M1821E*3</t>
        </is>
      </c>
    </row>
    <row r="895" hidden="1" ht="15" customHeight="1" s="99">
      <c r="A895" t="inlineStr">
        <is>
          <t>IBDSO1</t>
        </is>
      </c>
      <c r="B895" t="inlineStr"/>
      <c r="F895">
        <f>_xlfn.XLOOKUP(A895,'[1]4G Parameters'!$E:$E,'[1]4G Parameters'!$J:$J)</f>
        <v/>
      </c>
      <c r="G895">
        <f>_xlfn.XLOOKUP(A895,'[1]4G Parameters'!$E:$E,'[1]4G Parameters'!$I:$I)</f>
        <v/>
      </c>
      <c r="H895" t="inlineStr">
        <is>
          <t>IBDSO1R</t>
        </is>
      </c>
      <c r="K895" t="inlineStr">
        <is>
          <t>S3</t>
        </is>
      </c>
      <c r="L895" t="inlineStr">
        <is>
          <t>2G</t>
        </is>
      </c>
      <c r="M895" t="inlineStr">
        <is>
          <t>1800</t>
        </is>
      </c>
      <c r="N895" t="inlineStr"/>
      <c r="O895" t="n">
        <v>0</v>
      </c>
      <c r="P895" t="n">
        <v>-1</v>
      </c>
      <c r="Q895" t="n">
        <v>2</v>
      </c>
      <c r="Y895" t="inlineStr"/>
      <c r="AC895" t="inlineStr">
        <is>
          <t>ZXSDR R8892N M1821E*3</t>
        </is>
      </c>
    </row>
    <row r="896" hidden="1" ht="15" customHeight="1" s="99">
      <c r="A896" t="inlineStr">
        <is>
          <t>IBDSO1</t>
        </is>
      </c>
      <c r="B896" t="inlineStr">
        <is>
          <t>IBDSO1_G0L00_DS Office Complex Gampaha_8_IP_Gm</t>
        </is>
      </c>
      <c r="F896" t="n">
        <v>7.084</v>
      </c>
      <c r="G896" t="n">
        <v>80.01090000000001</v>
      </c>
      <c r="H896" t="inlineStr">
        <is>
          <t>IBDSO1I</t>
        </is>
      </c>
      <c r="K896" t="inlineStr">
        <is>
          <t>S3</t>
        </is>
      </c>
      <c r="L896" t="inlineStr">
        <is>
          <t>4G</t>
        </is>
      </c>
      <c r="M896" t="inlineStr">
        <is>
          <t>1800</t>
        </is>
      </c>
      <c r="N896" t="inlineStr"/>
      <c r="O896" t="n">
        <v>0</v>
      </c>
      <c r="P896" t="n">
        <v>-1</v>
      </c>
      <c r="Q896" t="n">
        <v>0</v>
      </c>
      <c r="Y896" t="inlineStr">
        <is>
          <t>1T1R</t>
        </is>
      </c>
      <c r="AC896" t="inlineStr">
        <is>
          <t>ZXSDR R8892N M1821E*3</t>
        </is>
      </c>
    </row>
    <row r="897" hidden="1" ht="15" customHeight="1" s="99">
      <c r="A897" t="inlineStr">
        <is>
          <t>IBGDZ1</t>
        </is>
      </c>
      <c r="B897" t="inlineStr"/>
      <c r="F897">
        <f>_xlfn.XLOOKUP(A897,'[1]4G Parameters'!$E:$E,'[1]4G Parameters'!$J:$J)</f>
        <v/>
      </c>
      <c r="G897">
        <f>_xlfn.XLOOKUP(A897,'[1]4G Parameters'!$E:$E,'[1]4G Parameters'!$I:$I)</f>
        <v/>
      </c>
      <c r="H897" t="inlineStr">
        <is>
          <t>IBGDZ1P</t>
        </is>
      </c>
      <c r="K897" t="inlineStr">
        <is>
          <t>S1</t>
        </is>
      </c>
      <c r="L897" t="inlineStr">
        <is>
          <t>2G</t>
        </is>
      </c>
      <c r="M897" t="inlineStr">
        <is>
          <t>1800</t>
        </is>
      </c>
      <c r="N897" t="inlineStr"/>
      <c r="O897" t="n">
        <v>0</v>
      </c>
      <c r="P897" t="n">
        <v>-1</v>
      </c>
      <c r="Q897" t="n">
        <v>2</v>
      </c>
      <c r="Y897" t="inlineStr"/>
      <c r="AC897" t="inlineStr">
        <is>
          <t>ZXSDR R8892N M1821E*3</t>
        </is>
      </c>
    </row>
    <row r="898" hidden="1" ht="15" customHeight="1" s="99">
      <c r="A898" t="inlineStr">
        <is>
          <t>IBGDZ1</t>
        </is>
      </c>
      <c r="B898" t="inlineStr">
        <is>
          <t>IBGDZ1_GUL00_Grandeeza_Hotel_IP_Ne</t>
        </is>
      </c>
      <c r="F898" t="n">
        <v>7.1854</v>
      </c>
      <c r="G898" t="n">
        <v>79.8586</v>
      </c>
      <c r="H898" t="inlineStr">
        <is>
          <t>IBGDZ1G</t>
        </is>
      </c>
      <c r="K898" t="inlineStr">
        <is>
          <t>S1</t>
        </is>
      </c>
      <c r="L898" t="inlineStr">
        <is>
          <t>4G</t>
        </is>
      </c>
      <c r="M898" t="inlineStr">
        <is>
          <t>1800</t>
        </is>
      </c>
      <c r="N898" t="inlineStr"/>
      <c r="O898" t="n">
        <v>0</v>
      </c>
      <c r="P898" t="n">
        <v>-1</v>
      </c>
      <c r="Q898" t="n">
        <v>0</v>
      </c>
      <c r="Y898" t="inlineStr">
        <is>
          <t>1T1R</t>
        </is>
      </c>
      <c r="AC898" t="inlineStr">
        <is>
          <t>ZXSDR R8892N M1821E*3</t>
        </is>
      </c>
    </row>
    <row r="899" hidden="1" ht="15" customHeight="1" s="99">
      <c r="A899" t="inlineStr">
        <is>
          <t>IBGDZ1</t>
        </is>
      </c>
      <c r="B899" t="inlineStr"/>
      <c r="F899">
        <f>_xlfn.XLOOKUP(A899,'[1]4G Parameters'!$E:$E,'[1]4G Parameters'!$J:$J)</f>
        <v/>
      </c>
      <c r="G899">
        <f>_xlfn.XLOOKUP(A899,'[1]4G Parameters'!$E:$E,'[1]4G Parameters'!$I:$I)</f>
        <v/>
      </c>
      <c r="H899" t="inlineStr">
        <is>
          <t>IBGDZ1Q</t>
        </is>
      </c>
      <c r="K899" t="inlineStr">
        <is>
          <t>S2</t>
        </is>
      </c>
      <c r="L899" t="inlineStr">
        <is>
          <t>2G</t>
        </is>
      </c>
      <c r="M899" t="inlineStr">
        <is>
          <t>1800</t>
        </is>
      </c>
      <c r="N899" t="inlineStr"/>
      <c r="O899" t="n">
        <v>0</v>
      </c>
      <c r="P899" t="n">
        <v>-1</v>
      </c>
      <c r="Q899" t="n">
        <v>2</v>
      </c>
      <c r="Y899" t="inlineStr"/>
      <c r="AC899" t="inlineStr">
        <is>
          <t>ZXSDR R8892N M1821E*3</t>
        </is>
      </c>
    </row>
    <row r="900" hidden="1" ht="15" customHeight="1" s="99">
      <c r="A900" t="inlineStr">
        <is>
          <t>IBGDZ1</t>
        </is>
      </c>
      <c r="B900" t="inlineStr">
        <is>
          <t>IBGDZ1_GUL00_Grandeeza_Hotel_IP_Ne</t>
        </is>
      </c>
      <c r="F900" t="n">
        <v>7.1854</v>
      </c>
      <c r="G900" t="n">
        <v>79.8586</v>
      </c>
      <c r="H900" t="inlineStr">
        <is>
          <t>IBGDZ1H</t>
        </is>
      </c>
      <c r="K900" t="inlineStr">
        <is>
          <t>S2</t>
        </is>
      </c>
      <c r="L900" t="inlineStr">
        <is>
          <t>4G</t>
        </is>
      </c>
      <c r="M900" t="inlineStr">
        <is>
          <t>1800</t>
        </is>
      </c>
      <c r="N900" t="inlineStr"/>
      <c r="O900" t="n">
        <v>0</v>
      </c>
      <c r="P900" t="n">
        <v>-1</v>
      </c>
      <c r="Q900" t="n">
        <v>0</v>
      </c>
      <c r="Y900" t="inlineStr">
        <is>
          <t>1T1R</t>
        </is>
      </c>
      <c r="AC900" t="inlineStr">
        <is>
          <t>ZXSDR R8892N M1821E*3</t>
        </is>
      </c>
    </row>
    <row r="901" hidden="1" ht="15" customHeight="1" s="99">
      <c r="A901" t="inlineStr">
        <is>
          <t>IBGMH1</t>
        </is>
      </c>
      <c r="B901" t="inlineStr"/>
      <c r="F901">
        <f>_xlfn.XLOOKUP(A901,'[1]4G Parameters'!$E:$E,'[1]4G Parameters'!$J:$J)</f>
        <v/>
      </c>
      <c r="G901">
        <f>_xlfn.XLOOKUP(A901,'[1]4G Parameters'!$E:$E,'[1]4G Parameters'!$I:$I)</f>
        <v/>
      </c>
      <c r="H901" t="inlineStr">
        <is>
          <t>IBGMH1P</t>
        </is>
      </c>
      <c r="K901" t="inlineStr">
        <is>
          <t>S1</t>
        </is>
      </c>
      <c r="L901" t="inlineStr">
        <is>
          <t>2G</t>
        </is>
      </c>
      <c r="M901" t="inlineStr">
        <is>
          <t>1800</t>
        </is>
      </c>
      <c r="N901" t="inlineStr"/>
      <c r="O901" t="n">
        <v>0</v>
      </c>
      <c r="P901" t="n">
        <v>-1</v>
      </c>
      <c r="Q901" t="n">
        <v>2</v>
      </c>
      <c r="Y901" t="inlineStr"/>
      <c r="AC901" t="inlineStr">
        <is>
          <t>ZXSDR R8892N M1821E*4</t>
        </is>
      </c>
    </row>
    <row r="902" hidden="1" ht="15" customHeight="1" s="99">
      <c r="A902" t="inlineStr">
        <is>
          <t>IBGMH1</t>
        </is>
      </c>
      <c r="B902" t="inlineStr">
        <is>
          <t>IBGMH1_G0L00_Gampaha_Hospital_Gm</t>
        </is>
      </c>
      <c r="F902" t="n">
        <v>7.0914</v>
      </c>
      <c r="G902" t="n">
        <v>80.0001</v>
      </c>
      <c r="H902" t="inlineStr">
        <is>
          <t>IBGMH1G</t>
        </is>
      </c>
      <c r="K902" t="inlineStr">
        <is>
          <t>S1</t>
        </is>
      </c>
      <c r="L902" t="inlineStr">
        <is>
          <t>4G</t>
        </is>
      </c>
      <c r="M902" t="inlineStr">
        <is>
          <t>1800</t>
        </is>
      </c>
      <c r="N902" t="inlineStr"/>
      <c r="O902" t="n">
        <v>0</v>
      </c>
      <c r="P902" t="n">
        <v>-1</v>
      </c>
      <c r="Q902" t="n">
        <v>0</v>
      </c>
      <c r="Y902" t="inlineStr">
        <is>
          <t>1T1R</t>
        </is>
      </c>
      <c r="AC902" t="inlineStr">
        <is>
          <t>ZXSDR R8892N M1821E*4</t>
        </is>
      </c>
    </row>
    <row r="903" hidden="1" ht="15" customHeight="1" s="99">
      <c r="A903" t="inlineStr">
        <is>
          <t>IBGMH1</t>
        </is>
      </c>
      <c r="B903" t="inlineStr"/>
      <c r="F903">
        <f>_xlfn.XLOOKUP(A903,'[1]4G Parameters'!$E:$E,'[1]4G Parameters'!$J:$J)</f>
        <v/>
      </c>
      <c r="G903">
        <f>_xlfn.XLOOKUP(A903,'[1]4G Parameters'!$E:$E,'[1]4G Parameters'!$I:$I)</f>
        <v/>
      </c>
      <c r="H903" t="inlineStr">
        <is>
          <t>IBGMH1Q</t>
        </is>
      </c>
      <c r="K903" t="inlineStr">
        <is>
          <t>S2</t>
        </is>
      </c>
      <c r="L903" t="inlineStr">
        <is>
          <t>2G</t>
        </is>
      </c>
      <c r="M903" t="inlineStr">
        <is>
          <t>1800</t>
        </is>
      </c>
      <c r="N903" t="inlineStr"/>
      <c r="O903" t="n">
        <v>0</v>
      </c>
      <c r="P903" t="n">
        <v>-1</v>
      </c>
      <c r="Q903" t="n">
        <v>2</v>
      </c>
      <c r="Y903" t="inlineStr"/>
      <c r="AC903" t="inlineStr">
        <is>
          <t>ZXSDR R8892N M1821E*4</t>
        </is>
      </c>
    </row>
    <row r="904" hidden="1" ht="15" customHeight="1" s="99">
      <c r="A904" t="inlineStr">
        <is>
          <t>IBGMH1</t>
        </is>
      </c>
      <c r="B904" t="inlineStr">
        <is>
          <t>IBGMH1_G0L00_Gampaha_Hospital_Gm</t>
        </is>
      </c>
      <c r="F904" t="n">
        <v>7.0914</v>
      </c>
      <c r="G904" t="n">
        <v>80.0001</v>
      </c>
      <c r="H904" t="inlineStr">
        <is>
          <t>IBGMH1H</t>
        </is>
      </c>
      <c r="K904" t="inlineStr">
        <is>
          <t>S2</t>
        </is>
      </c>
      <c r="L904" t="inlineStr">
        <is>
          <t>4G</t>
        </is>
      </c>
      <c r="M904" t="inlineStr">
        <is>
          <t>1800</t>
        </is>
      </c>
      <c r="N904" t="inlineStr"/>
      <c r="O904" t="n">
        <v>0</v>
      </c>
      <c r="P904" t="n">
        <v>-1</v>
      </c>
      <c r="Q904" t="n">
        <v>0</v>
      </c>
      <c r="Y904" t="inlineStr">
        <is>
          <t>1T1R</t>
        </is>
      </c>
      <c r="AC904" t="inlineStr">
        <is>
          <t>ZXSDR R8892N M1821E*4</t>
        </is>
      </c>
    </row>
    <row r="905" hidden="1" ht="15" customHeight="1" s="99">
      <c r="A905" t="inlineStr">
        <is>
          <t>IBGMH1</t>
        </is>
      </c>
      <c r="B905" t="inlineStr"/>
      <c r="F905">
        <f>_xlfn.XLOOKUP(A905,'[1]4G Parameters'!$E:$E,'[1]4G Parameters'!$J:$J)</f>
        <v/>
      </c>
      <c r="G905">
        <f>_xlfn.XLOOKUP(A905,'[1]4G Parameters'!$E:$E,'[1]4G Parameters'!$I:$I)</f>
        <v/>
      </c>
      <c r="H905" t="inlineStr">
        <is>
          <t>IBGMH1R</t>
        </is>
      </c>
      <c r="K905" t="inlineStr">
        <is>
          <t>S3</t>
        </is>
      </c>
      <c r="L905" t="inlineStr">
        <is>
          <t>2G</t>
        </is>
      </c>
      <c r="M905" t="inlineStr">
        <is>
          <t>1800</t>
        </is>
      </c>
      <c r="N905" t="inlineStr"/>
      <c r="O905" t="n">
        <v>0</v>
      </c>
      <c r="P905" t="n">
        <v>-1</v>
      </c>
      <c r="Q905" t="n">
        <v>2</v>
      </c>
      <c r="Y905" t="inlineStr"/>
      <c r="AC905" t="inlineStr">
        <is>
          <t>ZXSDR R8892N M1821E*4</t>
        </is>
      </c>
    </row>
    <row r="906" hidden="1" ht="15" customHeight="1" s="99">
      <c r="A906" t="inlineStr">
        <is>
          <t>IBGMH1</t>
        </is>
      </c>
      <c r="B906" t="inlineStr">
        <is>
          <t>IBGMH1_G0L00_Gampaha_Hospital_Gm</t>
        </is>
      </c>
      <c r="F906" t="n">
        <v>7.0914</v>
      </c>
      <c r="G906" t="n">
        <v>80.0001</v>
      </c>
      <c r="H906" t="inlineStr">
        <is>
          <t>IBGMH1I</t>
        </is>
      </c>
      <c r="K906" t="inlineStr">
        <is>
          <t>S3</t>
        </is>
      </c>
      <c r="L906" t="inlineStr">
        <is>
          <t>4G</t>
        </is>
      </c>
      <c r="M906" t="inlineStr">
        <is>
          <t>1800</t>
        </is>
      </c>
      <c r="N906" t="inlineStr"/>
      <c r="O906" t="n">
        <v>0</v>
      </c>
      <c r="P906" t="n">
        <v>-1</v>
      </c>
      <c r="Q906" t="n">
        <v>0</v>
      </c>
      <c r="Y906" t="inlineStr">
        <is>
          <t>1T1R</t>
        </is>
      </c>
      <c r="AC906" t="inlineStr">
        <is>
          <t>ZXSDR R8892N M1821E*4</t>
        </is>
      </c>
    </row>
    <row r="907" hidden="1" ht="15" customHeight="1" s="99">
      <c r="A907" t="inlineStr">
        <is>
          <t>IBGMH1</t>
        </is>
      </c>
      <c r="B907" t="inlineStr"/>
      <c r="F907">
        <f>_xlfn.XLOOKUP(A907,'[1]4G Parameters'!$E:$E,'[1]4G Parameters'!$J:$J)</f>
        <v/>
      </c>
      <c r="G907">
        <f>_xlfn.XLOOKUP(A907,'[1]4G Parameters'!$E:$E,'[1]4G Parameters'!$I:$I)</f>
        <v/>
      </c>
      <c r="H907" t="inlineStr">
        <is>
          <t>IBGMH1S</t>
        </is>
      </c>
      <c r="K907" t="inlineStr">
        <is>
          <t>S4</t>
        </is>
      </c>
      <c r="L907" t="inlineStr">
        <is>
          <t>2G</t>
        </is>
      </c>
      <c r="M907" t="inlineStr">
        <is>
          <t>1800</t>
        </is>
      </c>
      <c r="N907" t="inlineStr"/>
      <c r="O907" t="n">
        <v>0</v>
      </c>
      <c r="P907" t="n">
        <v>-1</v>
      </c>
      <c r="Q907" t="n">
        <v>2</v>
      </c>
      <c r="Y907" t="inlineStr"/>
      <c r="AC907" t="inlineStr">
        <is>
          <t>ZXSDR R8892N M1821E*4</t>
        </is>
      </c>
    </row>
    <row r="908" hidden="1" ht="15" customHeight="1" s="99">
      <c r="A908" t="inlineStr">
        <is>
          <t>IBGMH1</t>
        </is>
      </c>
      <c r="B908" t="inlineStr">
        <is>
          <t>IBGMH1_G0L00_Gampaha_Hospital_Gm</t>
        </is>
      </c>
      <c r="F908" t="n">
        <v>7.0914</v>
      </c>
      <c r="G908" t="n">
        <v>80.0001</v>
      </c>
      <c r="H908" t="inlineStr">
        <is>
          <t>IBGMH1F</t>
        </is>
      </c>
      <c r="K908" t="inlineStr">
        <is>
          <t>S4</t>
        </is>
      </c>
      <c r="L908" t="inlineStr">
        <is>
          <t>4G</t>
        </is>
      </c>
      <c r="M908" t="inlineStr">
        <is>
          <t>1800</t>
        </is>
      </c>
      <c r="N908" t="inlineStr"/>
      <c r="O908" t="n">
        <v>0</v>
      </c>
      <c r="P908" t="n">
        <v>-1</v>
      </c>
      <c r="Q908" t="n">
        <v>0</v>
      </c>
      <c r="Y908" t="inlineStr">
        <is>
          <t>1T1R</t>
        </is>
      </c>
      <c r="AC908" t="inlineStr">
        <is>
          <t>ZXSDR R8892N M1821E*4</t>
        </is>
      </c>
    </row>
    <row r="909" hidden="1" ht="15" customHeight="1" s="99">
      <c r="A909" t="inlineStr">
        <is>
          <t>LCZTK1</t>
        </is>
      </c>
      <c r="B909" t="inlineStr"/>
      <c r="F909">
        <f>_xlfn.XLOOKUP(A909,'[1]4G Parameters'!$E:$E,'[1]4G Parameters'!$J:$J)</f>
        <v/>
      </c>
      <c r="G909">
        <f>_xlfn.XLOOKUP(A909,'[1]4G Parameters'!$E:$E,'[1]4G Parameters'!$I:$I)</f>
        <v/>
      </c>
      <c r="AB909" t="inlineStr">
        <is>
          <t>A9165 M1821</t>
        </is>
      </c>
      <c r="AC909" t="inlineStr">
        <is>
          <t>A9165 M1821*3</t>
        </is>
      </c>
      <c r="AL909" t="inlineStr">
        <is>
          <t>No cell data in 工参</t>
        </is>
      </c>
    </row>
    <row r="910" hidden="1" ht="15" customHeight="1" s="99">
      <c r="A910" t="inlineStr">
        <is>
          <t>LGM030</t>
        </is>
      </c>
      <c r="B910" t="inlineStr"/>
      <c r="F910">
        <f>_xlfn.XLOOKUP(A910,'[1]4G Parameters'!$E:$E,'[1]4G Parameters'!$J:$J)</f>
        <v/>
      </c>
      <c r="G910">
        <f>_xlfn.XLOOKUP(A910,'[1]4G Parameters'!$E:$E,'[1]4G Parameters'!$I:$I)</f>
        <v/>
      </c>
      <c r="H910" t="inlineStr">
        <is>
          <t>LGM030P</t>
        </is>
      </c>
      <c r="K910" t="inlineStr">
        <is>
          <t>S1</t>
        </is>
      </c>
      <c r="L910" t="inlineStr">
        <is>
          <t>2G</t>
        </is>
      </c>
      <c r="M910" t="inlineStr">
        <is>
          <t>1800</t>
        </is>
      </c>
      <c r="N910" t="inlineStr"/>
      <c r="O910" t="n">
        <v>20</v>
      </c>
      <c r="P910" t="n">
        <v>0</v>
      </c>
      <c r="Q910" t="n">
        <v>2</v>
      </c>
      <c r="Y910" t="inlineStr"/>
      <c r="AA910" t="inlineStr">
        <is>
          <t>4T4R</t>
        </is>
      </c>
      <c r="AB910" t="inlineStr">
        <is>
          <t>A9165 M1821</t>
        </is>
      </c>
      <c r="AC910" t="inlineStr">
        <is>
          <t>A9165 M1821*3</t>
        </is>
      </c>
    </row>
    <row r="911" hidden="1" ht="15" customHeight="1" s="99">
      <c r="A911" t="inlineStr">
        <is>
          <t>LGM030</t>
        </is>
      </c>
      <c r="B911" t="inlineStr">
        <is>
          <t>LGM030_G0L00_Negombo Duwa Road Lamp Pole_Ne</t>
        </is>
      </c>
      <c r="F911" t="n">
        <v>7.207014</v>
      </c>
      <c r="G911" t="n">
        <v>79.823185</v>
      </c>
      <c r="H911" t="inlineStr">
        <is>
          <t>LGM030G</t>
        </is>
      </c>
      <c r="K911" t="inlineStr">
        <is>
          <t>S1</t>
        </is>
      </c>
      <c r="L911" t="inlineStr">
        <is>
          <t>4G</t>
        </is>
      </c>
      <c r="M911" t="inlineStr">
        <is>
          <t>1800</t>
        </is>
      </c>
      <c r="N911" t="inlineStr"/>
      <c r="O911" t="n">
        <v>20</v>
      </c>
      <c r="P911" t="n">
        <v>0</v>
      </c>
      <c r="Q911" t="n">
        <v>0</v>
      </c>
      <c r="Y911" t="inlineStr">
        <is>
          <t>2T2R</t>
        </is>
      </c>
      <c r="AA911" t="inlineStr">
        <is>
          <t>4T4R</t>
        </is>
      </c>
      <c r="AB911" t="inlineStr">
        <is>
          <t>A9165 M1821</t>
        </is>
      </c>
      <c r="AC911" t="inlineStr">
        <is>
          <t>A9165 M1821*3</t>
        </is>
      </c>
    </row>
    <row r="912" hidden="1" ht="15" customHeight="1" s="99">
      <c r="A912" t="inlineStr">
        <is>
          <t>LGM030</t>
        </is>
      </c>
      <c r="B912" t="inlineStr"/>
      <c r="F912">
        <f>_xlfn.XLOOKUP(A912,'[1]4G Parameters'!$E:$E,'[1]4G Parameters'!$J:$J)</f>
        <v/>
      </c>
      <c r="G912">
        <f>_xlfn.XLOOKUP(A912,'[1]4G Parameters'!$E:$E,'[1]4G Parameters'!$I:$I)</f>
        <v/>
      </c>
      <c r="H912" t="inlineStr">
        <is>
          <t>LGM030Q</t>
        </is>
      </c>
      <c r="K912" t="inlineStr">
        <is>
          <t>S2</t>
        </is>
      </c>
      <c r="L912" t="inlineStr">
        <is>
          <t>2G</t>
        </is>
      </c>
      <c r="M912" t="inlineStr">
        <is>
          <t>1800</t>
        </is>
      </c>
      <c r="N912" t="inlineStr"/>
      <c r="O912" t="n">
        <v>20</v>
      </c>
      <c r="P912" t="n">
        <v>120</v>
      </c>
      <c r="Q912" t="n">
        <v>2</v>
      </c>
      <c r="Y912" t="inlineStr"/>
      <c r="AA912" t="inlineStr">
        <is>
          <t>4T4R</t>
        </is>
      </c>
      <c r="AB912" t="inlineStr">
        <is>
          <t>A9165 M1821</t>
        </is>
      </c>
      <c r="AC912" t="inlineStr">
        <is>
          <t>A9165 M1821*3</t>
        </is>
      </c>
    </row>
    <row r="913" hidden="1" ht="15" customHeight="1" s="99">
      <c r="A913" t="inlineStr">
        <is>
          <t>LGM030</t>
        </is>
      </c>
      <c r="B913" t="inlineStr">
        <is>
          <t>LGM030_G0L00_Negombo Duwa Road Lamp Pole_Ne</t>
        </is>
      </c>
      <c r="F913" t="n">
        <v>7.207014</v>
      </c>
      <c r="G913" t="n">
        <v>79.823185</v>
      </c>
      <c r="H913" t="inlineStr">
        <is>
          <t>LGM030H</t>
        </is>
      </c>
      <c r="K913" t="inlineStr">
        <is>
          <t>S2</t>
        </is>
      </c>
      <c r="L913" t="inlineStr">
        <is>
          <t>4G</t>
        </is>
      </c>
      <c r="M913" t="inlineStr">
        <is>
          <t>1800</t>
        </is>
      </c>
      <c r="N913" t="inlineStr"/>
      <c r="O913" t="n">
        <v>20</v>
      </c>
      <c r="P913" t="n">
        <v>120</v>
      </c>
      <c r="Q913" t="n">
        <v>0</v>
      </c>
      <c r="Y913" t="inlineStr">
        <is>
          <t>2T2R</t>
        </is>
      </c>
      <c r="AA913" t="inlineStr">
        <is>
          <t>4T4R</t>
        </is>
      </c>
      <c r="AB913" t="inlineStr">
        <is>
          <t>A9165 M1821</t>
        </is>
      </c>
      <c r="AC913" t="inlineStr">
        <is>
          <t>A9165 M1821*3</t>
        </is>
      </c>
    </row>
    <row r="914" hidden="1" ht="15" customHeight="1" s="99">
      <c r="A914" t="inlineStr">
        <is>
          <t>LGM030</t>
        </is>
      </c>
      <c r="B914" t="inlineStr"/>
      <c r="F914">
        <f>_xlfn.XLOOKUP(A914,'[1]4G Parameters'!$E:$E,'[1]4G Parameters'!$J:$J)</f>
        <v/>
      </c>
      <c r="G914">
        <f>_xlfn.XLOOKUP(A914,'[1]4G Parameters'!$E:$E,'[1]4G Parameters'!$I:$I)</f>
        <v/>
      </c>
      <c r="H914" t="inlineStr">
        <is>
          <t>LGM030R</t>
        </is>
      </c>
      <c r="K914" t="inlineStr">
        <is>
          <t>S3</t>
        </is>
      </c>
      <c r="L914" t="inlineStr">
        <is>
          <t>2G</t>
        </is>
      </c>
      <c r="M914" t="inlineStr">
        <is>
          <t>1800</t>
        </is>
      </c>
      <c r="N914" t="inlineStr"/>
      <c r="O914" t="n">
        <v>20</v>
      </c>
      <c r="P914" t="n">
        <v>240</v>
      </c>
      <c r="Q914" t="n">
        <v>2</v>
      </c>
      <c r="Y914" t="inlineStr"/>
      <c r="AA914" t="inlineStr">
        <is>
          <t>4T4R</t>
        </is>
      </c>
      <c r="AB914" t="inlineStr">
        <is>
          <t>A9165 M1821</t>
        </is>
      </c>
      <c r="AC914" t="inlineStr">
        <is>
          <t>A9165 M1821*3</t>
        </is>
      </c>
    </row>
    <row r="915" hidden="1" ht="15" customHeight="1" s="99">
      <c r="A915" t="inlineStr">
        <is>
          <t>LGM030</t>
        </is>
      </c>
      <c r="B915" t="inlineStr">
        <is>
          <t>LGM030_G0L00_Negombo Duwa Road Lamp Pole_Ne</t>
        </is>
      </c>
      <c r="F915" t="n">
        <v>7.207014</v>
      </c>
      <c r="G915" t="n">
        <v>79.823185</v>
      </c>
      <c r="H915" t="inlineStr">
        <is>
          <t>LGM030I</t>
        </is>
      </c>
      <c r="K915" t="inlineStr">
        <is>
          <t>S3</t>
        </is>
      </c>
      <c r="L915" t="inlineStr">
        <is>
          <t>4G</t>
        </is>
      </c>
      <c r="M915" t="inlineStr">
        <is>
          <t>1800</t>
        </is>
      </c>
      <c r="N915" t="inlineStr"/>
      <c r="O915" t="n">
        <v>20</v>
      </c>
      <c r="P915" t="n">
        <v>240</v>
      </c>
      <c r="Q915" t="n">
        <v>0</v>
      </c>
      <c r="Y915" t="inlineStr">
        <is>
          <t>2T2R</t>
        </is>
      </c>
      <c r="AA915" t="inlineStr">
        <is>
          <t>4T4R</t>
        </is>
      </c>
      <c r="AB915" t="inlineStr">
        <is>
          <t>A9165 M1821</t>
        </is>
      </c>
      <c r="AC915" t="inlineStr">
        <is>
          <t>A9165 M1821*3</t>
        </is>
      </c>
    </row>
    <row r="916" hidden="1" ht="15" customHeight="1" s="99">
      <c r="A916" t="inlineStr">
        <is>
          <t>LGM048</t>
        </is>
      </c>
      <c r="B916" t="inlineStr"/>
      <c r="F916">
        <f>_xlfn.XLOOKUP(A916,'[1]4G Parameters'!$E:$E,'[1]4G Parameters'!$J:$J)</f>
        <v/>
      </c>
      <c r="G916">
        <f>_xlfn.XLOOKUP(A916,'[1]4G Parameters'!$E:$E,'[1]4G Parameters'!$I:$I)</f>
        <v/>
      </c>
      <c r="H916" t="inlineStr">
        <is>
          <t>LGM048P</t>
        </is>
      </c>
      <c r="K916" t="inlineStr">
        <is>
          <t>S1</t>
        </is>
      </c>
      <c r="L916" t="inlineStr">
        <is>
          <t>2G</t>
        </is>
      </c>
      <c r="M916" t="inlineStr">
        <is>
          <t>1800</t>
        </is>
      </c>
      <c r="N916" t="inlineStr"/>
      <c r="O916" t="n">
        <v>20</v>
      </c>
      <c r="P916" t="n">
        <v>0</v>
      </c>
      <c r="Q916" t="n">
        <v>2</v>
      </c>
      <c r="Y916" t="inlineStr"/>
      <c r="AA916" t="inlineStr">
        <is>
          <t>4T4R</t>
        </is>
      </c>
      <c r="AB916" t="inlineStr">
        <is>
          <t>A9165 M1821</t>
        </is>
      </c>
      <c r="AC916" t="inlineStr">
        <is>
          <t>A9165 M1821*3</t>
        </is>
      </c>
    </row>
    <row r="917" hidden="1" ht="15" customHeight="1" s="99">
      <c r="A917" t="inlineStr">
        <is>
          <t>LGM048</t>
        </is>
      </c>
      <c r="B917" t="inlineStr">
        <is>
          <t>LGM048_G0L00_Munnakarai_south_lamp_Ne</t>
        </is>
      </c>
      <c r="F917" t="n">
        <v>7.194113</v>
      </c>
      <c r="G917" t="n">
        <v>79.833611</v>
      </c>
      <c r="H917" t="inlineStr">
        <is>
          <t>LGM048G</t>
        </is>
      </c>
      <c r="K917" t="inlineStr">
        <is>
          <t>S1</t>
        </is>
      </c>
      <c r="L917" t="inlineStr">
        <is>
          <t>4G</t>
        </is>
      </c>
      <c r="M917" t="inlineStr">
        <is>
          <t>1800</t>
        </is>
      </c>
      <c r="N917" t="inlineStr">
        <is>
          <t>ADU4518R6v06</t>
        </is>
      </c>
      <c r="O917" t="n">
        <v>20</v>
      </c>
      <c r="P917" t="n">
        <v>0</v>
      </c>
      <c r="Q917" t="n">
        <v>0</v>
      </c>
      <c r="Y917" t="inlineStr">
        <is>
          <t>2T2R</t>
        </is>
      </c>
      <c r="AA917" t="inlineStr">
        <is>
          <t>4T4R</t>
        </is>
      </c>
      <c r="AB917" t="inlineStr">
        <is>
          <t>A9165 M1821</t>
        </is>
      </c>
      <c r="AC917" t="inlineStr">
        <is>
          <t>A9165 M1821*3</t>
        </is>
      </c>
    </row>
    <row r="918" hidden="1" ht="15" customHeight="1" s="99">
      <c r="A918" t="inlineStr">
        <is>
          <t>LGM048</t>
        </is>
      </c>
      <c r="B918" t="inlineStr"/>
      <c r="F918">
        <f>_xlfn.XLOOKUP(A918,'[1]4G Parameters'!$E:$E,'[1]4G Parameters'!$J:$J)</f>
        <v/>
      </c>
      <c r="G918">
        <f>_xlfn.XLOOKUP(A918,'[1]4G Parameters'!$E:$E,'[1]4G Parameters'!$I:$I)</f>
        <v/>
      </c>
      <c r="H918" t="inlineStr">
        <is>
          <t>LGM048Q</t>
        </is>
      </c>
      <c r="K918" t="inlineStr">
        <is>
          <t>S2</t>
        </is>
      </c>
      <c r="L918" t="inlineStr">
        <is>
          <t>2G</t>
        </is>
      </c>
      <c r="M918" t="inlineStr">
        <is>
          <t>1800</t>
        </is>
      </c>
      <c r="N918" t="inlineStr"/>
      <c r="O918" t="n">
        <v>20</v>
      </c>
      <c r="P918" t="n">
        <v>135</v>
      </c>
      <c r="Q918" t="n">
        <v>2</v>
      </c>
      <c r="Y918" t="inlineStr"/>
      <c r="AA918" t="inlineStr">
        <is>
          <t>4T4R</t>
        </is>
      </c>
      <c r="AB918" t="inlineStr">
        <is>
          <t>A9165 M1821</t>
        </is>
      </c>
      <c r="AC918" t="inlineStr">
        <is>
          <t>A9165 M1821*3</t>
        </is>
      </c>
    </row>
    <row r="919" hidden="1" ht="15" customHeight="1" s="99">
      <c r="A919" t="inlineStr">
        <is>
          <t>LGM048</t>
        </is>
      </c>
      <c r="B919" t="inlineStr">
        <is>
          <t>LGM048_G0L00_Munnakarai_south_lamp_Ne</t>
        </is>
      </c>
      <c r="F919" t="n">
        <v>7.194113</v>
      </c>
      <c r="G919" t="n">
        <v>79.833611</v>
      </c>
      <c r="H919" t="inlineStr">
        <is>
          <t>LGM048H</t>
        </is>
      </c>
      <c r="K919" t="inlineStr">
        <is>
          <t>S2</t>
        </is>
      </c>
      <c r="L919" t="inlineStr">
        <is>
          <t>4G</t>
        </is>
      </c>
      <c r="M919" t="inlineStr">
        <is>
          <t>1800</t>
        </is>
      </c>
      <c r="N919" t="inlineStr">
        <is>
          <t>ADU4518R6v06</t>
        </is>
      </c>
      <c r="O919" t="n">
        <v>20</v>
      </c>
      <c r="P919" t="n">
        <v>135</v>
      </c>
      <c r="Q919" t="n">
        <v>0</v>
      </c>
      <c r="Y919" t="inlineStr">
        <is>
          <t>2T2R</t>
        </is>
      </c>
      <c r="AA919" t="inlineStr">
        <is>
          <t>4T4R</t>
        </is>
      </c>
      <c r="AB919" t="inlineStr">
        <is>
          <t>A9165 M1821</t>
        </is>
      </c>
      <c r="AC919" t="inlineStr">
        <is>
          <t>A9165 M1821*3</t>
        </is>
      </c>
    </row>
    <row r="920" hidden="1" ht="15" customHeight="1" s="99">
      <c r="A920" t="inlineStr">
        <is>
          <t>LGM048</t>
        </is>
      </c>
      <c r="B920" t="inlineStr">
        <is>
          <t>LGM049_G0L00_Goldi_Sands_Negombo_Lamp_Ne</t>
        </is>
      </c>
      <c r="F920" t="n">
        <v>7.194113</v>
      </c>
      <c r="G920" t="n">
        <v>79.833611</v>
      </c>
      <c r="H920" t="inlineStr">
        <is>
          <t>LGM048H</t>
        </is>
      </c>
      <c r="K920" t="inlineStr">
        <is>
          <t>S2</t>
        </is>
      </c>
      <c r="L920" t="inlineStr">
        <is>
          <t>4G</t>
        </is>
      </c>
      <c r="M920" t="inlineStr">
        <is>
          <t>1800</t>
        </is>
      </c>
      <c r="N920" t="inlineStr">
        <is>
          <t>ADU4518R6v06</t>
        </is>
      </c>
      <c r="O920" t="n">
        <v>20</v>
      </c>
      <c r="P920" t="n">
        <v>135</v>
      </c>
      <c r="Q920" t="n">
        <v>0</v>
      </c>
      <c r="Y920" t="inlineStr">
        <is>
          <t>2T2R</t>
        </is>
      </c>
      <c r="AA920" t="inlineStr">
        <is>
          <t>4T4R</t>
        </is>
      </c>
      <c r="AB920" t="inlineStr">
        <is>
          <t>A9165 M1821</t>
        </is>
      </c>
      <c r="AC920" t="inlineStr">
        <is>
          <t>A9165 M1821*3</t>
        </is>
      </c>
    </row>
    <row r="921" hidden="1" ht="15" customHeight="1" s="99">
      <c r="A921" t="inlineStr">
        <is>
          <t>LGM048</t>
        </is>
      </c>
      <c r="B921" t="inlineStr"/>
      <c r="F921">
        <f>_xlfn.XLOOKUP(A921,'[1]4G Parameters'!$E:$E,'[1]4G Parameters'!$J:$J)</f>
        <v/>
      </c>
      <c r="G921">
        <f>_xlfn.XLOOKUP(A921,'[1]4G Parameters'!$E:$E,'[1]4G Parameters'!$I:$I)</f>
        <v/>
      </c>
      <c r="H921" t="inlineStr">
        <is>
          <t>LGM048R</t>
        </is>
      </c>
      <c r="K921" t="inlineStr">
        <is>
          <t>S3</t>
        </is>
      </c>
      <c r="L921" t="inlineStr">
        <is>
          <t>2G</t>
        </is>
      </c>
      <c r="M921" t="inlineStr">
        <is>
          <t>1800</t>
        </is>
      </c>
      <c r="N921" t="inlineStr"/>
      <c r="O921" t="n">
        <v>20</v>
      </c>
      <c r="P921" t="n">
        <v>195</v>
      </c>
      <c r="Q921" t="n">
        <v>2</v>
      </c>
      <c r="Y921" t="inlineStr"/>
      <c r="AA921" t="inlineStr">
        <is>
          <t>4T4R</t>
        </is>
      </c>
      <c r="AB921" t="inlineStr">
        <is>
          <t>A9165 M1821</t>
        </is>
      </c>
      <c r="AC921" t="inlineStr">
        <is>
          <t>A9165 M1821*3</t>
        </is>
      </c>
    </row>
    <row r="922" hidden="1" ht="15" customHeight="1" s="99">
      <c r="A922" t="inlineStr">
        <is>
          <t>LGM048</t>
        </is>
      </c>
      <c r="B922" t="inlineStr">
        <is>
          <t>LGM048_G0L00_Munnakarai_south_lamp_Ne</t>
        </is>
      </c>
      <c r="F922" t="n">
        <v>7.194113</v>
      </c>
      <c r="G922" t="n">
        <v>79.833611</v>
      </c>
      <c r="H922" t="inlineStr">
        <is>
          <t>LGM048I</t>
        </is>
      </c>
      <c r="K922" t="inlineStr">
        <is>
          <t>S3</t>
        </is>
      </c>
      <c r="L922" t="inlineStr">
        <is>
          <t>4G</t>
        </is>
      </c>
      <c r="M922" t="inlineStr">
        <is>
          <t>1800</t>
        </is>
      </c>
      <c r="N922" t="inlineStr">
        <is>
          <t>ADU4518R6v06</t>
        </is>
      </c>
      <c r="O922" t="n">
        <v>20</v>
      </c>
      <c r="P922" t="n">
        <v>195</v>
      </c>
      <c r="Q922" t="n">
        <v>0</v>
      </c>
      <c r="Y922" t="inlineStr">
        <is>
          <t>2T2R</t>
        </is>
      </c>
      <c r="AA922" t="inlineStr">
        <is>
          <t>4T4R</t>
        </is>
      </c>
      <c r="AB922" t="inlineStr">
        <is>
          <t>A9165 M1821</t>
        </is>
      </c>
      <c r="AC922" t="inlineStr">
        <is>
          <t>A9165 M1821*3</t>
        </is>
      </c>
    </row>
    <row r="923" hidden="1" ht="15" customHeight="1" s="99">
      <c r="A923" t="inlineStr">
        <is>
          <t>LGM048</t>
        </is>
      </c>
      <c r="B923" t="inlineStr">
        <is>
          <t>LGM049_G0L00_Goldi_Sands_Negombo_Lamp_Ne</t>
        </is>
      </c>
      <c r="F923" t="n">
        <v>7.194113</v>
      </c>
      <c r="G923" t="n">
        <v>79.833611</v>
      </c>
      <c r="H923" t="inlineStr">
        <is>
          <t>LGM048I</t>
        </is>
      </c>
      <c r="K923" t="inlineStr">
        <is>
          <t>S3</t>
        </is>
      </c>
      <c r="L923" t="inlineStr">
        <is>
          <t>4G</t>
        </is>
      </c>
      <c r="M923" t="inlineStr">
        <is>
          <t>1800</t>
        </is>
      </c>
      <c r="N923" t="inlineStr">
        <is>
          <t>ADU4518R6v06</t>
        </is>
      </c>
      <c r="O923" t="n">
        <v>20</v>
      </c>
      <c r="P923" t="n">
        <v>195</v>
      </c>
      <c r="Q923" t="n">
        <v>0</v>
      </c>
      <c r="Y923" t="inlineStr">
        <is>
          <t>2T2R</t>
        </is>
      </c>
      <c r="AA923" t="inlineStr">
        <is>
          <t>4T4R</t>
        </is>
      </c>
      <c r="AB923" t="inlineStr">
        <is>
          <t>A9165 M1821</t>
        </is>
      </c>
      <c r="AC923" t="inlineStr">
        <is>
          <t>A9165 M1821*3</t>
        </is>
      </c>
    </row>
    <row r="924" hidden="1" ht="15" customHeight="1" s="99">
      <c r="A924" t="inlineStr">
        <is>
          <t>LGZ014</t>
        </is>
      </c>
      <c r="B924" t="inlineStr"/>
      <c r="F924">
        <f>_xlfn.XLOOKUP(A924,'[1]4G Parameters'!$E:$E,'[1]4G Parameters'!$J:$J)</f>
        <v/>
      </c>
      <c r="G924">
        <f>_xlfn.XLOOKUP(A924,'[1]4G Parameters'!$E:$E,'[1]4G Parameters'!$I:$I)</f>
        <v/>
      </c>
      <c r="H924" t="inlineStr">
        <is>
          <t>LGZ014P</t>
        </is>
      </c>
      <c r="K924" t="inlineStr">
        <is>
          <t>S1</t>
        </is>
      </c>
      <c r="L924" t="inlineStr">
        <is>
          <t>2G</t>
        </is>
      </c>
      <c r="M924" t="inlineStr">
        <is>
          <t>1800</t>
        </is>
      </c>
      <c r="N924" t="inlineStr"/>
      <c r="O924" t="n">
        <v>20</v>
      </c>
      <c r="P924" t="n">
        <v>0</v>
      </c>
      <c r="Q924" t="n">
        <v>2</v>
      </c>
      <c r="Y924" t="inlineStr"/>
      <c r="AA924" t="inlineStr">
        <is>
          <t>4T4R</t>
        </is>
      </c>
      <c r="AB924" t="inlineStr">
        <is>
          <t>A9165 M1821</t>
        </is>
      </c>
      <c r="AC924" t="inlineStr">
        <is>
          <t>A9155 M1835*3+A9165 M1821*3</t>
        </is>
      </c>
    </row>
    <row r="925" hidden="1" ht="15" customHeight="1" s="99">
      <c r="A925" t="inlineStr">
        <is>
          <t>LGZ014</t>
        </is>
      </c>
      <c r="B925" t="inlineStr">
        <is>
          <t>LGZ014_G0L00_New manning market 1_Kd</t>
        </is>
      </c>
      <c r="F925" t="n">
        <v>6.965234</v>
      </c>
      <c r="G925" t="n">
        <v>79.890541</v>
      </c>
      <c r="H925" t="inlineStr">
        <is>
          <t>LGZ014G</t>
        </is>
      </c>
      <c r="K925" t="inlineStr">
        <is>
          <t>S1</t>
        </is>
      </c>
      <c r="L925" t="inlineStr">
        <is>
          <t>4G</t>
        </is>
      </c>
      <c r="M925" t="inlineStr">
        <is>
          <t>1800</t>
        </is>
      </c>
      <c r="N925" t="inlineStr">
        <is>
          <t>ADU4518R6v06</t>
        </is>
      </c>
      <c r="O925" t="n">
        <v>0</v>
      </c>
      <c r="P925" t="n">
        <v>0</v>
      </c>
      <c r="Q925" t="n">
        <v>0</v>
      </c>
      <c r="Y925" t="inlineStr">
        <is>
          <t>2T2R</t>
        </is>
      </c>
      <c r="AA925" t="inlineStr">
        <is>
          <t>4T4R</t>
        </is>
      </c>
      <c r="AB925" t="inlineStr">
        <is>
          <t>A9165 M1821</t>
        </is>
      </c>
      <c r="AC925" t="inlineStr">
        <is>
          <t>A9155 M1835*3+A9165 M1821*3</t>
        </is>
      </c>
    </row>
    <row r="926" hidden="1" ht="15" customHeight="1" s="99">
      <c r="A926" t="inlineStr">
        <is>
          <t>LGZ014</t>
        </is>
      </c>
      <c r="B926" t="inlineStr"/>
      <c r="F926">
        <f>_xlfn.XLOOKUP(A926,'[1]4G Parameters'!$E:$E,'[1]4G Parameters'!$J:$J)</f>
        <v/>
      </c>
      <c r="G926">
        <f>_xlfn.XLOOKUP(A926,'[1]4G Parameters'!$E:$E,'[1]4G Parameters'!$I:$I)</f>
        <v/>
      </c>
      <c r="H926" t="inlineStr">
        <is>
          <t>LGZ014Q</t>
        </is>
      </c>
      <c r="K926" t="inlineStr">
        <is>
          <t>S2</t>
        </is>
      </c>
      <c r="L926" t="inlineStr">
        <is>
          <t>2G</t>
        </is>
      </c>
      <c r="M926" t="inlineStr">
        <is>
          <t>1800</t>
        </is>
      </c>
      <c r="N926" t="inlineStr"/>
      <c r="O926" t="n">
        <v>20</v>
      </c>
      <c r="P926" t="n">
        <v>120</v>
      </c>
      <c r="Q926" t="n">
        <v>2</v>
      </c>
      <c r="Y926" t="inlineStr"/>
      <c r="AA926" t="inlineStr">
        <is>
          <t>4T4R</t>
        </is>
      </c>
      <c r="AB926" t="inlineStr">
        <is>
          <t>A9165 M1821</t>
        </is>
      </c>
      <c r="AC926" t="inlineStr">
        <is>
          <t>A9155 M1835*3+A9165 M1821*3</t>
        </is>
      </c>
    </row>
    <row r="927" hidden="1" ht="15" customHeight="1" s="99">
      <c r="A927" t="inlineStr">
        <is>
          <t>LGZ014</t>
        </is>
      </c>
      <c r="B927" t="inlineStr">
        <is>
          <t>LGZ014_G0L00_New manning market 1_Kd</t>
        </is>
      </c>
      <c r="F927" t="n">
        <v>6.965234</v>
      </c>
      <c r="G927" t="n">
        <v>79.890541</v>
      </c>
      <c r="H927" t="inlineStr">
        <is>
          <t>LGZ014H</t>
        </is>
      </c>
      <c r="K927" t="inlineStr">
        <is>
          <t>S2</t>
        </is>
      </c>
      <c r="L927" t="inlineStr">
        <is>
          <t>4G</t>
        </is>
      </c>
      <c r="M927" t="inlineStr">
        <is>
          <t>1800</t>
        </is>
      </c>
      <c r="N927" t="inlineStr">
        <is>
          <t>ADU4518R6v06</t>
        </is>
      </c>
      <c r="O927" t="n">
        <v>0</v>
      </c>
      <c r="P927" t="n">
        <v>120</v>
      </c>
      <c r="Q927" t="n">
        <v>0</v>
      </c>
      <c r="Y927" t="inlineStr">
        <is>
          <t>2T2R</t>
        </is>
      </c>
      <c r="AA927" t="inlineStr">
        <is>
          <t>4T4R</t>
        </is>
      </c>
      <c r="AB927" t="inlineStr">
        <is>
          <t>A9165 M1821</t>
        </is>
      </c>
      <c r="AC927" t="inlineStr">
        <is>
          <t>A9155 M1835*3+A9165 M1821*3</t>
        </is>
      </c>
    </row>
    <row r="928" hidden="1" ht="15" customHeight="1" s="99">
      <c r="A928" t="inlineStr">
        <is>
          <t>LGZ014</t>
        </is>
      </c>
      <c r="B928" t="inlineStr"/>
      <c r="F928">
        <f>_xlfn.XLOOKUP(A928,'[1]4G Parameters'!$E:$E,'[1]4G Parameters'!$J:$J)</f>
        <v/>
      </c>
      <c r="G928">
        <f>_xlfn.XLOOKUP(A928,'[1]4G Parameters'!$E:$E,'[1]4G Parameters'!$I:$I)</f>
        <v/>
      </c>
      <c r="H928" t="inlineStr">
        <is>
          <t>LGZ014R</t>
        </is>
      </c>
      <c r="K928" t="inlineStr">
        <is>
          <t>S3</t>
        </is>
      </c>
      <c r="L928" t="inlineStr">
        <is>
          <t>2G</t>
        </is>
      </c>
      <c r="M928" t="inlineStr">
        <is>
          <t>1800</t>
        </is>
      </c>
      <c r="N928" t="inlineStr"/>
      <c r="O928" t="n">
        <v>20</v>
      </c>
      <c r="P928" t="n">
        <v>240</v>
      </c>
      <c r="Q928" t="n">
        <v>2</v>
      </c>
      <c r="Y928" t="inlineStr"/>
      <c r="AA928" t="inlineStr">
        <is>
          <t>4T4R</t>
        </is>
      </c>
      <c r="AB928" t="inlineStr">
        <is>
          <t>A9165 M1821</t>
        </is>
      </c>
      <c r="AC928" t="inlineStr">
        <is>
          <t>A9155 M1835*3+A9165 M1821*3</t>
        </is>
      </c>
    </row>
    <row r="929" hidden="1" ht="15" customHeight="1" s="99">
      <c r="A929" t="inlineStr">
        <is>
          <t>LGZ014</t>
        </is>
      </c>
      <c r="B929" t="inlineStr">
        <is>
          <t>LGZ014_G0L00_New manning market 1_Kd</t>
        </is>
      </c>
      <c r="F929" t="n">
        <v>6.965234</v>
      </c>
      <c r="G929" t="n">
        <v>79.890541</v>
      </c>
      <c r="H929" t="inlineStr">
        <is>
          <t>LGZ014I</t>
        </is>
      </c>
      <c r="K929" t="inlineStr">
        <is>
          <t>S3</t>
        </is>
      </c>
      <c r="L929" t="inlineStr">
        <is>
          <t>4G</t>
        </is>
      </c>
      <c r="M929" t="inlineStr">
        <is>
          <t>1800</t>
        </is>
      </c>
      <c r="N929" t="inlineStr">
        <is>
          <t>ADU4518R6v06</t>
        </is>
      </c>
      <c r="O929" t="n">
        <v>0</v>
      </c>
      <c r="P929" t="n">
        <v>240</v>
      </c>
      <c r="Q929" t="n">
        <v>0</v>
      </c>
      <c r="Y929" t="inlineStr">
        <is>
          <t>2T2R</t>
        </is>
      </c>
      <c r="AA929" t="inlineStr">
        <is>
          <t>4T4R</t>
        </is>
      </c>
      <c r="AB929" t="inlineStr">
        <is>
          <t>A9165 M1821</t>
        </is>
      </c>
      <c r="AC929" t="inlineStr">
        <is>
          <t>A9155 M1835*3+A9165 M1821*3</t>
        </is>
      </c>
    </row>
    <row r="930" hidden="1" ht="15" customHeight="1" s="99">
      <c r="A930" t="inlineStr">
        <is>
          <t>ZBIY04</t>
        </is>
      </c>
      <c r="B930" t="inlineStr"/>
      <c r="F930">
        <f>_xlfn.XLOOKUP(A930,'[1]4G Parameters'!$E:$E,'[1]4G Parameters'!$J:$J)</f>
        <v/>
      </c>
      <c r="G930">
        <f>_xlfn.XLOOKUP(A930,'[1]4G Parameters'!$E:$E,'[1]4G Parameters'!$I:$I)</f>
        <v/>
      </c>
      <c r="H930" t="inlineStr">
        <is>
          <t>ZBIY04A</t>
        </is>
      </c>
      <c r="K930" t="inlineStr">
        <is>
          <t>S1</t>
        </is>
      </c>
      <c r="L930" t="inlineStr">
        <is>
          <t>2G</t>
        </is>
      </c>
      <c r="M930" t="inlineStr">
        <is>
          <t>900</t>
        </is>
      </c>
      <c r="N930" t="inlineStr"/>
      <c r="O930" t="n">
        <v>45</v>
      </c>
      <c r="P930" t="n">
        <v>0</v>
      </c>
      <c r="Q930" t="n">
        <v>2</v>
      </c>
      <c r="Y930" t="inlineStr"/>
      <c r="AB930" t="inlineStr">
        <is>
          <t>R9264H M901821</t>
        </is>
      </c>
      <c r="AC930" t="inlineStr">
        <is>
          <t>A9652 S35*3+R9264H M901821*3+R9254E S8500*2+R9264 M1821N*2</t>
        </is>
      </c>
    </row>
    <row r="931" hidden="1" ht="15" customHeight="1" s="99">
      <c r="A931" t="inlineStr">
        <is>
          <t>ZBIY04</t>
        </is>
      </c>
      <c r="B931" t="inlineStr"/>
      <c r="F931">
        <f>_xlfn.XLOOKUP(A931,'[1]4G Parameters'!$E:$E,'[1]4G Parameters'!$J:$J)</f>
        <v/>
      </c>
      <c r="G931">
        <f>_xlfn.XLOOKUP(A931,'[1]4G Parameters'!$E:$E,'[1]4G Parameters'!$I:$I)</f>
        <v/>
      </c>
      <c r="H931" t="inlineStr">
        <is>
          <t>ZBIY04P</t>
        </is>
      </c>
      <c r="K931" t="inlineStr">
        <is>
          <t>S1</t>
        </is>
      </c>
      <c r="L931" t="inlineStr">
        <is>
          <t>2G</t>
        </is>
      </c>
      <c r="M931" t="inlineStr">
        <is>
          <t>1800</t>
        </is>
      </c>
      <c r="N931" t="inlineStr"/>
      <c r="O931" t="n">
        <v>45</v>
      </c>
      <c r="P931" t="n">
        <v>0</v>
      </c>
      <c r="Q931" t="n">
        <v>2</v>
      </c>
      <c r="Y931" t="inlineStr"/>
      <c r="AB931" t="inlineStr">
        <is>
          <t>R9264H M901821</t>
        </is>
      </c>
      <c r="AC931" t="inlineStr">
        <is>
          <t>A9652 S35*3+R9264H M901821*3+R9254E S8500*2+R9264 M1821N*2</t>
        </is>
      </c>
    </row>
    <row r="932" hidden="1" ht="15" customHeight="1" s="99">
      <c r="A932" t="inlineStr">
        <is>
          <t>ZBIY04</t>
        </is>
      </c>
      <c r="B932" t="inlineStr"/>
      <c r="F932">
        <f>_xlfn.XLOOKUP(A932,'[1]4G Parameters'!$E:$E,'[1]4G Parameters'!$J:$J)</f>
        <v/>
      </c>
      <c r="G932">
        <f>_xlfn.XLOOKUP(A932,'[1]4G Parameters'!$E:$E,'[1]4G Parameters'!$I:$I)</f>
        <v/>
      </c>
      <c r="H932" t="inlineStr">
        <is>
          <t>ZBIY04S</t>
        </is>
      </c>
      <c r="K932" t="inlineStr">
        <is>
          <t>S1</t>
        </is>
      </c>
      <c r="L932" t="inlineStr">
        <is>
          <t>2G</t>
        </is>
      </c>
      <c r="M932" t="inlineStr">
        <is>
          <t>1800</t>
        </is>
      </c>
      <c r="N932" t="inlineStr"/>
      <c r="O932" t="n">
        <v>45</v>
      </c>
      <c r="P932" t="n">
        <v>0</v>
      </c>
      <c r="Q932" t="n">
        <v>2</v>
      </c>
      <c r="Y932" t="inlineStr"/>
      <c r="AB932" t="inlineStr">
        <is>
          <t>R9264H M901821</t>
        </is>
      </c>
      <c r="AC932" t="inlineStr">
        <is>
          <t>A9652 S35*3+R9264H M901821*3+R9254E S8500*2+R9264 M1821N*2</t>
        </is>
      </c>
    </row>
    <row r="933" hidden="1" ht="15" customHeight="1" s="99">
      <c r="A933" t="inlineStr">
        <is>
          <t>ZBIY04</t>
        </is>
      </c>
      <c r="B933" t="inlineStr">
        <is>
          <t>ZBIY04_GUL00_MAKOLA_Kd</t>
        </is>
      </c>
      <c r="F933" t="n">
        <v>6.97547</v>
      </c>
      <c r="G933" t="n">
        <v>79.95399999999999</v>
      </c>
      <c r="H933" t="inlineStr">
        <is>
          <t>ZBIY04-M-L85-A1</t>
        </is>
      </c>
      <c r="K933" t="inlineStr">
        <is>
          <t>S1</t>
        </is>
      </c>
      <c r="L933" t="inlineStr">
        <is>
          <t>4G</t>
        </is>
      </c>
      <c r="M933" t="inlineStr">
        <is>
          <t>850</t>
        </is>
      </c>
      <c r="N933" t="inlineStr">
        <is>
          <t>AQU4518R9v06</t>
        </is>
      </c>
      <c r="O933" t="n">
        <v>46</v>
      </c>
      <c r="P933" t="n">
        <v>240</v>
      </c>
      <c r="Q933" t="n">
        <v>0</v>
      </c>
      <c r="Y933" t="inlineStr">
        <is>
          <t>2T2R</t>
        </is>
      </c>
      <c r="AB933" t="inlineStr">
        <is>
          <t>R9254E S8500</t>
        </is>
      </c>
      <c r="AC933" t="inlineStr">
        <is>
          <t>A9652 S35*3+R9264H M901821*3+R9254E S8500*2+R9264 M1821N*2</t>
        </is>
      </c>
    </row>
    <row r="934" hidden="1" ht="15" customHeight="1" s="99">
      <c r="A934" t="inlineStr">
        <is>
          <t>ZBIY04</t>
        </is>
      </c>
      <c r="B934" t="inlineStr">
        <is>
          <t>ZBIY04_GUL00_MAKOLA_Kd</t>
        </is>
      </c>
      <c r="F934" t="n">
        <v>6.97547</v>
      </c>
      <c r="G934" t="n">
        <v>79.95399999999999</v>
      </c>
      <c r="H934" t="inlineStr">
        <is>
          <t>ZBIY04-M-L21-A2</t>
        </is>
      </c>
      <c r="K934" t="inlineStr">
        <is>
          <t>S1</t>
        </is>
      </c>
      <c r="L934" t="inlineStr">
        <is>
          <t>4G</t>
        </is>
      </c>
      <c r="M934" t="inlineStr">
        <is>
          <t>2100</t>
        </is>
      </c>
      <c r="N934" t="inlineStr">
        <is>
          <t>AQU4518R9v06</t>
        </is>
      </c>
      <c r="O934" t="n">
        <v>46</v>
      </c>
      <c r="P934" t="n">
        <v>240</v>
      </c>
      <c r="Q934" t="n">
        <v>0</v>
      </c>
      <c r="Y934" t="inlineStr">
        <is>
          <t>2T2R</t>
        </is>
      </c>
      <c r="AB934" t="inlineStr">
        <is>
          <t>R9264H M901821</t>
        </is>
      </c>
      <c r="AC934" t="inlineStr">
        <is>
          <t>A9652 S35*3+R9264H M901821*3+R9254E S8500*2+R9264 M1821N*2</t>
        </is>
      </c>
    </row>
    <row r="935" hidden="1" ht="15" customHeight="1" s="99">
      <c r="AB935" t="inlineStr">
        <is>
          <t>R9264 M1821N</t>
        </is>
      </c>
    </row>
    <row r="936" hidden="1" ht="15" customHeight="1" s="99">
      <c r="A936" t="inlineStr">
        <is>
          <t>ZBIY04</t>
        </is>
      </c>
      <c r="B936" t="inlineStr">
        <is>
          <t>ZBIY04_GUL00_MAKOLA_Kd</t>
        </is>
      </c>
      <c r="F936" t="n">
        <v>6.97547</v>
      </c>
      <c r="G936" t="n">
        <v>79.95399999999999</v>
      </c>
      <c r="H936" t="inlineStr">
        <is>
          <t>ZBIY04G</t>
        </is>
      </c>
      <c r="K936" t="inlineStr">
        <is>
          <t>S1</t>
        </is>
      </c>
      <c r="L936" t="inlineStr">
        <is>
          <t>4G</t>
        </is>
      </c>
      <c r="M936" t="inlineStr">
        <is>
          <t>1800</t>
        </is>
      </c>
      <c r="N936" t="inlineStr">
        <is>
          <t>AMB4519R6v06</t>
        </is>
      </c>
      <c r="O936" t="n">
        <v>46</v>
      </c>
      <c r="P936" t="n">
        <v>240</v>
      </c>
      <c r="Q936" t="n">
        <v>0</v>
      </c>
      <c r="Y936" t="inlineStr">
        <is>
          <t>2T2R</t>
        </is>
      </c>
      <c r="AB936" t="inlineStr">
        <is>
          <t>R9264H M901821</t>
        </is>
      </c>
      <c r="AC936" t="inlineStr">
        <is>
          <t>A9652 S35*3+R9264H M901821*3+R9254E S8500*2+R9264 M1821N*2</t>
        </is>
      </c>
    </row>
    <row r="937" hidden="1" ht="15" customHeight="1" s="99">
      <c r="A937" t="inlineStr">
        <is>
          <t>ZBIY04</t>
        </is>
      </c>
      <c r="B937" t="inlineStr">
        <is>
          <t>ZBIY04_GUL00_MAKOLA_Kd</t>
        </is>
      </c>
      <c r="F937" t="n">
        <v>6.97547</v>
      </c>
      <c r="G937" t="n">
        <v>79.95399999999999</v>
      </c>
      <c r="H937" t="inlineStr">
        <is>
          <t>ZBIY04-M-L18-G1</t>
        </is>
      </c>
      <c r="K937" t="inlineStr">
        <is>
          <t>S1</t>
        </is>
      </c>
      <c r="L937" t="inlineStr">
        <is>
          <t>4G</t>
        </is>
      </c>
      <c r="M937" t="inlineStr">
        <is>
          <t>1800</t>
        </is>
      </c>
      <c r="N937" t="inlineStr">
        <is>
          <t>AMB4519R6v06</t>
        </is>
      </c>
      <c r="O937" t="n">
        <v>46</v>
      </c>
      <c r="P937" t="n">
        <v>240</v>
      </c>
      <c r="Q937" t="n">
        <v>0</v>
      </c>
      <c r="Y937" t="inlineStr">
        <is>
          <t>2T2R</t>
        </is>
      </c>
      <c r="AB937" t="inlineStr">
        <is>
          <t>R9264 M1821N</t>
        </is>
      </c>
      <c r="AC937" t="inlineStr">
        <is>
          <t>A9652 S35*3+R9264H M901821*3+R9254E S8500*2+R9264 M1821N*2</t>
        </is>
      </c>
    </row>
    <row r="938" hidden="1" ht="15" customHeight="1" s="99">
      <c r="A938" t="inlineStr">
        <is>
          <t>ZBIY04</t>
        </is>
      </c>
      <c r="B938" t="inlineStr"/>
      <c r="F938">
        <f>_xlfn.XLOOKUP(A938,'[1]4G Parameters'!$E:$E,'[1]4G Parameters'!$J:$J)</f>
        <v/>
      </c>
      <c r="G938">
        <f>_xlfn.XLOOKUP(A938,'[1]4G Parameters'!$E:$E,'[1]4G Parameters'!$I:$I)</f>
        <v/>
      </c>
      <c r="H938" t="inlineStr">
        <is>
          <t>ZBIY04B</t>
        </is>
      </c>
      <c r="K938" t="inlineStr">
        <is>
          <t>S2</t>
        </is>
      </c>
      <c r="L938" t="inlineStr">
        <is>
          <t>2G</t>
        </is>
      </c>
      <c r="M938" t="inlineStr">
        <is>
          <t>900</t>
        </is>
      </c>
      <c r="N938" t="inlineStr"/>
      <c r="O938" t="n">
        <v>45</v>
      </c>
      <c r="P938" t="n">
        <v>120</v>
      </c>
      <c r="Q938" t="n">
        <v>2</v>
      </c>
      <c r="Y938" t="inlineStr"/>
      <c r="AB938" t="inlineStr">
        <is>
          <t>R9264H M901821</t>
        </is>
      </c>
      <c r="AC938" t="inlineStr">
        <is>
          <t>A9652 S35*3+R9264H M901821*3+R9254E S8500*2+R9264 M1821N*2</t>
        </is>
      </c>
    </row>
    <row r="939" hidden="1" ht="15" customHeight="1" s="99">
      <c r="A939" t="inlineStr">
        <is>
          <t>ZBIY04</t>
        </is>
      </c>
      <c r="B939" t="inlineStr"/>
      <c r="F939">
        <f>_xlfn.XLOOKUP(A939,'[1]4G Parameters'!$E:$E,'[1]4G Parameters'!$J:$J)</f>
        <v/>
      </c>
      <c r="G939">
        <f>_xlfn.XLOOKUP(A939,'[1]4G Parameters'!$E:$E,'[1]4G Parameters'!$I:$I)</f>
        <v/>
      </c>
      <c r="H939" t="inlineStr">
        <is>
          <t>ZBIY042</t>
        </is>
      </c>
      <c r="K939" t="inlineStr">
        <is>
          <t>S2</t>
        </is>
      </c>
      <c r="L939" t="inlineStr">
        <is>
          <t>2G</t>
        </is>
      </c>
      <c r="M939" t="inlineStr">
        <is>
          <t>1800</t>
        </is>
      </c>
      <c r="N939" t="inlineStr"/>
      <c r="O939" t="n">
        <v>45</v>
      </c>
      <c r="P939" t="n">
        <v>120</v>
      </c>
      <c r="Q939" t="n">
        <v>2</v>
      </c>
      <c r="Y939" t="inlineStr"/>
      <c r="AB939" t="inlineStr">
        <is>
          <t>R9264H M901821</t>
        </is>
      </c>
      <c r="AC939" t="inlineStr">
        <is>
          <t>A9652 S35*3+R9264H M901821*3+R9254E S8500*2+R9264 M1821N*2</t>
        </is>
      </c>
    </row>
    <row r="940" hidden="1" ht="15" customHeight="1" s="99">
      <c r="A940" t="inlineStr">
        <is>
          <t>ZBIY04</t>
        </is>
      </c>
      <c r="B940" t="inlineStr"/>
      <c r="F940">
        <f>_xlfn.XLOOKUP(A940,'[1]4G Parameters'!$E:$E,'[1]4G Parameters'!$J:$J)</f>
        <v/>
      </c>
      <c r="G940">
        <f>_xlfn.XLOOKUP(A940,'[1]4G Parameters'!$E:$E,'[1]4G Parameters'!$I:$I)</f>
        <v/>
      </c>
      <c r="H940" t="inlineStr">
        <is>
          <t>ZBIY04Q</t>
        </is>
      </c>
      <c r="K940" t="inlineStr">
        <is>
          <t>S2</t>
        </is>
      </c>
      <c r="L940" t="inlineStr">
        <is>
          <t>2G</t>
        </is>
      </c>
      <c r="M940" t="inlineStr">
        <is>
          <t>1800</t>
        </is>
      </c>
      <c r="N940" t="inlineStr"/>
      <c r="O940" t="n">
        <v>45</v>
      </c>
      <c r="P940" t="n">
        <v>120</v>
      </c>
      <c r="Q940" t="n">
        <v>2</v>
      </c>
      <c r="Y940" t="inlineStr"/>
      <c r="AB940" t="inlineStr">
        <is>
          <t>R9264H M901821</t>
        </is>
      </c>
      <c r="AC940" t="inlineStr">
        <is>
          <t>A9652 S35*3+R9264H M901821*3+R9254E S8500*2+R9264 M1821N*2</t>
        </is>
      </c>
    </row>
    <row r="941" hidden="1" ht="15" customHeight="1" s="99">
      <c r="A941" t="inlineStr">
        <is>
          <t>ZBIY04</t>
        </is>
      </c>
      <c r="B941" t="inlineStr"/>
      <c r="F941">
        <f>_xlfn.XLOOKUP(A941,'[1]4G Parameters'!$E:$E,'[1]4G Parameters'!$J:$J)</f>
        <v/>
      </c>
      <c r="G941">
        <f>_xlfn.XLOOKUP(A941,'[1]4G Parameters'!$E:$E,'[1]4G Parameters'!$I:$I)</f>
        <v/>
      </c>
      <c r="H941" t="inlineStr">
        <is>
          <t>ZBIY04T</t>
        </is>
      </c>
      <c r="K941" t="inlineStr">
        <is>
          <t>S2</t>
        </is>
      </c>
      <c r="L941" t="inlineStr">
        <is>
          <t>2G</t>
        </is>
      </c>
      <c r="M941" t="inlineStr">
        <is>
          <t>1800</t>
        </is>
      </c>
      <c r="N941" t="inlineStr"/>
      <c r="O941" t="n">
        <v>45</v>
      </c>
      <c r="P941" t="n">
        <v>120</v>
      </c>
      <c r="Q941" t="n">
        <v>2</v>
      </c>
      <c r="Y941" t="inlineStr"/>
      <c r="AB941" t="inlineStr">
        <is>
          <t>R9264H M901821</t>
        </is>
      </c>
      <c r="AC941" t="inlineStr">
        <is>
          <t>A9652 S35*3+R9264H M901821*3+R9254E S8500*2+R9264 M1821N*2</t>
        </is>
      </c>
    </row>
    <row r="942" hidden="1" ht="15" customHeight="1" s="99">
      <c r="A942" t="inlineStr">
        <is>
          <t>ZBIY04</t>
        </is>
      </c>
      <c r="B942" t="inlineStr">
        <is>
          <t>ZBIY04_GUL00_MAKOLA_Kd</t>
        </is>
      </c>
      <c r="F942" t="n">
        <v>6.97547</v>
      </c>
      <c r="G942" t="n">
        <v>79.95399999999999</v>
      </c>
      <c r="H942" t="inlineStr">
        <is>
          <t>ZBIY04-M-L85-B1</t>
        </is>
      </c>
      <c r="K942" t="inlineStr">
        <is>
          <t>S2</t>
        </is>
      </c>
      <c r="L942" t="inlineStr">
        <is>
          <t>4G</t>
        </is>
      </c>
      <c r="M942" t="inlineStr">
        <is>
          <t>850</t>
        </is>
      </c>
      <c r="N942" t="inlineStr">
        <is>
          <t>AQU4518R9v06</t>
        </is>
      </c>
      <c r="O942" t="n">
        <v>46</v>
      </c>
      <c r="P942" t="n">
        <v>120</v>
      </c>
      <c r="Q942" t="n">
        <v>0</v>
      </c>
      <c r="Y942" t="inlineStr">
        <is>
          <t>2T2R</t>
        </is>
      </c>
      <c r="AB942" t="inlineStr">
        <is>
          <t>R9254E S8500</t>
        </is>
      </c>
      <c r="AC942" t="inlineStr">
        <is>
          <t>A9652 S35*3+R9264H M901821*3+R9254E S8500*2+R9264 M1821N*2</t>
        </is>
      </c>
    </row>
    <row r="943" hidden="1" ht="15" customHeight="1" s="99">
      <c r="A943" t="inlineStr">
        <is>
          <t>ZBIY04</t>
        </is>
      </c>
      <c r="B943" t="inlineStr">
        <is>
          <t>ZBIY04_GUL00_MAKOLA_Kd</t>
        </is>
      </c>
      <c r="F943" t="n">
        <v>6.97547</v>
      </c>
      <c r="G943" t="n">
        <v>79.95399999999999</v>
      </c>
      <c r="H943" t="inlineStr">
        <is>
          <t>ZBIY04-M-L21-B2</t>
        </is>
      </c>
      <c r="K943" t="inlineStr">
        <is>
          <t>S2</t>
        </is>
      </c>
      <c r="L943" t="inlineStr">
        <is>
          <t>4G</t>
        </is>
      </c>
      <c r="M943" t="inlineStr">
        <is>
          <t>2100</t>
        </is>
      </c>
      <c r="N943" t="inlineStr">
        <is>
          <t>ATR4517R0v06</t>
        </is>
      </c>
      <c r="O943" t="n">
        <v>46</v>
      </c>
      <c r="P943" t="n">
        <v>120</v>
      </c>
      <c r="Q943" t="n">
        <v>0</v>
      </c>
      <c r="Y943" t="inlineStr">
        <is>
          <t>4T4R</t>
        </is>
      </c>
      <c r="AB943" t="inlineStr">
        <is>
          <t>R9264H M901821</t>
        </is>
      </c>
      <c r="AC943" t="inlineStr">
        <is>
          <t>A9652 S35*3+R9264H M901821*3+R9254E S8500*2+R9264 M1821N*2</t>
        </is>
      </c>
    </row>
    <row r="944" hidden="1" ht="15" customHeight="1" s="99">
      <c r="A944" t="inlineStr">
        <is>
          <t>ZBIY04</t>
        </is>
      </c>
      <c r="B944" t="inlineStr">
        <is>
          <t>ZBIY04_GUL00_MAKOLA_Kd</t>
        </is>
      </c>
      <c r="F944" t="n">
        <v>6.97547</v>
      </c>
      <c r="G944" t="n">
        <v>79.95399999999999</v>
      </c>
      <c r="H944" t="inlineStr">
        <is>
          <t>ZBIY04-M-L21-B1</t>
        </is>
      </c>
      <c r="K944" t="inlineStr">
        <is>
          <t>S2</t>
        </is>
      </c>
      <c r="L944" t="inlineStr">
        <is>
          <t>4G</t>
        </is>
      </c>
      <c r="M944" t="inlineStr">
        <is>
          <t>2100</t>
        </is>
      </c>
      <c r="N944" t="inlineStr">
        <is>
          <t>ATR4517R0v06</t>
        </is>
      </c>
      <c r="O944" t="n">
        <v>46</v>
      </c>
      <c r="P944" t="n">
        <v>120</v>
      </c>
      <c r="Q944" t="n">
        <v>0</v>
      </c>
      <c r="Y944" t="inlineStr">
        <is>
          <t>4T4R</t>
        </is>
      </c>
      <c r="AB944" t="inlineStr">
        <is>
          <t>R9264 M1821N</t>
        </is>
      </c>
      <c r="AC944" t="inlineStr">
        <is>
          <t>A9652 S35*3+R9264H M901821*3+R9254E S8500*2+R9264 M1821N*2</t>
        </is>
      </c>
    </row>
    <row r="945" hidden="1" ht="15" customHeight="1" s="99">
      <c r="A945" t="inlineStr">
        <is>
          <t>ZBIY04</t>
        </is>
      </c>
      <c r="B945" t="inlineStr">
        <is>
          <t>ZBIY04_GUL00_MAKOLA_Kd</t>
        </is>
      </c>
      <c r="F945" t="n">
        <v>6.97547</v>
      </c>
      <c r="G945" t="n">
        <v>79.95399999999999</v>
      </c>
      <c r="H945" t="inlineStr">
        <is>
          <t>ZBIY04H</t>
        </is>
      </c>
      <c r="K945" t="inlineStr">
        <is>
          <t>S2</t>
        </is>
      </c>
      <c r="L945" t="inlineStr">
        <is>
          <t>4G</t>
        </is>
      </c>
      <c r="M945" t="inlineStr">
        <is>
          <t>1800</t>
        </is>
      </c>
      <c r="N945" t="inlineStr">
        <is>
          <t>AQU4518R9v06</t>
        </is>
      </c>
      <c r="O945" t="n">
        <v>46</v>
      </c>
      <c r="P945" t="n">
        <v>120</v>
      </c>
      <c r="Q945" t="n">
        <v>0</v>
      </c>
      <c r="Y945" t="inlineStr">
        <is>
          <t>4T4R</t>
        </is>
      </c>
      <c r="AB945" t="inlineStr">
        <is>
          <t>R9264H M901821</t>
        </is>
      </c>
      <c r="AC945" t="inlineStr">
        <is>
          <t>A9652 S35*3+R9264H M901821*3+R9254E S8500*2+R9264 M1821N*2</t>
        </is>
      </c>
    </row>
    <row r="946" hidden="1" ht="15" customHeight="1" s="99">
      <c r="A946" t="inlineStr">
        <is>
          <t>ZBIY04</t>
        </is>
      </c>
      <c r="B946" t="inlineStr">
        <is>
          <t>ZBIY04_GUL00_MAKOLA_Kd</t>
        </is>
      </c>
      <c r="F946" t="n">
        <v>6.97547</v>
      </c>
      <c r="G946" t="n">
        <v>79.95399999999999</v>
      </c>
      <c r="H946" t="inlineStr">
        <is>
          <t>ZBIY04-M-L18-B1</t>
        </is>
      </c>
      <c r="K946" t="inlineStr">
        <is>
          <t>S2</t>
        </is>
      </c>
      <c r="L946" t="inlineStr">
        <is>
          <t>4G</t>
        </is>
      </c>
      <c r="M946" t="inlineStr">
        <is>
          <t>1800</t>
        </is>
      </c>
      <c r="N946" t="inlineStr">
        <is>
          <t>AQU4518R9v06</t>
        </is>
      </c>
      <c r="O946" t="n">
        <v>46</v>
      </c>
      <c r="P946" t="n">
        <v>120</v>
      </c>
      <c r="Q946" t="n">
        <v>0</v>
      </c>
      <c r="Y946" t="inlineStr">
        <is>
          <t>4T4R</t>
        </is>
      </c>
      <c r="AB946" t="inlineStr">
        <is>
          <t>R9264 M1821N</t>
        </is>
      </c>
      <c r="AC946" t="inlineStr">
        <is>
          <t>A9652 S35*3+R9264H M901821*3+R9254E S8500*2+R9264 M1821N*2</t>
        </is>
      </c>
    </row>
    <row r="947" hidden="1" ht="15" customHeight="1" s="99">
      <c r="A947" t="inlineStr">
        <is>
          <t>ZBIY04</t>
        </is>
      </c>
      <c r="B947" t="inlineStr"/>
      <c r="F947">
        <f>_xlfn.XLOOKUP(A947,'[1]4G Parameters'!$E:$E,'[1]4G Parameters'!$J:$J)</f>
        <v/>
      </c>
      <c r="G947">
        <f>_xlfn.XLOOKUP(A947,'[1]4G Parameters'!$E:$E,'[1]4G Parameters'!$I:$I)</f>
        <v/>
      </c>
      <c r="H947" t="inlineStr">
        <is>
          <t>ZBIY04C</t>
        </is>
      </c>
      <c r="K947" t="inlineStr">
        <is>
          <t>S3</t>
        </is>
      </c>
      <c r="L947" t="inlineStr">
        <is>
          <t>2G</t>
        </is>
      </c>
      <c r="M947" t="inlineStr">
        <is>
          <t>900</t>
        </is>
      </c>
      <c r="N947" t="inlineStr"/>
      <c r="O947" t="n">
        <v>45</v>
      </c>
      <c r="P947" t="n">
        <v>240</v>
      </c>
      <c r="Q947" t="n">
        <v>2</v>
      </c>
      <c r="Y947" t="inlineStr"/>
      <c r="AB947" t="inlineStr">
        <is>
          <t>R9264H M901821</t>
        </is>
      </c>
      <c r="AC947" t="inlineStr">
        <is>
          <t>A9652 S35*3+R9264H M901821*3+R9254E S8500*2+R9264 M1821N*2</t>
        </is>
      </c>
    </row>
    <row r="948" hidden="1" ht="15" customHeight="1" s="99">
      <c r="A948" t="inlineStr">
        <is>
          <t>ZBIY04</t>
        </is>
      </c>
      <c r="B948" t="inlineStr"/>
      <c r="F948">
        <f>_xlfn.XLOOKUP(A948,'[1]4G Parameters'!$E:$E,'[1]4G Parameters'!$J:$J)</f>
        <v/>
      </c>
      <c r="G948">
        <f>_xlfn.XLOOKUP(A948,'[1]4G Parameters'!$E:$E,'[1]4G Parameters'!$I:$I)</f>
        <v/>
      </c>
      <c r="H948" t="inlineStr">
        <is>
          <t>ZBIY04R</t>
        </is>
      </c>
      <c r="K948" t="inlineStr">
        <is>
          <t>S3</t>
        </is>
      </c>
      <c r="L948" t="inlineStr">
        <is>
          <t>2G</t>
        </is>
      </c>
      <c r="M948" t="inlineStr">
        <is>
          <t>1800</t>
        </is>
      </c>
      <c r="N948" t="inlineStr"/>
      <c r="O948" t="n">
        <v>45</v>
      </c>
      <c r="P948" t="n">
        <v>240</v>
      </c>
      <c r="Q948" t="n">
        <v>2</v>
      </c>
      <c r="Y948" t="inlineStr"/>
      <c r="AB948" t="inlineStr">
        <is>
          <t>R9264H M901821</t>
        </is>
      </c>
      <c r="AC948" t="inlineStr">
        <is>
          <t>A9652 S35*3+R9264H M901821*3+R9254E S8500*2+R9264 M1821N*2</t>
        </is>
      </c>
    </row>
    <row r="949" hidden="1" ht="15" customHeight="1" s="99">
      <c r="A949" t="inlineStr">
        <is>
          <t>ZBIY04</t>
        </is>
      </c>
      <c r="B949" t="inlineStr"/>
      <c r="F949">
        <f>_xlfn.XLOOKUP(A949,'[1]4G Parameters'!$E:$E,'[1]4G Parameters'!$J:$J)</f>
        <v/>
      </c>
      <c r="G949">
        <f>_xlfn.XLOOKUP(A949,'[1]4G Parameters'!$E:$E,'[1]4G Parameters'!$I:$I)</f>
        <v/>
      </c>
      <c r="H949" t="inlineStr">
        <is>
          <t>ZBIY04U</t>
        </is>
      </c>
      <c r="K949" t="inlineStr">
        <is>
          <t>S3</t>
        </is>
      </c>
      <c r="L949" t="inlineStr">
        <is>
          <t>2G</t>
        </is>
      </c>
      <c r="M949" t="inlineStr">
        <is>
          <t>1800</t>
        </is>
      </c>
      <c r="N949" t="inlineStr"/>
      <c r="O949" t="n">
        <v>45</v>
      </c>
      <c r="P949" t="n">
        <v>240</v>
      </c>
      <c r="Q949" t="n">
        <v>2</v>
      </c>
      <c r="Y949" t="inlineStr"/>
      <c r="AB949" t="inlineStr">
        <is>
          <t>R9264H M901821</t>
        </is>
      </c>
      <c r="AC949" t="inlineStr">
        <is>
          <t>A9652 S35*3+R9264H M901821*3+R9254E S8500*2+R9264 M1821N*2</t>
        </is>
      </c>
    </row>
    <row r="950" hidden="1" ht="15" customHeight="1" s="99">
      <c r="A950" t="inlineStr">
        <is>
          <t>ZBIY04</t>
        </is>
      </c>
      <c r="B950" t="inlineStr">
        <is>
          <t>ZBIY04_GUL00_MAKOLA_Kd</t>
        </is>
      </c>
      <c r="F950" t="n">
        <v>6.97547</v>
      </c>
      <c r="G950" t="n">
        <v>79.95399999999999</v>
      </c>
      <c r="H950" t="inlineStr">
        <is>
          <t>ZBIY04-M-L85-C1</t>
        </is>
      </c>
      <c r="K950" t="inlineStr">
        <is>
          <t>S3</t>
        </is>
      </c>
      <c r="L950" t="inlineStr">
        <is>
          <t>4G</t>
        </is>
      </c>
      <c r="M950" t="inlineStr">
        <is>
          <t>850</t>
        </is>
      </c>
      <c r="N950" t="inlineStr">
        <is>
          <t>ATR4517R0v06</t>
        </is>
      </c>
      <c r="O950" t="n">
        <v>46</v>
      </c>
      <c r="P950" t="n">
        <v>240</v>
      </c>
      <c r="Q950" t="n">
        <v>0</v>
      </c>
      <c r="Y950" t="inlineStr">
        <is>
          <t>2T2R</t>
        </is>
      </c>
      <c r="AB950" t="inlineStr">
        <is>
          <t>R9254E S8500</t>
        </is>
      </c>
      <c r="AC950" t="inlineStr">
        <is>
          <t>A9652 S35*3+R9264H M901821*3+R9254E S8500*2+R9264 M1821N*2</t>
        </is>
      </c>
    </row>
    <row r="951" hidden="1" ht="15" customHeight="1" s="99">
      <c r="A951" t="inlineStr">
        <is>
          <t>ZBIY04</t>
        </is>
      </c>
      <c r="B951" t="inlineStr">
        <is>
          <t>ZBIY04_GUL00_MAKOLA_Kd</t>
        </is>
      </c>
      <c r="F951" t="n">
        <v>6.97547</v>
      </c>
      <c r="G951" t="n">
        <v>79.95399999999999</v>
      </c>
      <c r="H951" t="inlineStr">
        <is>
          <t>ZBIY04-M-L21-C2</t>
        </is>
      </c>
      <c r="K951" t="inlineStr">
        <is>
          <t>S3</t>
        </is>
      </c>
      <c r="L951" t="inlineStr">
        <is>
          <t>4G</t>
        </is>
      </c>
      <c r="M951" t="inlineStr">
        <is>
          <t>2100</t>
        </is>
      </c>
      <c r="N951" t="inlineStr">
        <is>
          <t>ATR4517R0v06</t>
        </is>
      </c>
      <c r="O951" t="n">
        <v>46</v>
      </c>
      <c r="P951" t="n">
        <v>240</v>
      </c>
      <c r="Q951" t="n">
        <v>0</v>
      </c>
      <c r="Y951" t="inlineStr">
        <is>
          <t>2T2R</t>
        </is>
      </c>
      <c r="AB951" t="inlineStr">
        <is>
          <t>R9264H M901821</t>
        </is>
      </c>
      <c r="AC951" t="inlineStr">
        <is>
          <t>A9652 S35*3+R9264H M901821*3+R9254E S8500*2+R9264 M1821N*2</t>
        </is>
      </c>
    </row>
    <row r="952" hidden="1" ht="15" customHeight="1" s="99">
      <c r="A952" t="inlineStr">
        <is>
          <t>ZBIY04</t>
        </is>
      </c>
      <c r="B952" t="inlineStr">
        <is>
          <t>ZBIY04_GUL00_MAKOLA_Kd</t>
        </is>
      </c>
      <c r="F952" t="n">
        <v>6.97547</v>
      </c>
      <c r="G952" t="n">
        <v>79.95399999999999</v>
      </c>
      <c r="H952" t="inlineStr">
        <is>
          <t>ZBIY04I</t>
        </is>
      </c>
      <c r="K952" t="inlineStr">
        <is>
          <t>S3</t>
        </is>
      </c>
      <c r="L952" t="inlineStr">
        <is>
          <t>4G</t>
        </is>
      </c>
      <c r="M952" t="inlineStr">
        <is>
          <t>1800</t>
        </is>
      </c>
      <c r="N952" t="inlineStr">
        <is>
          <t>ATR4517R0v06</t>
        </is>
      </c>
      <c r="O952" t="n">
        <v>46</v>
      </c>
      <c r="P952" t="n">
        <v>240</v>
      </c>
      <c r="Q952" t="n">
        <v>0</v>
      </c>
      <c r="Y952" t="inlineStr">
        <is>
          <t>2T2R</t>
        </is>
      </c>
      <c r="AB952" t="inlineStr">
        <is>
          <t>R9264H M901821</t>
        </is>
      </c>
      <c r="AC952" t="inlineStr">
        <is>
          <t>A9652 S35*3+R9264H M901821*3+R9254E S8500*2+R9264 M1821N*2</t>
        </is>
      </c>
    </row>
    <row r="953" hidden="1" ht="15" customHeight="1" s="99">
      <c r="A953" t="inlineStr">
        <is>
          <t>ZBIY12</t>
        </is>
      </c>
      <c r="B953" t="inlineStr"/>
      <c r="F953">
        <f>_xlfn.XLOOKUP(A953,'[1]4G Parameters'!$E:$E,'[1]4G Parameters'!$J:$J)</f>
        <v/>
      </c>
      <c r="G953">
        <f>_xlfn.XLOOKUP(A953,'[1]4G Parameters'!$E:$E,'[1]4G Parameters'!$I:$I)</f>
        <v/>
      </c>
      <c r="H953" t="inlineStr">
        <is>
          <t>ZBIY12A</t>
        </is>
      </c>
      <c r="K953" t="inlineStr">
        <is>
          <t>S1</t>
        </is>
      </c>
      <c r="L953" t="inlineStr">
        <is>
          <t>2G</t>
        </is>
      </c>
      <c r="M953" t="inlineStr">
        <is>
          <t>900</t>
        </is>
      </c>
      <c r="N953" t="inlineStr"/>
      <c r="O953" t="n">
        <v>40</v>
      </c>
      <c r="P953" t="n">
        <v>0</v>
      </c>
      <c r="Q953" t="n">
        <v>2</v>
      </c>
      <c r="Y953" t="inlineStr"/>
      <c r="AB953" t="inlineStr">
        <is>
          <t>R9264H M901821</t>
        </is>
      </c>
      <c r="AC953" t="inlineStr">
        <is>
          <t>A9652 S35*3+R9264H M901821*3+R9254E S8500*2+R9264 M1821N*1</t>
        </is>
      </c>
    </row>
    <row r="954" hidden="1" ht="15" customHeight="1" s="99">
      <c r="A954" t="inlineStr">
        <is>
          <t>ZBIY12</t>
        </is>
      </c>
      <c r="B954" t="inlineStr"/>
      <c r="F954">
        <f>_xlfn.XLOOKUP(A954,'[1]4G Parameters'!$E:$E,'[1]4G Parameters'!$J:$J)</f>
        <v/>
      </c>
      <c r="G954">
        <f>_xlfn.XLOOKUP(A954,'[1]4G Parameters'!$E:$E,'[1]4G Parameters'!$I:$I)</f>
        <v/>
      </c>
      <c r="H954" t="inlineStr">
        <is>
          <t>ZBIY12P</t>
        </is>
      </c>
      <c r="K954" t="inlineStr">
        <is>
          <t>S1</t>
        </is>
      </c>
      <c r="L954" t="inlineStr">
        <is>
          <t>2G</t>
        </is>
      </c>
      <c r="M954" t="inlineStr">
        <is>
          <t>1800</t>
        </is>
      </c>
      <c r="N954" t="inlineStr"/>
      <c r="O954" t="n">
        <v>40</v>
      </c>
      <c r="P954" t="n">
        <v>0</v>
      </c>
      <c r="Q954" t="n">
        <v>2</v>
      </c>
      <c r="Y954" t="inlineStr"/>
      <c r="AB954" t="inlineStr">
        <is>
          <t>R9264H M901821</t>
        </is>
      </c>
      <c r="AC954" t="inlineStr">
        <is>
          <t>A9652 S35*3+R9264H M901821*3+R9254E S8500*2+R9264 M1821N*1</t>
        </is>
      </c>
    </row>
    <row r="955" hidden="1" ht="15" customHeight="1" s="99">
      <c r="A955" t="inlineStr">
        <is>
          <t>ZBIY12</t>
        </is>
      </c>
      <c r="B955" t="inlineStr">
        <is>
          <t>ZBIY12_GUL00_Koholwila_Kd</t>
        </is>
      </c>
      <c r="F955" t="n">
        <v>6.9667</v>
      </c>
      <c r="G955" t="n">
        <v>79.9281</v>
      </c>
      <c r="H955" t="inlineStr">
        <is>
          <t>ZBIY12-M-L85-A1</t>
        </is>
      </c>
      <c r="K955" t="inlineStr">
        <is>
          <t>S1</t>
        </is>
      </c>
      <c r="L955" t="inlineStr">
        <is>
          <t>4G</t>
        </is>
      </c>
      <c r="M955" t="inlineStr">
        <is>
          <t>850</t>
        </is>
      </c>
      <c r="N955" t="inlineStr">
        <is>
          <t>AQU4518R9v06</t>
        </is>
      </c>
      <c r="O955" t="n">
        <v>40</v>
      </c>
      <c r="P955" t="n">
        <v>0</v>
      </c>
      <c r="Q955" t="n">
        <v>0</v>
      </c>
      <c r="Y955" t="inlineStr">
        <is>
          <t>2T2R</t>
        </is>
      </c>
      <c r="AB955" t="inlineStr">
        <is>
          <t>R9254E S8500</t>
        </is>
      </c>
      <c r="AC955" t="inlineStr">
        <is>
          <t>A9652 S35*3+R9264H M901821*3+R9254E S8500*2+R9264 M1821N*1</t>
        </is>
      </c>
    </row>
    <row r="956" hidden="1" ht="15" customHeight="1" s="99">
      <c r="A956" t="inlineStr">
        <is>
          <t>ZBIY12</t>
        </is>
      </c>
      <c r="B956" t="inlineStr">
        <is>
          <t>ZBIY12_GUL00_Koholwila_Kd</t>
        </is>
      </c>
      <c r="F956" t="n">
        <v>6.9667</v>
      </c>
      <c r="G956" t="n">
        <v>79.9281</v>
      </c>
      <c r="H956" t="inlineStr">
        <is>
          <t>ZBIY12-M-L21-A2</t>
        </is>
      </c>
      <c r="K956" t="inlineStr">
        <is>
          <t>S1</t>
        </is>
      </c>
      <c r="L956" t="inlineStr">
        <is>
          <t>4G</t>
        </is>
      </c>
      <c r="M956" t="inlineStr">
        <is>
          <t>2100</t>
        </is>
      </c>
      <c r="N956" t="inlineStr">
        <is>
          <t>AQU4518R9v06</t>
        </is>
      </c>
      <c r="O956" t="n">
        <v>40</v>
      </c>
      <c r="P956" t="n">
        <v>0</v>
      </c>
      <c r="Q956" t="n">
        <v>0</v>
      </c>
      <c r="Y956" t="inlineStr">
        <is>
          <t>2T2R</t>
        </is>
      </c>
      <c r="AB956" t="inlineStr">
        <is>
          <t>R9264H M901821</t>
        </is>
      </c>
      <c r="AC956" t="inlineStr">
        <is>
          <t>A9652 S35*3+R9264H M901821*3+R9254E S8500*2+R9264 M1821N*1</t>
        </is>
      </c>
    </row>
    <row r="957" hidden="1" ht="15" customHeight="1" s="99">
      <c r="A957" t="inlineStr">
        <is>
          <t>ZBIY12</t>
        </is>
      </c>
      <c r="B957" t="inlineStr">
        <is>
          <t>ZBIY12_GUL00_Koholwila_Kd</t>
        </is>
      </c>
      <c r="F957" t="n">
        <v>6.9667</v>
      </c>
      <c r="G957" t="n">
        <v>79.9281</v>
      </c>
      <c r="H957" t="inlineStr">
        <is>
          <t>ZBIY12G</t>
        </is>
      </c>
      <c r="K957" t="inlineStr">
        <is>
          <t>S1</t>
        </is>
      </c>
      <c r="L957" t="inlineStr">
        <is>
          <t>4G</t>
        </is>
      </c>
      <c r="M957" t="inlineStr">
        <is>
          <t>1800</t>
        </is>
      </c>
      <c r="N957" t="inlineStr">
        <is>
          <t>AQU4518R9v06</t>
        </is>
      </c>
      <c r="O957" t="n">
        <v>40</v>
      </c>
      <c r="P957" t="n">
        <v>0</v>
      </c>
      <c r="Q957" t="n">
        <v>0</v>
      </c>
      <c r="Y957" t="inlineStr">
        <is>
          <t>4T4R</t>
        </is>
      </c>
      <c r="AB957" t="inlineStr">
        <is>
          <t>R9264H M901821</t>
        </is>
      </c>
      <c r="AC957" t="inlineStr">
        <is>
          <t>A9652 S35*3+R9264H M901821*3+R9254E S8500*2+R9264 M1821N*1</t>
        </is>
      </c>
    </row>
    <row r="958" hidden="1" ht="15" customHeight="1" s="99">
      <c r="A958" t="inlineStr">
        <is>
          <t>ZBIY12</t>
        </is>
      </c>
      <c r="B958" t="inlineStr"/>
      <c r="F958">
        <f>_xlfn.XLOOKUP(A958,'[1]4G Parameters'!$E:$E,'[1]4G Parameters'!$J:$J)</f>
        <v/>
      </c>
      <c r="G958">
        <f>_xlfn.XLOOKUP(A958,'[1]4G Parameters'!$E:$E,'[1]4G Parameters'!$I:$I)</f>
        <v/>
      </c>
      <c r="H958" t="inlineStr">
        <is>
          <t>ZBIY12B</t>
        </is>
      </c>
      <c r="K958" t="inlineStr">
        <is>
          <t>S2</t>
        </is>
      </c>
      <c r="L958" t="inlineStr">
        <is>
          <t>2G</t>
        </is>
      </c>
      <c r="M958" t="inlineStr">
        <is>
          <t>900</t>
        </is>
      </c>
      <c r="N958" t="inlineStr"/>
      <c r="O958" t="n">
        <v>40</v>
      </c>
      <c r="P958" t="n">
        <v>120</v>
      </c>
      <c r="Q958" t="n">
        <v>2</v>
      </c>
      <c r="Y958" t="inlineStr"/>
      <c r="AB958" t="inlineStr">
        <is>
          <t>R9264H M901821</t>
        </is>
      </c>
      <c r="AC958" t="inlineStr">
        <is>
          <t>A9652 S35*3+R9264H M901821*3+R9254E S8500*2+R9264 M1821N*1</t>
        </is>
      </c>
    </row>
    <row r="959" hidden="1" ht="15" customHeight="1" s="99">
      <c r="A959" t="inlineStr">
        <is>
          <t>ZBIY12</t>
        </is>
      </c>
      <c r="B959" t="inlineStr"/>
      <c r="F959">
        <f>_xlfn.XLOOKUP(A959,'[1]4G Parameters'!$E:$E,'[1]4G Parameters'!$J:$J)</f>
        <v/>
      </c>
      <c r="G959">
        <f>_xlfn.XLOOKUP(A959,'[1]4G Parameters'!$E:$E,'[1]4G Parameters'!$I:$I)</f>
        <v/>
      </c>
      <c r="H959" t="inlineStr">
        <is>
          <t>ZBIY12Q</t>
        </is>
      </c>
      <c r="K959" t="inlineStr">
        <is>
          <t>S2</t>
        </is>
      </c>
      <c r="L959" t="inlineStr">
        <is>
          <t>2G</t>
        </is>
      </c>
      <c r="M959" t="inlineStr">
        <is>
          <t>1800</t>
        </is>
      </c>
      <c r="N959" t="inlineStr"/>
      <c r="O959" t="n">
        <v>40</v>
      </c>
      <c r="P959" t="n">
        <v>120</v>
      </c>
      <c r="Q959" t="n">
        <v>2</v>
      </c>
      <c r="Y959" t="inlineStr"/>
      <c r="AB959" t="inlineStr">
        <is>
          <t>R9264H M901821</t>
        </is>
      </c>
      <c r="AC959" t="inlineStr">
        <is>
          <t>A9652 S35*3+R9264H M901821*3+R9254E S8500*2+R9264 M1821N*1</t>
        </is>
      </c>
    </row>
    <row r="960" hidden="1" ht="15" customHeight="1" s="99">
      <c r="A960" t="inlineStr">
        <is>
          <t>ZBIY12</t>
        </is>
      </c>
      <c r="B960" t="inlineStr">
        <is>
          <t>ZBIY12_GUL00_Koholwila_Kd</t>
        </is>
      </c>
      <c r="F960" t="n">
        <v>6.9667</v>
      </c>
      <c r="G960" t="n">
        <v>79.9281</v>
      </c>
      <c r="H960" t="inlineStr">
        <is>
          <t>ZBIY12-M-L85-B1</t>
        </is>
      </c>
      <c r="K960" t="inlineStr">
        <is>
          <t>S2</t>
        </is>
      </c>
      <c r="L960" t="inlineStr">
        <is>
          <t>4G</t>
        </is>
      </c>
      <c r="M960" t="inlineStr">
        <is>
          <t>850</t>
        </is>
      </c>
      <c r="N960" t="inlineStr">
        <is>
          <t>AQU4518R9v06</t>
        </is>
      </c>
      <c r="O960" t="n">
        <v>40</v>
      </c>
      <c r="P960" t="n">
        <v>120</v>
      </c>
      <c r="Q960" t="n">
        <v>0</v>
      </c>
      <c r="Y960" t="inlineStr">
        <is>
          <t>2T2R</t>
        </is>
      </c>
      <c r="AB960" t="inlineStr">
        <is>
          <t>R9254E S8500</t>
        </is>
      </c>
      <c r="AC960" t="inlineStr">
        <is>
          <t>A9652 S35*3+R9264H M901821*3+R9254E S8500*2+R9264 M1821N*1</t>
        </is>
      </c>
    </row>
    <row r="961" hidden="1" ht="15" customHeight="1" s="99">
      <c r="A961" t="inlineStr">
        <is>
          <t>ZBIY12</t>
        </is>
      </c>
      <c r="B961" t="inlineStr">
        <is>
          <t>ZBIY12_GUL00_Koholwila_Kd</t>
        </is>
      </c>
      <c r="F961" t="n">
        <v>6.9667</v>
      </c>
      <c r="G961" t="n">
        <v>79.9281</v>
      </c>
      <c r="H961" t="inlineStr">
        <is>
          <t>ZBIY12-M-L21-B2</t>
        </is>
      </c>
      <c r="K961" t="inlineStr">
        <is>
          <t>S2</t>
        </is>
      </c>
      <c r="L961" t="inlineStr">
        <is>
          <t>4G</t>
        </is>
      </c>
      <c r="M961" t="inlineStr">
        <is>
          <t>2100</t>
        </is>
      </c>
      <c r="N961" t="inlineStr">
        <is>
          <t>AQU4518R9v06</t>
        </is>
      </c>
      <c r="O961" t="n">
        <v>40</v>
      </c>
      <c r="P961" t="n">
        <v>120</v>
      </c>
      <c r="Q961" t="n">
        <v>0</v>
      </c>
      <c r="Y961" t="inlineStr">
        <is>
          <t>2T2R</t>
        </is>
      </c>
      <c r="AB961" t="inlineStr">
        <is>
          <t>R9264H M901821</t>
        </is>
      </c>
      <c r="AC961" t="inlineStr">
        <is>
          <t>A9652 S35*3+R9264H M901821*3+R9254E S8500*2+R9264 M1821N*1</t>
        </is>
      </c>
    </row>
    <row r="962" hidden="1" ht="15" customHeight="1" s="99">
      <c r="A962" t="inlineStr">
        <is>
          <t>ZBIY12</t>
        </is>
      </c>
      <c r="B962" t="inlineStr">
        <is>
          <t>ZBIY12_GUL00_Koholwila_Kd</t>
        </is>
      </c>
      <c r="F962" t="n">
        <v>6.9667</v>
      </c>
      <c r="G962" t="n">
        <v>79.9281</v>
      </c>
      <c r="H962" t="inlineStr">
        <is>
          <t>ZBIY12H</t>
        </is>
      </c>
      <c r="K962" t="inlineStr">
        <is>
          <t>S2</t>
        </is>
      </c>
      <c r="L962" t="inlineStr">
        <is>
          <t>4G</t>
        </is>
      </c>
      <c r="M962" t="inlineStr">
        <is>
          <t>1800</t>
        </is>
      </c>
      <c r="N962" t="inlineStr">
        <is>
          <t>AQU4518R9v06</t>
        </is>
      </c>
      <c r="O962" t="n">
        <v>40</v>
      </c>
      <c r="P962" t="n">
        <v>120</v>
      </c>
      <c r="Q962" t="n">
        <v>0</v>
      </c>
      <c r="Y962" t="inlineStr">
        <is>
          <t>4T4R</t>
        </is>
      </c>
      <c r="AB962" t="inlineStr">
        <is>
          <t>R9264H M901821</t>
        </is>
      </c>
      <c r="AC962" t="inlineStr">
        <is>
          <t>A9652 S35*3+R9264H M901821*3+R9254E S8500*2+R9264 M1821N*1</t>
        </is>
      </c>
    </row>
    <row r="963" hidden="1" ht="15" customHeight="1" s="99">
      <c r="A963" t="inlineStr">
        <is>
          <t>ZBIY12</t>
        </is>
      </c>
      <c r="B963" t="inlineStr"/>
      <c r="F963">
        <f>_xlfn.XLOOKUP(A963,'[1]4G Parameters'!$E:$E,'[1]4G Parameters'!$J:$J)</f>
        <v/>
      </c>
      <c r="G963">
        <f>_xlfn.XLOOKUP(A963,'[1]4G Parameters'!$E:$E,'[1]4G Parameters'!$I:$I)</f>
        <v/>
      </c>
      <c r="H963" t="inlineStr">
        <is>
          <t>ZBIY12C</t>
        </is>
      </c>
      <c r="K963" t="inlineStr">
        <is>
          <t>S3</t>
        </is>
      </c>
      <c r="L963" t="inlineStr">
        <is>
          <t>2G</t>
        </is>
      </c>
      <c r="M963" t="inlineStr">
        <is>
          <t>900</t>
        </is>
      </c>
      <c r="N963" t="inlineStr"/>
      <c r="O963" t="n">
        <v>40</v>
      </c>
      <c r="P963" t="n">
        <v>240</v>
      </c>
      <c r="Q963" t="n">
        <v>2</v>
      </c>
      <c r="Y963" t="inlineStr"/>
      <c r="AB963" t="inlineStr">
        <is>
          <t>R9264H M901821</t>
        </is>
      </c>
      <c r="AC963" t="inlineStr">
        <is>
          <t>A9652 S35*3+R9264H M901821*3+R9254E S8500*2+R9264 M1821N*1</t>
        </is>
      </c>
    </row>
    <row r="964" hidden="1" ht="15" customHeight="1" s="99">
      <c r="A964" t="inlineStr">
        <is>
          <t>ZBIY12</t>
        </is>
      </c>
      <c r="B964" t="inlineStr"/>
      <c r="F964">
        <f>_xlfn.XLOOKUP(A964,'[1]4G Parameters'!$E:$E,'[1]4G Parameters'!$J:$J)</f>
        <v/>
      </c>
      <c r="G964">
        <f>_xlfn.XLOOKUP(A964,'[1]4G Parameters'!$E:$E,'[1]4G Parameters'!$I:$I)</f>
        <v/>
      </c>
      <c r="H964" t="inlineStr">
        <is>
          <t>ZBIY12R</t>
        </is>
      </c>
      <c r="K964" t="inlineStr">
        <is>
          <t>S3</t>
        </is>
      </c>
      <c r="L964" t="inlineStr">
        <is>
          <t>2G</t>
        </is>
      </c>
      <c r="M964" t="inlineStr">
        <is>
          <t>1800</t>
        </is>
      </c>
      <c r="N964" t="inlineStr"/>
      <c r="O964" t="n">
        <v>40</v>
      </c>
      <c r="P964" t="n">
        <v>240</v>
      </c>
      <c r="Q964" t="n">
        <v>2</v>
      </c>
      <c r="Y964" t="inlineStr"/>
      <c r="AB964" t="inlineStr">
        <is>
          <t>R9264H M901821</t>
        </is>
      </c>
      <c r="AC964" t="inlineStr">
        <is>
          <t>A9652 S35*3+R9264H M901821*3+R9254E S8500*2+R9264 M1821N*1</t>
        </is>
      </c>
    </row>
    <row r="965" hidden="1" ht="15" customHeight="1" s="99">
      <c r="A965" t="inlineStr">
        <is>
          <t>ZBIY12</t>
        </is>
      </c>
      <c r="B965" t="inlineStr">
        <is>
          <t>ZBIY12_GUL00_Koholwila_Kd</t>
        </is>
      </c>
      <c r="F965" t="n">
        <v>6.9667</v>
      </c>
      <c r="G965" t="n">
        <v>79.9281</v>
      </c>
      <c r="H965" t="inlineStr">
        <is>
          <t>ZBIY12-M-L85-C1</t>
        </is>
      </c>
      <c r="K965" t="inlineStr">
        <is>
          <t>S3</t>
        </is>
      </c>
      <c r="L965" t="inlineStr">
        <is>
          <t>4G</t>
        </is>
      </c>
      <c r="M965" t="inlineStr">
        <is>
          <t>850</t>
        </is>
      </c>
      <c r="N965" t="inlineStr">
        <is>
          <t>AQU4518R9v06</t>
        </is>
      </c>
      <c r="O965" t="n">
        <v>40</v>
      </c>
      <c r="P965" t="n">
        <v>240</v>
      </c>
      <c r="Q965" t="n">
        <v>0</v>
      </c>
      <c r="Y965" t="inlineStr">
        <is>
          <t>2T2R</t>
        </is>
      </c>
      <c r="AB965" t="inlineStr">
        <is>
          <t>R9254E S8500</t>
        </is>
      </c>
      <c r="AC965" t="inlineStr">
        <is>
          <t>A9652 S35*3+R9264H M901821*3+R9254E S8500*2+R9264 M1821N*1</t>
        </is>
      </c>
    </row>
    <row r="966" hidden="1" ht="15" customHeight="1" s="99">
      <c r="A966" t="inlineStr">
        <is>
          <t>ZBIY12</t>
        </is>
      </c>
      <c r="B966" t="inlineStr">
        <is>
          <t>ZBIY12_GUL00_Koholwila_Kd</t>
        </is>
      </c>
      <c r="F966" t="n">
        <v>6.9667</v>
      </c>
      <c r="G966" t="n">
        <v>79.9281</v>
      </c>
      <c r="H966" t="inlineStr">
        <is>
          <t>ZBIY12-M-L21-C2</t>
        </is>
      </c>
      <c r="K966" t="inlineStr">
        <is>
          <t>S3</t>
        </is>
      </c>
      <c r="L966" t="inlineStr">
        <is>
          <t>4G</t>
        </is>
      </c>
      <c r="M966" t="inlineStr">
        <is>
          <t>2100</t>
        </is>
      </c>
      <c r="N966" t="inlineStr">
        <is>
          <t>AQU4518R9v06</t>
        </is>
      </c>
      <c r="O966" t="n">
        <v>40</v>
      </c>
      <c r="P966" t="n">
        <v>240</v>
      </c>
      <c r="Q966" t="n">
        <v>0</v>
      </c>
      <c r="Y966" t="inlineStr">
        <is>
          <t>2T2R</t>
        </is>
      </c>
      <c r="AB966" t="inlineStr">
        <is>
          <t>R9264H M901821</t>
        </is>
      </c>
      <c r="AC966" t="inlineStr">
        <is>
          <t>A9652 S35*3+R9264H M901821*3+R9254E S8500*2+R9264 M1821N*1</t>
        </is>
      </c>
    </row>
    <row r="967" hidden="1" ht="15" customHeight="1" s="99">
      <c r="AB967" t="inlineStr">
        <is>
          <t>R9264 M1821N</t>
        </is>
      </c>
    </row>
    <row r="968" hidden="1" ht="15" customHeight="1" s="99">
      <c r="A968" t="inlineStr">
        <is>
          <t>ZBIY12</t>
        </is>
      </c>
      <c r="B968" t="inlineStr">
        <is>
          <t>ZBIY12_GUL00_Koholwila_Kd</t>
        </is>
      </c>
      <c r="F968" t="n">
        <v>6.9667</v>
      </c>
      <c r="G968" t="n">
        <v>79.9281</v>
      </c>
      <c r="H968" t="inlineStr">
        <is>
          <t>ZBIY12-M-L18-I1</t>
        </is>
      </c>
      <c r="K968" t="inlineStr">
        <is>
          <t>S3</t>
        </is>
      </c>
      <c r="L968" t="inlineStr">
        <is>
          <t>4G</t>
        </is>
      </c>
      <c r="M968" t="inlineStr">
        <is>
          <t>1800</t>
        </is>
      </c>
      <c r="N968" t="inlineStr">
        <is>
          <t>AMB4519R6v06</t>
        </is>
      </c>
      <c r="O968" t="n">
        <v>40</v>
      </c>
      <c r="P968" t="n">
        <v>240</v>
      </c>
      <c r="Q968" t="n">
        <v>0</v>
      </c>
      <c r="Y968" t="inlineStr">
        <is>
          <t>2T2R</t>
        </is>
      </c>
      <c r="AB968" t="inlineStr">
        <is>
          <t>R9264H M901821</t>
        </is>
      </c>
      <c r="AC968" t="inlineStr">
        <is>
          <t>A9652 S35*3+R9264H M901821*3+R9254E S8500*2+R9264 M1821N*1</t>
        </is>
      </c>
    </row>
    <row r="969" hidden="1" ht="15" customHeight="1" s="99">
      <c r="A969" t="inlineStr">
        <is>
          <t>ZBIY12</t>
        </is>
      </c>
      <c r="B969" t="inlineStr">
        <is>
          <t>ZBIY12_GUL00_Koholwila_Kd</t>
        </is>
      </c>
      <c r="F969" t="n">
        <v>6.9667</v>
      </c>
      <c r="G969" t="n">
        <v>79.9281</v>
      </c>
      <c r="H969" t="inlineStr">
        <is>
          <t>ZBIY12I</t>
        </is>
      </c>
      <c r="K969" t="inlineStr">
        <is>
          <t>S3</t>
        </is>
      </c>
      <c r="L969" t="inlineStr">
        <is>
          <t>4G</t>
        </is>
      </c>
      <c r="M969" t="inlineStr">
        <is>
          <t>1800</t>
        </is>
      </c>
      <c r="N969" t="inlineStr">
        <is>
          <t>AMB4519R6v06</t>
        </is>
      </c>
      <c r="O969" t="n">
        <v>40</v>
      </c>
      <c r="P969" t="n">
        <v>240</v>
      </c>
      <c r="Q969" t="n">
        <v>0</v>
      </c>
      <c r="Y969" t="inlineStr">
        <is>
          <t>2T2R</t>
        </is>
      </c>
      <c r="AB969" t="inlineStr">
        <is>
          <t>R9264 M1821N</t>
        </is>
      </c>
      <c r="AC969" t="inlineStr">
        <is>
          <t>A9652 S35*3+R9264H M901821*3+R9254E S8500*2+R9264 M1821N*1</t>
        </is>
      </c>
    </row>
    <row r="970" hidden="1" ht="15" customHeight="1" s="99">
      <c r="A970" t="inlineStr">
        <is>
          <t>ZBIY14</t>
        </is>
      </c>
      <c r="B970" t="inlineStr"/>
      <c r="F970">
        <f>_xlfn.XLOOKUP(A970,'[1]4G Parameters'!$E:$E,'[1]4G Parameters'!$J:$J)</f>
        <v/>
      </c>
      <c r="G970">
        <f>_xlfn.XLOOKUP(A970,'[1]4G Parameters'!$E:$E,'[1]4G Parameters'!$I:$I)</f>
        <v/>
      </c>
      <c r="H970" t="inlineStr">
        <is>
          <t>ZBIY14P</t>
        </is>
      </c>
      <c r="K970" t="inlineStr">
        <is>
          <t>S1</t>
        </is>
      </c>
      <c r="L970" t="inlineStr">
        <is>
          <t>2G</t>
        </is>
      </c>
      <c r="M970" t="inlineStr">
        <is>
          <t>1800</t>
        </is>
      </c>
      <c r="N970" t="inlineStr"/>
      <c r="O970" t="n">
        <v>18</v>
      </c>
      <c r="P970" t="n">
        <v>0</v>
      </c>
      <c r="Q970" t="n">
        <v>2</v>
      </c>
      <c r="Y970" t="inlineStr"/>
      <c r="AB970" t="inlineStr">
        <is>
          <t>R9264 M1821N</t>
        </is>
      </c>
      <c r="AC970" t="inlineStr">
        <is>
          <t>A9652 S35*3+R9254E S8500*2+R9264 M1821N*4</t>
        </is>
      </c>
    </row>
    <row r="971" hidden="1" ht="15" customHeight="1" s="99">
      <c r="A971" t="inlineStr">
        <is>
          <t>ZBIY14</t>
        </is>
      </c>
      <c r="B971" t="inlineStr">
        <is>
          <t>ZBIY14_GUL00_Thembiligasmulla_8_Kd</t>
        </is>
      </c>
      <c r="F971" t="n">
        <v>6.97856</v>
      </c>
      <c r="G971" t="n">
        <v>79.9391</v>
      </c>
      <c r="H971" t="inlineStr">
        <is>
          <t>ZBIY14-M-L85-A1</t>
        </is>
      </c>
      <c r="K971" t="inlineStr">
        <is>
          <t>S1</t>
        </is>
      </c>
      <c r="L971" t="inlineStr">
        <is>
          <t>4G</t>
        </is>
      </c>
      <c r="M971" t="inlineStr">
        <is>
          <t>850</t>
        </is>
      </c>
      <c r="N971" t="inlineStr">
        <is>
          <t>AQU4518R9v06</t>
        </is>
      </c>
      <c r="O971" t="n">
        <v>6</v>
      </c>
      <c r="P971" t="n">
        <v>0</v>
      </c>
      <c r="Q971" t="n">
        <v>0</v>
      </c>
      <c r="Y971" t="inlineStr">
        <is>
          <t>2T2R</t>
        </is>
      </c>
      <c r="AB971" t="inlineStr">
        <is>
          <t>R9254E S8500</t>
        </is>
      </c>
      <c r="AC971" t="inlineStr">
        <is>
          <t>A9652 S35*3+R9254E S8500*2+R9264 M1821N*4</t>
        </is>
      </c>
    </row>
    <row r="972" hidden="1" ht="15" customHeight="1" s="99">
      <c r="A972" t="inlineStr">
        <is>
          <t>ZBIY14</t>
        </is>
      </c>
      <c r="B972" t="inlineStr">
        <is>
          <t>ZBIY14_GUL00_Thembiligasmulla_8_Kd</t>
        </is>
      </c>
      <c r="F972" t="n">
        <v>6.97856</v>
      </c>
      <c r="G972" t="n">
        <v>79.9391</v>
      </c>
      <c r="H972" t="inlineStr">
        <is>
          <t>ZBIY14-M-L21-A2</t>
        </is>
      </c>
      <c r="K972" t="inlineStr">
        <is>
          <t>S1</t>
        </is>
      </c>
      <c r="L972" t="inlineStr">
        <is>
          <t>4G</t>
        </is>
      </c>
      <c r="M972" t="inlineStr">
        <is>
          <t>2100</t>
        </is>
      </c>
      <c r="N972" t="inlineStr">
        <is>
          <t>AQU4518R9v06</t>
        </is>
      </c>
      <c r="O972" t="n">
        <v>6</v>
      </c>
      <c r="P972" t="n">
        <v>0</v>
      </c>
      <c r="Q972" t="n">
        <v>0</v>
      </c>
      <c r="Y972" t="inlineStr">
        <is>
          <t>2T2R</t>
        </is>
      </c>
      <c r="AB972" t="inlineStr">
        <is>
          <t>R9264 M1821N</t>
        </is>
      </c>
      <c r="AC972" t="inlineStr">
        <is>
          <t>A9652 S35*3+R9254E S8500*2+R9264 M1821N*4</t>
        </is>
      </c>
    </row>
    <row r="973" hidden="1" ht="15" customHeight="1" s="99">
      <c r="A973" t="inlineStr">
        <is>
          <t>ZBIY14</t>
        </is>
      </c>
      <c r="B973" t="inlineStr">
        <is>
          <t>ZBIY14_GUL00_Thembiligasmulla_8_Kd</t>
        </is>
      </c>
      <c r="F973" t="n">
        <v>6.97856</v>
      </c>
      <c r="G973" t="n">
        <v>79.9391</v>
      </c>
      <c r="H973" t="inlineStr">
        <is>
          <t>ZBIY14G</t>
        </is>
      </c>
      <c r="K973" t="inlineStr">
        <is>
          <t>S1</t>
        </is>
      </c>
      <c r="L973" t="inlineStr">
        <is>
          <t>4G</t>
        </is>
      </c>
      <c r="M973" t="inlineStr">
        <is>
          <t>1800</t>
        </is>
      </c>
      <c r="N973" t="inlineStr">
        <is>
          <t>AQU4518R9v06</t>
        </is>
      </c>
      <c r="O973" t="n">
        <v>6</v>
      </c>
      <c r="P973" t="n">
        <v>0</v>
      </c>
      <c r="Q973" t="n">
        <v>0</v>
      </c>
      <c r="Y973" t="inlineStr">
        <is>
          <t>4T4R</t>
        </is>
      </c>
      <c r="AB973" t="inlineStr">
        <is>
          <t>R9264 M1821N</t>
        </is>
      </c>
      <c r="AC973" t="inlineStr">
        <is>
          <t>A9652 S35*3+R9254E S8500*2+R9264 M1821N*4</t>
        </is>
      </c>
    </row>
    <row r="974" hidden="1" ht="15" customHeight="1" s="99">
      <c r="A974" t="inlineStr">
        <is>
          <t>ZBIY14</t>
        </is>
      </c>
      <c r="B974" t="inlineStr"/>
      <c r="F974">
        <f>_xlfn.XLOOKUP(A974,'[1]4G Parameters'!$E:$E,'[1]4G Parameters'!$J:$J)</f>
        <v/>
      </c>
      <c r="G974">
        <f>_xlfn.XLOOKUP(A974,'[1]4G Parameters'!$E:$E,'[1]4G Parameters'!$I:$I)</f>
        <v/>
      </c>
      <c r="H974" t="inlineStr">
        <is>
          <t>ZBIY14Q</t>
        </is>
      </c>
      <c r="K974" t="inlineStr">
        <is>
          <t>S2</t>
        </is>
      </c>
      <c r="L974" t="inlineStr">
        <is>
          <t>2G</t>
        </is>
      </c>
      <c r="M974" t="inlineStr">
        <is>
          <t>1800</t>
        </is>
      </c>
      <c r="N974" t="inlineStr"/>
      <c r="O974" t="n">
        <v>18</v>
      </c>
      <c r="P974" t="n">
        <v>120</v>
      </c>
      <c r="Q974" t="n">
        <v>2</v>
      </c>
      <c r="Y974" t="inlineStr"/>
      <c r="AB974" t="inlineStr">
        <is>
          <t>R9264 M1821N</t>
        </is>
      </c>
      <c r="AC974" t="inlineStr">
        <is>
          <t>A9652 S35*3+R9254E S8500*2+R9264 M1821N*4</t>
        </is>
      </c>
    </row>
    <row r="975" hidden="1" ht="15" customHeight="1" s="99">
      <c r="A975" t="inlineStr">
        <is>
          <t>ZBIY14</t>
        </is>
      </c>
      <c r="B975" t="inlineStr">
        <is>
          <t>ZBIY14_GUL00_Thembiligasmulla_8_Kd</t>
        </is>
      </c>
      <c r="F975" t="n">
        <v>6.97856</v>
      </c>
      <c r="G975" t="n">
        <v>79.9391</v>
      </c>
      <c r="H975" t="inlineStr">
        <is>
          <t>ZBIY14-M-L85-B1</t>
        </is>
      </c>
      <c r="K975" t="inlineStr">
        <is>
          <t>S2</t>
        </is>
      </c>
      <c r="L975" t="inlineStr">
        <is>
          <t>4G</t>
        </is>
      </c>
      <c r="M975" t="inlineStr">
        <is>
          <t>850</t>
        </is>
      </c>
      <c r="N975" t="inlineStr">
        <is>
          <t>AQU4518R9v06</t>
        </is>
      </c>
      <c r="O975" t="n">
        <v>6</v>
      </c>
      <c r="P975" t="n">
        <v>120</v>
      </c>
      <c r="Q975" t="n">
        <v>0</v>
      </c>
      <c r="Y975" t="inlineStr">
        <is>
          <t>2T2R</t>
        </is>
      </c>
      <c r="AB975" t="inlineStr">
        <is>
          <t>R9254E S8500</t>
        </is>
      </c>
      <c r="AC975" t="inlineStr">
        <is>
          <t>A9652 S35*3+R9254E S8500*2+R9264 M1821N*4</t>
        </is>
      </c>
    </row>
    <row r="976" hidden="1" ht="15" customHeight="1" s="99">
      <c r="A976" t="inlineStr">
        <is>
          <t>ZBIY14</t>
        </is>
      </c>
      <c r="B976" t="inlineStr">
        <is>
          <t>ZBIY14_GUL00_Thembiligasmulla_8_Kd</t>
        </is>
      </c>
      <c r="F976" t="n">
        <v>6.97856</v>
      </c>
      <c r="G976" t="n">
        <v>79.9391</v>
      </c>
      <c r="H976" t="inlineStr">
        <is>
          <t>ZBIY14H</t>
        </is>
      </c>
      <c r="K976" t="inlineStr">
        <is>
          <t>S2</t>
        </is>
      </c>
      <c r="L976" t="inlineStr">
        <is>
          <t>4G</t>
        </is>
      </c>
      <c r="M976" t="inlineStr">
        <is>
          <t>1800</t>
        </is>
      </c>
      <c r="N976" t="inlineStr">
        <is>
          <t>AQU4518R9v06</t>
        </is>
      </c>
      <c r="O976" t="n">
        <v>6</v>
      </c>
      <c r="P976" t="n">
        <v>120</v>
      </c>
      <c r="Q976" t="n">
        <v>0</v>
      </c>
      <c r="Y976" t="inlineStr">
        <is>
          <t>4T4R</t>
        </is>
      </c>
      <c r="AB976" t="inlineStr">
        <is>
          <t>R9264 M1821N</t>
        </is>
      </c>
      <c r="AC976" t="inlineStr">
        <is>
          <t>A9652 S35*3+R9254E S8500*2+R9264 M1821N*4</t>
        </is>
      </c>
    </row>
    <row r="977" hidden="1" ht="15" customHeight="1" s="99">
      <c r="A977" t="inlineStr">
        <is>
          <t>ZBIY14</t>
        </is>
      </c>
      <c r="B977" t="inlineStr"/>
      <c r="F977">
        <f>_xlfn.XLOOKUP(A977,'[1]4G Parameters'!$E:$E,'[1]4G Parameters'!$J:$J)</f>
        <v/>
      </c>
      <c r="G977">
        <f>_xlfn.XLOOKUP(A977,'[1]4G Parameters'!$E:$E,'[1]4G Parameters'!$I:$I)</f>
        <v/>
      </c>
      <c r="H977" t="inlineStr">
        <is>
          <t>ZBIY14R</t>
        </is>
      </c>
      <c r="K977" t="inlineStr">
        <is>
          <t>S3</t>
        </is>
      </c>
      <c r="L977" t="inlineStr">
        <is>
          <t>2G</t>
        </is>
      </c>
      <c r="M977" t="inlineStr">
        <is>
          <t>1800</t>
        </is>
      </c>
      <c r="N977" t="inlineStr"/>
      <c r="O977" t="n">
        <v>18</v>
      </c>
      <c r="P977" t="n">
        <v>240</v>
      </c>
      <c r="Q977" t="n">
        <v>2</v>
      </c>
      <c r="Y977" t="inlineStr"/>
      <c r="AB977" t="inlineStr">
        <is>
          <t>R9264 M1821N</t>
        </is>
      </c>
      <c r="AC977" t="inlineStr">
        <is>
          <t>A9652 S35*3+R9254E S8500*2+R9264 M1821N*4</t>
        </is>
      </c>
    </row>
    <row r="978" hidden="1" ht="15" customHeight="1" s="99">
      <c r="A978" t="inlineStr">
        <is>
          <t>ZBIY14</t>
        </is>
      </c>
      <c r="B978" t="inlineStr">
        <is>
          <t>ZBIY14_GUL00_Thembiligasmulla_8_Kd</t>
        </is>
      </c>
      <c r="F978" t="n">
        <v>6.97856</v>
      </c>
      <c r="G978" t="n">
        <v>79.9391</v>
      </c>
      <c r="H978" t="inlineStr">
        <is>
          <t>ZBIY14-M-L85-C1</t>
        </is>
      </c>
      <c r="K978" t="inlineStr">
        <is>
          <t>S3</t>
        </is>
      </c>
      <c r="L978" t="inlineStr">
        <is>
          <t>4G</t>
        </is>
      </c>
      <c r="M978" t="inlineStr">
        <is>
          <t>850</t>
        </is>
      </c>
      <c r="N978" t="inlineStr">
        <is>
          <t>AQU4518R9v06</t>
        </is>
      </c>
      <c r="O978" t="n">
        <v>6</v>
      </c>
      <c r="P978" t="n">
        <v>240</v>
      </c>
      <c r="Q978" t="n">
        <v>0</v>
      </c>
      <c r="Y978" t="inlineStr">
        <is>
          <t>2T2R</t>
        </is>
      </c>
      <c r="AB978" t="inlineStr">
        <is>
          <t>R9254E S8500</t>
        </is>
      </c>
      <c r="AC978" t="inlineStr">
        <is>
          <t>A9652 S35*3+R9254E S8500*2+R9264 M1821N*4</t>
        </is>
      </c>
    </row>
    <row r="979" hidden="1" ht="15" customHeight="1" s="99">
      <c r="A979" t="inlineStr">
        <is>
          <t>ZBIY14</t>
        </is>
      </c>
      <c r="B979" t="inlineStr">
        <is>
          <t>ZBIY14_GUL00_Thembiligasmulla_8_Kd</t>
        </is>
      </c>
      <c r="F979" t="n">
        <v>6.97856</v>
      </c>
      <c r="G979" t="n">
        <v>79.9391</v>
      </c>
      <c r="H979" t="inlineStr">
        <is>
          <t>ZBIY14I</t>
        </is>
      </c>
      <c r="K979" t="inlineStr">
        <is>
          <t>S3</t>
        </is>
      </c>
      <c r="L979" t="inlineStr">
        <is>
          <t>4G</t>
        </is>
      </c>
      <c r="M979" t="inlineStr">
        <is>
          <t>1800</t>
        </is>
      </c>
      <c r="N979" t="inlineStr">
        <is>
          <t>AQU4518R9v06</t>
        </is>
      </c>
      <c r="O979" t="n">
        <v>6</v>
      </c>
      <c r="P979" t="n">
        <v>240</v>
      </c>
      <c r="Q979" t="n">
        <v>0</v>
      </c>
      <c r="Y979" t="inlineStr">
        <is>
          <t>4T4R</t>
        </is>
      </c>
      <c r="AB979" t="inlineStr">
        <is>
          <t>R9264 M1821N</t>
        </is>
      </c>
      <c r="AC979" t="inlineStr">
        <is>
          <t>A9652 S35*3+R9254E S8500*2+R9264 M1821N*4</t>
        </is>
      </c>
    </row>
    <row r="980" hidden="1" ht="15" customHeight="1" s="99">
      <c r="A980" t="inlineStr">
        <is>
          <t>ZBIY14</t>
        </is>
      </c>
      <c r="B980" t="inlineStr"/>
      <c r="F980">
        <f>_xlfn.XLOOKUP(A980,'[1]4G Parameters'!$E:$E,'[1]4G Parameters'!$J:$J)</f>
        <v/>
      </c>
      <c r="G980">
        <f>_xlfn.XLOOKUP(A980,'[1]4G Parameters'!$E:$E,'[1]4G Parameters'!$I:$I)</f>
        <v/>
      </c>
      <c r="H980" t="inlineStr">
        <is>
          <t>ZBIY14S</t>
        </is>
      </c>
      <c r="K980" t="inlineStr">
        <is>
          <t>S4</t>
        </is>
      </c>
      <c r="L980" t="inlineStr">
        <is>
          <t>2G</t>
        </is>
      </c>
      <c r="M980" t="inlineStr">
        <is>
          <t>1800</t>
        </is>
      </c>
      <c r="N980" t="inlineStr"/>
      <c r="O980" t="n">
        <v>18</v>
      </c>
      <c r="P980" t="n">
        <v>280</v>
      </c>
      <c r="Q980" t="n">
        <v>2</v>
      </c>
      <c r="Y980" t="inlineStr"/>
      <c r="AB980" t="inlineStr">
        <is>
          <t>R9264 M1821N</t>
        </is>
      </c>
      <c r="AC980" t="inlineStr">
        <is>
          <t>A9652 S35*3+R9254E S8500*2+R9264 M1821N*4</t>
        </is>
      </c>
    </row>
    <row r="981" hidden="1" ht="15" customHeight="1" s="99">
      <c r="A981" t="inlineStr">
        <is>
          <t>ZBIY14</t>
        </is>
      </c>
      <c r="B981" t="inlineStr">
        <is>
          <t>ZBIY14_GUL00_Thembiligasmulla_8_Kd</t>
        </is>
      </c>
      <c r="F981" t="n">
        <v>6.97856</v>
      </c>
      <c r="G981" t="n">
        <v>79.9391</v>
      </c>
      <c r="H981" t="inlineStr">
        <is>
          <t>ZBIY14-M-L21-D2</t>
        </is>
      </c>
      <c r="K981" t="inlineStr">
        <is>
          <t>S4</t>
        </is>
      </c>
      <c r="L981" t="inlineStr">
        <is>
          <t>4G</t>
        </is>
      </c>
      <c r="M981" t="inlineStr">
        <is>
          <t>2100</t>
        </is>
      </c>
      <c r="N981" t="inlineStr">
        <is>
          <t>AQU4518R9v06</t>
        </is>
      </c>
      <c r="O981" t="n">
        <v>6</v>
      </c>
      <c r="P981" t="n">
        <v>280</v>
      </c>
      <c r="Q981" t="n">
        <v>0</v>
      </c>
      <c r="Y981" t="inlineStr">
        <is>
          <t>2T2R</t>
        </is>
      </c>
      <c r="AB981" t="inlineStr">
        <is>
          <t>R9264 M1821N</t>
        </is>
      </c>
      <c r="AC981" t="inlineStr">
        <is>
          <t>A9652 S35*3+R9254E S8500*2+R9264 M1821N*4</t>
        </is>
      </c>
    </row>
    <row r="982" hidden="1" ht="15" customHeight="1" s="99">
      <c r="A982" t="inlineStr">
        <is>
          <t>ZBIY14</t>
        </is>
      </c>
      <c r="B982" t="inlineStr">
        <is>
          <t>ZBIY14_GUL00_Thembiligasmulla_8_Kd</t>
        </is>
      </c>
      <c r="F982" t="n">
        <v>6.97856</v>
      </c>
      <c r="G982" t="n">
        <v>79.9391</v>
      </c>
      <c r="H982" t="inlineStr">
        <is>
          <t>ZBIY14F</t>
        </is>
      </c>
      <c r="K982" t="inlineStr">
        <is>
          <t>S4</t>
        </is>
      </c>
      <c r="L982" t="inlineStr">
        <is>
          <t>4G</t>
        </is>
      </c>
      <c r="M982" t="inlineStr">
        <is>
          <t>1800</t>
        </is>
      </c>
      <c r="N982" t="inlineStr">
        <is>
          <t>AQU4518R9v06</t>
        </is>
      </c>
      <c r="O982" t="n">
        <v>6</v>
      </c>
      <c r="P982" t="n">
        <v>280</v>
      </c>
      <c r="Q982" t="n">
        <v>0</v>
      </c>
      <c r="Y982" t="inlineStr">
        <is>
          <t>2T2R</t>
        </is>
      </c>
      <c r="AB982" t="inlineStr">
        <is>
          <t>R9264 M1821N</t>
        </is>
      </c>
      <c r="AC982" t="inlineStr">
        <is>
          <t>A9652 S35*3+R9254E S8500*2+R9264 M1821N*4</t>
        </is>
      </c>
    </row>
    <row r="983" hidden="1" ht="15" customHeight="1" s="99">
      <c r="A983" t="inlineStr">
        <is>
          <t>ZBIY31</t>
        </is>
      </c>
      <c r="B983" t="inlineStr"/>
      <c r="D983" t="inlineStr">
        <is>
          <t>无900</t>
        </is>
      </c>
      <c r="F983">
        <f>_xlfn.XLOOKUP(A983,'[1]4G Parameters'!$E:$E,'[1]4G Parameters'!$J:$J)</f>
        <v/>
      </c>
      <c r="G983">
        <f>_xlfn.XLOOKUP(A983,'[1]4G Parameters'!$E:$E,'[1]4G Parameters'!$I:$I)</f>
        <v/>
      </c>
      <c r="H983" t="inlineStr">
        <is>
          <t>ZBIY31P</t>
        </is>
      </c>
      <c r="K983" t="inlineStr">
        <is>
          <t>S1</t>
        </is>
      </c>
      <c r="L983" t="inlineStr">
        <is>
          <t>2G</t>
        </is>
      </c>
      <c r="M983" t="inlineStr">
        <is>
          <t>1800</t>
        </is>
      </c>
      <c r="N983" t="inlineStr"/>
      <c r="O983" t="n">
        <v>0</v>
      </c>
      <c r="P983" t="n">
        <v>0</v>
      </c>
      <c r="Q983" t="n">
        <v>2</v>
      </c>
      <c r="Y983" t="inlineStr"/>
      <c r="AB983" t="inlineStr">
        <is>
          <t>R9264H M901821</t>
        </is>
      </c>
      <c r="AC983" t="inlineStr">
        <is>
          <t>A9652 S35*3+R9264H M901821*3</t>
        </is>
      </c>
    </row>
    <row r="984" hidden="1" ht="15" customHeight="1" s="99">
      <c r="A984" t="inlineStr">
        <is>
          <t>ZBIY31</t>
        </is>
      </c>
      <c r="B984" t="inlineStr">
        <is>
          <t>ZBIY31_G0L00_Pamunuwila_8_Kd</t>
        </is>
      </c>
      <c r="D984" t="inlineStr">
        <is>
          <t>无900</t>
        </is>
      </c>
      <c r="F984" t="n">
        <v>6.96826</v>
      </c>
      <c r="G984" t="n">
        <v>79.9357</v>
      </c>
      <c r="H984" t="inlineStr">
        <is>
          <t>ZBIY31G</t>
        </is>
      </c>
      <c r="K984" t="inlineStr">
        <is>
          <t>S1</t>
        </is>
      </c>
      <c r="L984" t="inlineStr">
        <is>
          <t>4G</t>
        </is>
      </c>
      <c r="M984" t="inlineStr">
        <is>
          <t>1800</t>
        </is>
      </c>
      <c r="N984" t="inlineStr"/>
      <c r="O984" t="n">
        <v>40</v>
      </c>
      <c r="P984" t="n">
        <v>0</v>
      </c>
      <c r="Q984" t="n">
        <v>0</v>
      </c>
      <c r="Y984" t="inlineStr">
        <is>
          <t>2T2R</t>
        </is>
      </c>
      <c r="AB984" t="inlineStr">
        <is>
          <t>R9264H M901821</t>
        </is>
      </c>
      <c r="AC984" t="inlineStr">
        <is>
          <t>A9652 S35*3+R9264H M901821*3</t>
        </is>
      </c>
    </row>
    <row r="985" hidden="1" ht="15" customHeight="1" s="99">
      <c r="A985" t="inlineStr">
        <is>
          <t>ZBIY31</t>
        </is>
      </c>
      <c r="B985" t="inlineStr">
        <is>
          <t>ZBIY31_G0L00_Pamunuwila_8_Kd</t>
        </is>
      </c>
      <c r="D985" t="inlineStr">
        <is>
          <t>无900</t>
        </is>
      </c>
      <c r="F985" t="n">
        <v>6.96826</v>
      </c>
      <c r="G985" t="n">
        <v>79.9357</v>
      </c>
      <c r="H985" t="inlineStr">
        <is>
          <t>ZBIY31-M-L18-G1</t>
        </is>
      </c>
      <c r="K985" t="inlineStr">
        <is>
          <t>S1</t>
        </is>
      </c>
      <c r="L985" t="inlineStr">
        <is>
          <t>4G</t>
        </is>
      </c>
      <c r="M985" t="inlineStr">
        <is>
          <t>1800</t>
        </is>
      </c>
      <c r="N985" t="inlineStr"/>
      <c r="O985" t="n">
        <v>40</v>
      </c>
      <c r="P985" t="n">
        <v>0</v>
      </c>
      <c r="Q985" t="n">
        <v>0</v>
      </c>
      <c r="Y985" t="inlineStr">
        <is>
          <t>2T2R</t>
        </is>
      </c>
      <c r="AB985" t="inlineStr">
        <is>
          <t>R9264H M901821</t>
        </is>
      </c>
      <c r="AC985" t="inlineStr">
        <is>
          <t>A9652 S35*3+R9264H M901821*3</t>
        </is>
      </c>
    </row>
    <row r="986" hidden="1" ht="15" customHeight="1" s="99">
      <c r="A986" t="inlineStr">
        <is>
          <t>ZBIY31</t>
        </is>
      </c>
      <c r="B986" t="inlineStr"/>
      <c r="D986" t="inlineStr">
        <is>
          <t>无900</t>
        </is>
      </c>
      <c r="F986">
        <f>_xlfn.XLOOKUP(A986,'[1]4G Parameters'!$E:$E,'[1]4G Parameters'!$J:$J)</f>
        <v/>
      </c>
      <c r="G986">
        <f>_xlfn.XLOOKUP(A986,'[1]4G Parameters'!$E:$E,'[1]4G Parameters'!$I:$I)</f>
        <v/>
      </c>
      <c r="H986" t="inlineStr">
        <is>
          <t>ZBIY31Q</t>
        </is>
      </c>
      <c r="K986" t="inlineStr">
        <is>
          <t>S2</t>
        </is>
      </c>
      <c r="L986" t="inlineStr">
        <is>
          <t>2G</t>
        </is>
      </c>
      <c r="M986" t="inlineStr">
        <is>
          <t>1800</t>
        </is>
      </c>
      <c r="N986" t="inlineStr"/>
      <c r="O986" t="n">
        <v>0</v>
      </c>
      <c r="P986" t="n">
        <v>120</v>
      </c>
      <c r="Q986" t="n">
        <v>2</v>
      </c>
      <c r="Y986" t="inlineStr"/>
      <c r="AB986" t="inlineStr">
        <is>
          <t>R9264H M901821</t>
        </is>
      </c>
      <c r="AC986" t="inlineStr">
        <is>
          <t>A9652 S35*3+R9264H M901821*3</t>
        </is>
      </c>
    </row>
    <row r="987" hidden="1" ht="15" customHeight="1" s="99">
      <c r="A987" t="inlineStr">
        <is>
          <t>ZBIY31</t>
        </is>
      </c>
      <c r="B987" t="inlineStr">
        <is>
          <t>ZBIY31_G0L00_Pamunuwila_8_Kd</t>
        </is>
      </c>
      <c r="D987" t="inlineStr">
        <is>
          <t>无900</t>
        </is>
      </c>
      <c r="F987" t="n">
        <v>6.96826</v>
      </c>
      <c r="G987" t="n">
        <v>79.9357</v>
      </c>
      <c r="H987" t="inlineStr">
        <is>
          <t>ZBIY31H</t>
        </is>
      </c>
      <c r="K987" t="inlineStr">
        <is>
          <t>S2</t>
        </is>
      </c>
      <c r="L987" t="inlineStr">
        <is>
          <t>4G</t>
        </is>
      </c>
      <c r="M987" t="inlineStr">
        <is>
          <t>1800</t>
        </is>
      </c>
      <c r="N987" t="inlineStr"/>
      <c r="O987" t="n">
        <v>40</v>
      </c>
      <c r="P987" t="n">
        <v>120</v>
      </c>
      <c r="Q987" t="n">
        <v>0</v>
      </c>
      <c r="Y987" t="inlineStr">
        <is>
          <t>2T2R</t>
        </is>
      </c>
      <c r="AB987" t="inlineStr">
        <is>
          <t>R9264H M901821</t>
        </is>
      </c>
      <c r="AC987" t="inlineStr">
        <is>
          <t>A9652 S35*3+R9264H M901821*3</t>
        </is>
      </c>
    </row>
    <row r="988" hidden="1" ht="15" customHeight="1" s="99">
      <c r="A988" t="inlineStr">
        <is>
          <t>ZBIY31</t>
        </is>
      </c>
      <c r="B988" t="inlineStr"/>
      <c r="D988" t="inlineStr">
        <is>
          <t>无900</t>
        </is>
      </c>
      <c r="F988">
        <f>_xlfn.XLOOKUP(A988,'[1]4G Parameters'!$E:$E,'[1]4G Parameters'!$J:$J)</f>
        <v/>
      </c>
      <c r="G988">
        <f>_xlfn.XLOOKUP(A988,'[1]4G Parameters'!$E:$E,'[1]4G Parameters'!$I:$I)</f>
        <v/>
      </c>
      <c r="H988" t="inlineStr">
        <is>
          <t>ZBIY31R</t>
        </is>
      </c>
      <c r="K988" t="inlineStr">
        <is>
          <t>S3</t>
        </is>
      </c>
      <c r="L988" t="inlineStr">
        <is>
          <t>2G</t>
        </is>
      </c>
      <c r="M988" t="inlineStr">
        <is>
          <t>1800</t>
        </is>
      </c>
      <c r="N988" t="inlineStr"/>
      <c r="O988" t="n">
        <v>0</v>
      </c>
      <c r="P988" t="n">
        <v>240</v>
      </c>
      <c r="Q988" t="n">
        <v>2</v>
      </c>
      <c r="Y988" t="inlineStr"/>
      <c r="AB988" t="inlineStr">
        <is>
          <t>R9264H M901821</t>
        </is>
      </c>
      <c r="AC988" t="inlineStr">
        <is>
          <t>A9652 S35*3+R9264H M901821*3</t>
        </is>
      </c>
    </row>
    <row r="989" hidden="1" ht="15" customHeight="1" s="99">
      <c r="A989" t="inlineStr">
        <is>
          <t>ZBIY31</t>
        </is>
      </c>
      <c r="B989" t="inlineStr">
        <is>
          <t>ZBIY31_G0L00_Pamunuwila_8_Kd</t>
        </is>
      </c>
      <c r="D989" t="inlineStr">
        <is>
          <t>无900</t>
        </is>
      </c>
      <c r="F989" t="n">
        <v>6.96826</v>
      </c>
      <c r="G989" t="n">
        <v>79.9357</v>
      </c>
      <c r="H989" t="inlineStr">
        <is>
          <t>ZBIY31I</t>
        </is>
      </c>
      <c r="K989" t="inlineStr">
        <is>
          <t>S3</t>
        </is>
      </c>
      <c r="L989" t="inlineStr">
        <is>
          <t>4G</t>
        </is>
      </c>
      <c r="M989" t="inlineStr">
        <is>
          <t>1800</t>
        </is>
      </c>
      <c r="N989" t="inlineStr"/>
      <c r="O989" t="n">
        <v>40</v>
      </c>
      <c r="P989" t="n">
        <v>240</v>
      </c>
      <c r="Q989" t="n">
        <v>0</v>
      </c>
      <c r="Y989" t="inlineStr">
        <is>
          <t>2T2R</t>
        </is>
      </c>
      <c r="AB989" t="inlineStr">
        <is>
          <t>R9264H M901821</t>
        </is>
      </c>
      <c r="AC989" t="inlineStr">
        <is>
          <t>A9652 S35*3+R9264H M901821*3</t>
        </is>
      </c>
    </row>
    <row r="990" hidden="1" ht="15" customHeight="1" s="99">
      <c r="A990" t="inlineStr">
        <is>
          <t>ZBIY35</t>
        </is>
      </c>
      <c r="B990" t="inlineStr"/>
      <c r="F990">
        <f>_xlfn.XLOOKUP(A990,'[1]4G Parameters'!$E:$E,'[1]4G Parameters'!$J:$J)</f>
        <v/>
      </c>
      <c r="G990">
        <f>_xlfn.XLOOKUP(A990,'[1]4G Parameters'!$E:$E,'[1]4G Parameters'!$I:$I)</f>
        <v/>
      </c>
      <c r="H990" t="inlineStr">
        <is>
          <t>ZBIY35P</t>
        </is>
      </c>
      <c r="K990" t="inlineStr">
        <is>
          <t>S1</t>
        </is>
      </c>
      <c r="L990" t="inlineStr">
        <is>
          <t>2G</t>
        </is>
      </c>
      <c r="M990" t="inlineStr">
        <is>
          <t>1800</t>
        </is>
      </c>
      <c r="N990" t="inlineStr"/>
      <c r="O990" t="n">
        <v>0</v>
      </c>
      <c r="P990" t="n">
        <v>0</v>
      </c>
      <c r="Q990" t="n">
        <v>2</v>
      </c>
      <c r="Y990" t="inlineStr"/>
      <c r="AB990" t="inlineStr">
        <is>
          <t>R9254E S1800</t>
        </is>
      </c>
      <c r="AC990" t="inlineStr">
        <is>
          <t>A9652 S35*3+R9254E S1800*3</t>
        </is>
      </c>
    </row>
    <row r="991" hidden="1" ht="15" customHeight="1" s="99">
      <c r="A991" t="inlineStr">
        <is>
          <t>ZBIY35</t>
        </is>
      </c>
      <c r="B991" t="inlineStr">
        <is>
          <t>ZBIY35_G0L00_Makola_South_2_IP_Kd</t>
        </is>
      </c>
      <c r="F991" t="n">
        <v>6.983205</v>
      </c>
      <c r="G991" t="n">
        <v>79.96820099999999</v>
      </c>
      <c r="H991" t="inlineStr">
        <is>
          <t>ZBIY35G</t>
        </is>
      </c>
      <c r="K991" t="inlineStr">
        <is>
          <t>S1</t>
        </is>
      </c>
      <c r="L991" t="inlineStr">
        <is>
          <t>4G</t>
        </is>
      </c>
      <c r="M991" t="inlineStr">
        <is>
          <t>1800</t>
        </is>
      </c>
      <c r="N991" t="inlineStr"/>
      <c r="O991" t="n">
        <v>40</v>
      </c>
      <c r="P991" t="n">
        <v>0</v>
      </c>
      <c r="Q991" t="n">
        <v>0</v>
      </c>
      <c r="Y991" t="inlineStr">
        <is>
          <t>2T2R</t>
        </is>
      </c>
      <c r="AB991" t="inlineStr">
        <is>
          <t>R9254E S1800</t>
        </is>
      </c>
      <c r="AC991" t="inlineStr">
        <is>
          <t>A9652 S35*3+R9254E S1800*3</t>
        </is>
      </c>
    </row>
    <row r="992" hidden="1" ht="15" customHeight="1" s="99">
      <c r="A992" t="inlineStr">
        <is>
          <t>ZBIY35</t>
        </is>
      </c>
      <c r="B992" t="inlineStr"/>
      <c r="F992">
        <f>_xlfn.XLOOKUP(A992,'[1]4G Parameters'!$E:$E,'[1]4G Parameters'!$J:$J)</f>
        <v/>
      </c>
      <c r="G992">
        <f>_xlfn.XLOOKUP(A992,'[1]4G Parameters'!$E:$E,'[1]4G Parameters'!$I:$I)</f>
        <v/>
      </c>
      <c r="H992" t="inlineStr">
        <is>
          <t>ZBIY35Q</t>
        </is>
      </c>
      <c r="K992" t="inlineStr">
        <is>
          <t>S2</t>
        </is>
      </c>
      <c r="L992" t="inlineStr">
        <is>
          <t>2G</t>
        </is>
      </c>
      <c r="M992" t="inlineStr">
        <is>
          <t>1800</t>
        </is>
      </c>
      <c r="N992" t="inlineStr"/>
      <c r="O992" t="n">
        <v>0</v>
      </c>
      <c r="P992" t="n">
        <v>120</v>
      </c>
      <c r="Q992" t="n">
        <v>2</v>
      </c>
      <c r="Y992" t="inlineStr"/>
      <c r="AB992" t="inlineStr">
        <is>
          <t>R9254E S1800</t>
        </is>
      </c>
      <c r="AC992" t="inlineStr">
        <is>
          <t>A9652 S35*3+R9254E S1800*3</t>
        </is>
      </c>
    </row>
    <row r="993" hidden="1" ht="15" customHeight="1" s="99">
      <c r="A993" t="inlineStr">
        <is>
          <t>ZBIY35</t>
        </is>
      </c>
      <c r="B993" t="inlineStr">
        <is>
          <t>ZBIY35_G0L00_Makola_South_2_IP_Kd</t>
        </is>
      </c>
      <c r="F993" t="n">
        <v>6.983205</v>
      </c>
      <c r="G993" t="n">
        <v>79.96820099999999</v>
      </c>
      <c r="H993" t="inlineStr">
        <is>
          <t>ZBIY35H</t>
        </is>
      </c>
      <c r="K993" t="inlineStr">
        <is>
          <t>S2</t>
        </is>
      </c>
      <c r="L993" t="inlineStr">
        <is>
          <t>4G</t>
        </is>
      </c>
      <c r="M993" t="inlineStr">
        <is>
          <t>1800</t>
        </is>
      </c>
      <c r="N993" t="inlineStr"/>
      <c r="O993" t="n">
        <v>40</v>
      </c>
      <c r="P993" t="n">
        <v>120</v>
      </c>
      <c r="Q993" t="n">
        <v>0</v>
      </c>
      <c r="Y993" t="inlineStr">
        <is>
          <t>2T2R</t>
        </is>
      </c>
      <c r="AB993" t="inlineStr">
        <is>
          <t>R9254E S1800</t>
        </is>
      </c>
      <c r="AC993" t="inlineStr">
        <is>
          <t>A9652 S35*3+R9254E S1800*3</t>
        </is>
      </c>
    </row>
    <row r="994" hidden="1" ht="15" customHeight="1" s="99">
      <c r="A994" t="inlineStr">
        <is>
          <t>ZBIY35</t>
        </is>
      </c>
      <c r="B994" t="inlineStr"/>
      <c r="F994">
        <f>_xlfn.XLOOKUP(A994,'[1]4G Parameters'!$E:$E,'[1]4G Parameters'!$J:$J)</f>
        <v/>
      </c>
      <c r="G994">
        <f>_xlfn.XLOOKUP(A994,'[1]4G Parameters'!$E:$E,'[1]4G Parameters'!$I:$I)</f>
        <v/>
      </c>
      <c r="H994" t="inlineStr">
        <is>
          <t>ZBIY35R</t>
        </is>
      </c>
      <c r="K994" t="inlineStr">
        <is>
          <t>S3</t>
        </is>
      </c>
      <c r="L994" t="inlineStr">
        <is>
          <t>2G</t>
        </is>
      </c>
      <c r="M994" t="inlineStr">
        <is>
          <t>1800</t>
        </is>
      </c>
      <c r="N994" t="inlineStr"/>
      <c r="O994" t="n">
        <v>0</v>
      </c>
      <c r="P994" t="n">
        <v>240</v>
      </c>
      <c r="Q994" t="n">
        <v>2</v>
      </c>
      <c r="Y994" t="inlineStr"/>
      <c r="AB994" t="inlineStr">
        <is>
          <t>R9254E S1800</t>
        </is>
      </c>
      <c r="AC994" t="inlineStr">
        <is>
          <t>A9652 S35*3+R9254E S1800*3</t>
        </is>
      </c>
    </row>
    <row r="995" hidden="1" ht="15" customHeight="1" s="99">
      <c r="A995" t="inlineStr">
        <is>
          <t>ZBIY35</t>
        </is>
      </c>
      <c r="B995" t="inlineStr">
        <is>
          <t>ZBIY35_G0L00_Makola_South_2_IP_Kd</t>
        </is>
      </c>
      <c r="F995" t="n">
        <v>6.983205</v>
      </c>
      <c r="G995" t="n">
        <v>79.96820099999999</v>
      </c>
      <c r="H995" t="inlineStr">
        <is>
          <t>ZBIY35I</t>
        </is>
      </c>
      <c r="K995" t="inlineStr">
        <is>
          <t>S3</t>
        </is>
      </c>
      <c r="L995" t="inlineStr">
        <is>
          <t>4G</t>
        </is>
      </c>
      <c r="M995" t="inlineStr">
        <is>
          <t>1800</t>
        </is>
      </c>
      <c r="N995" t="inlineStr"/>
      <c r="O995" t="n">
        <v>40</v>
      </c>
      <c r="P995" t="n">
        <v>240</v>
      </c>
      <c r="Q995" t="n">
        <v>0</v>
      </c>
      <c r="Y995" t="inlineStr">
        <is>
          <t>2T2R</t>
        </is>
      </c>
      <c r="AB995" t="inlineStr">
        <is>
          <t>R9254E S1800</t>
        </is>
      </c>
      <c r="AC995" t="inlineStr">
        <is>
          <t>A9652 S35*3+R9254E S1800*3</t>
        </is>
      </c>
    </row>
    <row r="996" hidden="1" ht="15" customHeight="1" s="99">
      <c r="A996" t="inlineStr">
        <is>
          <t>ZBIY40</t>
        </is>
      </c>
      <c r="B996" t="inlineStr"/>
      <c r="F996">
        <f>_xlfn.XLOOKUP(A996,'[1]4G Parameters'!$E:$E,'[1]4G Parameters'!$J:$J)</f>
        <v/>
      </c>
      <c r="G996">
        <f>_xlfn.XLOOKUP(A996,'[1]4G Parameters'!$E:$E,'[1]4G Parameters'!$I:$I)</f>
        <v/>
      </c>
      <c r="H996" t="inlineStr">
        <is>
          <t>ZBIY40P</t>
        </is>
      </c>
      <c r="K996" t="inlineStr">
        <is>
          <t>S1</t>
        </is>
      </c>
      <c r="L996" t="inlineStr">
        <is>
          <t>2G</t>
        </is>
      </c>
      <c r="M996" t="inlineStr">
        <is>
          <t>1800</t>
        </is>
      </c>
      <c r="N996" t="inlineStr"/>
      <c r="O996" t="n">
        <v>0</v>
      </c>
      <c r="P996" t="n">
        <v>0</v>
      </c>
      <c r="Q996" t="n">
        <v>2</v>
      </c>
      <c r="Y996" t="inlineStr"/>
      <c r="AB996" t="inlineStr">
        <is>
          <t>?</t>
        </is>
      </c>
      <c r="AC996" t="inlineStr">
        <is>
          <t>R9254E S8500*2+R9264 M1821N*3</t>
        </is>
      </c>
    </row>
    <row r="997" hidden="1" ht="15" customHeight="1" s="99">
      <c r="A997" t="inlineStr">
        <is>
          <t>ZBIY40</t>
        </is>
      </c>
      <c r="B997" t="inlineStr">
        <is>
          <t>ZBIY40_G0L00_Makola North_IP_Kd</t>
        </is>
      </c>
      <c r="F997" t="n">
        <v>6.983274</v>
      </c>
      <c r="G997" t="n">
        <v>79.945673</v>
      </c>
      <c r="H997" t="inlineStr">
        <is>
          <t>ZBIY40G</t>
        </is>
      </c>
      <c r="K997" t="inlineStr">
        <is>
          <t>S1</t>
        </is>
      </c>
      <c r="L997" t="inlineStr">
        <is>
          <t>4G</t>
        </is>
      </c>
      <c r="M997" t="inlineStr">
        <is>
          <t>1800</t>
        </is>
      </c>
      <c r="N997" t="inlineStr"/>
      <c r="O997" t="n">
        <v>60</v>
      </c>
      <c r="P997" t="n">
        <v>0</v>
      </c>
      <c r="Q997" t="n">
        <v>0</v>
      </c>
      <c r="Y997" t="inlineStr">
        <is>
          <t>4T4R</t>
        </is>
      </c>
      <c r="AB997" t="inlineStr">
        <is>
          <t>?</t>
        </is>
      </c>
      <c r="AC997" t="inlineStr">
        <is>
          <t>R9254E S8500*2+R9264 M1821N*3</t>
        </is>
      </c>
    </row>
    <row r="998" hidden="1" ht="15" customHeight="1" s="99">
      <c r="A998" t="inlineStr">
        <is>
          <t>ZBIY40</t>
        </is>
      </c>
      <c r="B998" t="inlineStr"/>
      <c r="F998">
        <f>_xlfn.XLOOKUP(A998,'[1]4G Parameters'!$E:$E,'[1]4G Parameters'!$J:$J)</f>
        <v/>
      </c>
      <c r="G998">
        <f>_xlfn.XLOOKUP(A998,'[1]4G Parameters'!$E:$E,'[1]4G Parameters'!$I:$I)</f>
        <v/>
      </c>
      <c r="H998" t="inlineStr">
        <is>
          <t>ZBIY40Q</t>
        </is>
      </c>
      <c r="K998" t="inlineStr">
        <is>
          <t>S2</t>
        </is>
      </c>
      <c r="L998" t="inlineStr">
        <is>
          <t>2G</t>
        </is>
      </c>
      <c r="M998" t="inlineStr">
        <is>
          <t>1800</t>
        </is>
      </c>
      <c r="N998" t="inlineStr"/>
      <c r="O998" t="n">
        <v>0</v>
      </c>
      <c r="P998" t="n">
        <v>120</v>
      </c>
      <c r="Q998" t="n">
        <v>2</v>
      </c>
      <c r="Y998" t="inlineStr"/>
      <c r="AB998" t="inlineStr">
        <is>
          <t>?</t>
        </is>
      </c>
      <c r="AC998" t="inlineStr">
        <is>
          <t>R9254E S8500*2+R9264 M1821N*3</t>
        </is>
      </c>
    </row>
    <row r="999" hidden="1" ht="15" customHeight="1" s="99">
      <c r="A999" t="inlineStr">
        <is>
          <t>ZBIY40</t>
        </is>
      </c>
      <c r="B999" t="inlineStr">
        <is>
          <t>ZBIY40_G0L00_Makola North_IP_Kd</t>
        </is>
      </c>
      <c r="F999" t="n">
        <v>6.983274</v>
      </c>
      <c r="G999" t="n">
        <v>79.945673</v>
      </c>
      <c r="H999" t="inlineStr">
        <is>
          <t>ZBIY40H</t>
        </is>
      </c>
      <c r="K999" t="inlineStr">
        <is>
          <t>S2</t>
        </is>
      </c>
      <c r="L999" t="inlineStr">
        <is>
          <t>4G</t>
        </is>
      </c>
      <c r="M999" t="inlineStr">
        <is>
          <t>1800</t>
        </is>
      </c>
      <c r="N999" t="inlineStr"/>
      <c r="O999" t="n">
        <v>60</v>
      </c>
      <c r="P999" t="n">
        <v>120</v>
      </c>
      <c r="Q999" t="n">
        <v>0</v>
      </c>
      <c r="Y999" t="inlineStr">
        <is>
          <t>4T4R</t>
        </is>
      </c>
      <c r="AB999" t="inlineStr">
        <is>
          <t>?</t>
        </is>
      </c>
      <c r="AC999" t="inlineStr">
        <is>
          <t>R9254E S8500*2+R9264 M1821N*3</t>
        </is>
      </c>
    </row>
    <row r="1000" hidden="1" ht="15" customHeight="1" s="99">
      <c r="A1000" t="inlineStr">
        <is>
          <t>ZBIY40</t>
        </is>
      </c>
      <c r="B1000" t="inlineStr"/>
      <c r="F1000">
        <f>_xlfn.XLOOKUP(A1000,'[1]4G Parameters'!$E:$E,'[1]4G Parameters'!$J:$J)</f>
        <v/>
      </c>
      <c r="G1000">
        <f>_xlfn.XLOOKUP(A1000,'[1]4G Parameters'!$E:$E,'[1]4G Parameters'!$I:$I)</f>
        <v/>
      </c>
      <c r="H1000" t="inlineStr">
        <is>
          <t>ZBIY40R</t>
        </is>
      </c>
      <c r="K1000" t="inlineStr">
        <is>
          <t>S3</t>
        </is>
      </c>
      <c r="L1000" t="inlineStr">
        <is>
          <t>2G</t>
        </is>
      </c>
      <c r="M1000" t="inlineStr">
        <is>
          <t>1800</t>
        </is>
      </c>
      <c r="N1000" t="inlineStr"/>
      <c r="O1000" t="n">
        <v>0</v>
      </c>
      <c r="P1000" t="n">
        <v>240</v>
      </c>
      <c r="Q1000" t="n">
        <v>2</v>
      </c>
      <c r="Y1000" t="inlineStr"/>
      <c r="AB1000" t="inlineStr">
        <is>
          <t>?</t>
        </is>
      </c>
      <c r="AC1000" t="inlineStr">
        <is>
          <t>R9254E S8500*2+R9264 M1821N*3</t>
        </is>
      </c>
    </row>
    <row r="1001" hidden="1" ht="15" customHeight="1" s="99">
      <c r="A1001" t="inlineStr">
        <is>
          <t>ZBIY40</t>
        </is>
      </c>
      <c r="B1001" t="inlineStr">
        <is>
          <t>ZBIY40_G0L00_Makola North_IP_Kd</t>
        </is>
      </c>
      <c r="F1001" t="n">
        <v>6.983274</v>
      </c>
      <c r="G1001" t="n">
        <v>79.945673</v>
      </c>
      <c r="H1001" t="inlineStr">
        <is>
          <t>ZBIY40I</t>
        </is>
      </c>
      <c r="K1001" t="inlineStr">
        <is>
          <t>S3</t>
        </is>
      </c>
      <c r="L1001" t="inlineStr">
        <is>
          <t>4G</t>
        </is>
      </c>
      <c r="M1001" t="inlineStr">
        <is>
          <t>1800</t>
        </is>
      </c>
      <c r="N1001" t="inlineStr"/>
      <c r="O1001" t="n">
        <v>60</v>
      </c>
      <c r="P1001" t="n">
        <v>240</v>
      </c>
      <c r="Q1001" t="n">
        <v>0</v>
      </c>
      <c r="Y1001" t="inlineStr">
        <is>
          <t>4T4R</t>
        </is>
      </c>
      <c r="AB1001" t="inlineStr">
        <is>
          <t>?</t>
        </is>
      </c>
      <c r="AC1001" t="inlineStr">
        <is>
          <t>R9254E S8500*2+R9264 M1821N*3</t>
        </is>
      </c>
    </row>
    <row r="1002" hidden="1" ht="15" customHeight="1" s="99">
      <c r="A1002" t="inlineStr">
        <is>
          <t>ZBIY51</t>
        </is>
      </c>
      <c r="B1002" t="inlineStr"/>
      <c r="D1002" t="inlineStr">
        <is>
          <t>无900</t>
        </is>
      </c>
      <c r="F1002">
        <f>_xlfn.XLOOKUP(A1002,'[1]4G Parameters'!$E:$E,'[1]4G Parameters'!$J:$J)</f>
        <v/>
      </c>
      <c r="G1002">
        <f>_xlfn.XLOOKUP(A1002,'[1]4G Parameters'!$E:$E,'[1]4G Parameters'!$I:$I)</f>
        <v/>
      </c>
      <c r="H1002" t="inlineStr">
        <is>
          <t>ZBIY51P</t>
        </is>
      </c>
      <c r="K1002" t="inlineStr">
        <is>
          <t>S1</t>
        </is>
      </c>
      <c r="L1002" t="inlineStr">
        <is>
          <t>2G</t>
        </is>
      </c>
      <c r="M1002" t="inlineStr">
        <is>
          <t>1800</t>
        </is>
      </c>
      <c r="N1002" t="inlineStr"/>
      <c r="O1002" t="n">
        <v>55</v>
      </c>
      <c r="P1002" t="n">
        <v>0</v>
      </c>
      <c r="Q1002" t="n">
        <v>2</v>
      </c>
      <c r="Y1002" t="inlineStr"/>
      <c r="AB1002" t="inlineStr">
        <is>
          <t>R9264H M901821</t>
        </is>
      </c>
      <c r="AC1002" t="inlineStr">
        <is>
          <t>A9652 S35*3+R9264H M901821*3</t>
        </is>
      </c>
    </row>
    <row r="1003" hidden="1" ht="15" customHeight="1" s="99">
      <c r="A1003" t="inlineStr">
        <is>
          <t>ZBIY51</t>
        </is>
      </c>
      <c r="B1003" t="inlineStr">
        <is>
          <t>ZBIY51_G0L00_Kehelpandura_8_TXD_Kd</t>
        </is>
      </c>
      <c r="D1003" t="inlineStr">
        <is>
          <t>无900</t>
        </is>
      </c>
      <c r="F1003" t="n">
        <v>6.980278</v>
      </c>
      <c r="G1003" t="n">
        <v>79.95916699999999</v>
      </c>
      <c r="H1003" t="inlineStr">
        <is>
          <t>ZBIY51G</t>
        </is>
      </c>
      <c r="K1003" t="inlineStr">
        <is>
          <t>S1</t>
        </is>
      </c>
      <c r="L1003" t="inlineStr">
        <is>
          <t>4G</t>
        </is>
      </c>
      <c r="M1003" t="inlineStr">
        <is>
          <t>1800</t>
        </is>
      </c>
      <c r="N1003" t="inlineStr">
        <is>
          <t>AQU4518R9v06</t>
        </is>
      </c>
      <c r="O1003" t="n">
        <v>60</v>
      </c>
      <c r="P1003" t="n">
        <v>0</v>
      </c>
      <c r="Q1003" t="n">
        <v>0</v>
      </c>
      <c r="Y1003" t="inlineStr">
        <is>
          <t>4T4R</t>
        </is>
      </c>
      <c r="AB1003" t="inlineStr">
        <is>
          <t>R9264H M901821</t>
        </is>
      </c>
      <c r="AC1003" t="inlineStr">
        <is>
          <t>A9652 S35*3+R9264H M901821*3</t>
        </is>
      </c>
    </row>
    <row r="1004" hidden="1" ht="15" customHeight="1" s="99">
      <c r="A1004" t="inlineStr">
        <is>
          <t>ZBIY51</t>
        </is>
      </c>
      <c r="B1004" t="inlineStr"/>
      <c r="D1004" t="inlineStr">
        <is>
          <t>无900</t>
        </is>
      </c>
      <c r="F1004">
        <f>_xlfn.XLOOKUP(A1004,'[1]4G Parameters'!$E:$E,'[1]4G Parameters'!$J:$J)</f>
        <v/>
      </c>
      <c r="G1004">
        <f>_xlfn.XLOOKUP(A1004,'[1]4G Parameters'!$E:$E,'[1]4G Parameters'!$I:$I)</f>
        <v/>
      </c>
      <c r="H1004" t="inlineStr">
        <is>
          <t>ZBIY51Q</t>
        </is>
      </c>
      <c r="K1004" t="inlineStr">
        <is>
          <t>S2</t>
        </is>
      </c>
      <c r="L1004" t="inlineStr">
        <is>
          <t>2G</t>
        </is>
      </c>
      <c r="M1004" t="inlineStr">
        <is>
          <t>1800</t>
        </is>
      </c>
      <c r="N1004" t="inlineStr"/>
      <c r="O1004" t="n">
        <v>55</v>
      </c>
      <c r="P1004" t="n">
        <v>120</v>
      </c>
      <c r="Q1004" t="n">
        <v>2</v>
      </c>
      <c r="Y1004" t="inlineStr"/>
      <c r="AB1004" t="inlineStr">
        <is>
          <t>R9264H M901821</t>
        </is>
      </c>
      <c r="AC1004" t="inlineStr">
        <is>
          <t>A9652 S35*3+R9264H M901821*3</t>
        </is>
      </c>
    </row>
    <row r="1005" hidden="1" ht="15" customHeight="1" s="99">
      <c r="A1005" t="inlineStr">
        <is>
          <t>ZBIY51</t>
        </is>
      </c>
      <c r="B1005" t="inlineStr">
        <is>
          <t>ZBIY51_G0L00_Kehelpandura_8_TXD_Kd</t>
        </is>
      </c>
      <c r="D1005" t="inlineStr">
        <is>
          <t>无900</t>
        </is>
      </c>
      <c r="F1005" t="n">
        <v>6.980278</v>
      </c>
      <c r="G1005" t="n">
        <v>79.95916699999999</v>
      </c>
      <c r="H1005" t="inlineStr">
        <is>
          <t>ZBIY51-M-L21-B2</t>
        </is>
      </c>
      <c r="K1005" t="inlineStr">
        <is>
          <t>S2</t>
        </is>
      </c>
      <c r="L1005" t="inlineStr">
        <is>
          <t>4G</t>
        </is>
      </c>
      <c r="M1005" t="inlineStr">
        <is>
          <t>2100</t>
        </is>
      </c>
      <c r="N1005" t="inlineStr"/>
      <c r="O1005" t="n">
        <v>60</v>
      </c>
      <c r="P1005" t="n">
        <v>120</v>
      </c>
      <c r="Q1005" t="n">
        <v>0</v>
      </c>
      <c r="Y1005" t="inlineStr">
        <is>
          <t>4T4R</t>
        </is>
      </c>
      <c r="AB1005" t="inlineStr">
        <is>
          <t>R9264H M901821</t>
        </is>
      </c>
      <c r="AC1005" t="inlineStr">
        <is>
          <t>A9652 S35*3+R9264H M901821*3</t>
        </is>
      </c>
    </row>
    <row r="1006" hidden="1" ht="15" customHeight="1" s="99">
      <c r="A1006" t="inlineStr">
        <is>
          <t>ZBIY51</t>
        </is>
      </c>
      <c r="B1006" t="inlineStr">
        <is>
          <t>ZBIY51_G0L00_Kehelpandura_8_TXD_Kd</t>
        </is>
      </c>
      <c r="D1006" t="inlineStr">
        <is>
          <t>无900</t>
        </is>
      </c>
      <c r="F1006" t="n">
        <v>6.980278</v>
      </c>
      <c r="G1006" t="n">
        <v>79.95916699999999</v>
      </c>
      <c r="H1006" t="inlineStr">
        <is>
          <t>ZBIY51H</t>
        </is>
      </c>
      <c r="K1006" t="inlineStr">
        <is>
          <t>S2</t>
        </is>
      </c>
      <c r="L1006" t="inlineStr">
        <is>
          <t>4G</t>
        </is>
      </c>
      <c r="M1006" t="inlineStr">
        <is>
          <t>1800</t>
        </is>
      </c>
      <c r="N1006" t="inlineStr">
        <is>
          <t>AQU4518R9v06</t>
        </is>
      </c>
      <c r="O1006" t="n">
        <v>60</v>
      </c>
      <c r="P1006" t="n">
        <v>120</v>
      </c>
      <c r="Q1006" t="n">
        <v>0</v>
      </c>
      <c r="Y1006" t="inlineStr">
        <is>
          <t>4T4R</t>
        </is>
      </c>
      <c r="AB1006" t="inlineStr">
        <is>
          <t>R9264H M901821</t>
        </is>
      </c>
      <c r="AC1006" t="inlineStr">
        <is>
          <t>A9652 S35*3+R9264H M901821*3</t>
        </is>
      </c>
    </row>
    <row r="1007" hidden="1" ht="15" customHeight="1" s="99">
      <c r="A1007" t="inlineStr">
        <is>
          <t>ZBIY51</t>
        </is>
      </c>
      <c r="B1007" t="inlineStr"/>
      <c r="D1007" t="inlineStr">
        <is>
          <t>无900</t>
        </is>
      </c>
      <c r="F1007">
        <f>_xlfn.XLOOKUP(A1007,'[1]4G Parameters'!$E:$E,'[1]4G Parameters'!$J:$J)</f>
        <v/>
      </c>
      <c r="G1007">
        <f>_xlfn.XLOOKUP(A1007,'[1]4G Parameters'!$E:$E,'[1]4G Parameters'!$I:$I)</f>
        <v/>
      </c>
      <c r="H1007" t="inlineStr">
        <is>
          <t>ZBIY51R</t>
        </is>
      </c>
      <c r="K1007" t="inlineStr">
        <is>
          <t>S3</t>
        </is>
      </c>
      <c r="L1007" t="inlineStr">
        <is>
          <t>2G</t>
        </is>
      </c>
      <c r="M1007" t="inlineStr">
        <is>
          <t>1800</t>
        </is>
      </c>
      <c r="N1007" t="inlineStr"/>
      <c r="O1007" t="n">
        <v>55</v>
      </c>
      <c r="P1007" t="n">
        <v>240</v>
      </c>
      <c r="Q1007" t="n">
        <v>2</v>
      </c>
      <c r="Y1007" t="inlineStr"/>
      <c r="AB1007" t="inlineStr">
        <is>
          <t>R9264H M901821</t>
        </is>
      </c>
      <c r="AC1007" t="inlineStr">
        <is>
          <t>A9652 S35*3+R9264H M901821*3</t>
        </is>
      </c>
    </row>
    <row r="1008" hidden="1" ht="15" customHeight="1" s="99">
      <c r="A1008" t="inlineStr">
        <is>
          <t>ZBIY51</t>
        </is>
      </c>
      <c r="B1008" t="inlineStr">
        <is>
          <t>ZBIY51_G0L00_Kehelpandura_8_TXD_Kd</t>
        </is>
      </c>
      <c r="D1008" t="inlineStr">
        <is>
          <t>无900</t>
        </is>
      </c>
      <c r="F1008" t="n">
        <v>6.980278</v>
      </c>
      <c r="G1008" t="n">
        <v>79.95916699999999</v>
      </c>
      <c r="H1008" t="inlineStr">
        <is>
          <t>ZBIY51I</t>
        </is>
      </c>
      <c r="K1008" t="inlineStr">
        <is>
          <t>S3</t>
        </is>
      </c>
      <c r="L1008" t="inlineStr">
        <is>
          <t>4G</t>
        </is>
      </c>
      <c r="M1008" t="inlineStr">
        <is>
          <t>1800</t>
        </is>
      </c>
      <c r="N1008" t="inlineStr">
        <is>
          <t>AQU4518R9v06</t>
        </is>
      </c>
      <c r="O1008" t="n">
        <v>60</v>
      </c>
      <c r="P1008" t="n">
        <v>240</v>
      </c>
      <c r="Q1008" t="n">
        <v>0</v>
      </c>
      <c r="Y1008" t="inlineStr">
        <is>
          <t>4T4R</t>
        </is>
      </c>
      <c r="AB1008" t="inlineStr">
        <is>
          <t>R9264H M901821</t>
        </is>
      </c>
      <c r="AC1008" t="inlineStr">
        <is>
          <t>A9652 S35*3+R9264H M901821*3</t>
        </is>
      </c>
    </row>
    <row r="1009" hidden="1" ht="15" customHeight="1" s="99">
      <c r="A1009" t="inlineStr">
        <is>
          <t>ZKAD01</t>
        </is>
      </c>
      <c r="B1009" t="inlineStr"/>
      <c r="D1009" t="inlineStr">
        <is>
          <t>多一个R9254E S1800</t>
        </is>
      </c>
      <c r="F1009">
        <f>_xlfn.XLOOKUP(A1009,'[1]4G Parameters'!$E:$E,'[1]4G Parameters'!$J:$J)</f>
        <v/>
      </c>
      <c r="G1009">
        <f>_xlfn.XLOOKUP(A1009,'[1]4G Parameters'!$E:$E,'[1]4G Parameters'!$I:$I)</f>
        <v/>
      </c>
      <c r="H1009" t="inlineStr">
        <is>
          <t>ZKAD01A</t>
        </is>
      </c>
      <c r="K1009" t="inlineStr">
        <is>
          <t>S1</t>
        </is>
      </c>
      <c r="L1009" t="inlineStr">
        <is>
          <t>2G</t>
        </is>
      </c>
      <c r="M1009" t="inlineStr">
        <is>
          <t>900</t>
        </is>
      </c>
      <c r="N1009" t="inlineStr"/>
      <c r="O1009" t="n">
        <v>18</v>
      </c>
      <c r="P1009" t="n">
        <v>0</v>
      </c>
      <c r="Q1009" t="n">
        <v>2</v>
      </c>
      <c r="Y1009" t="inlineStr"/>
      <c r="AB1009" t="inlineStr">
        <is>
          <t>R9244 S9000</t>
        </is>
      </c>
      <c r="AC1009" t="inlineStr">
        <is>
          <t>A9652 S35*3+R9254E S1800*1+R9254E S8500*2+R9268H M1821*3+R9244 S9000*2</t>
        </is>
      </c>
    </row>
    <row r="1010" hidden="1" ht="15" customHeight="1" s="99">
      <c r="A1010" t="inlineStr">
        <is>
          <t>ZKAD01</t>
        </is>
      </c>
      <c r="B1010" t="inlineStr">
        <is>
          <t>ZKAD01_GULM0_KADAWATHA_Kd</t>
        </is>
      </c>
      <c r="D1010" t="inlineStr">
        <is>
          <t>多一个R9254E S1800</t>
        </is>
      </c>
      <c r="F1010" t="n">
        <v>6.99575</v>
      </c>
      <c r="G1010" t="n">
        <v>79.9461</v>
      </c>
      <c r="H1010" t="inlineStr">
        <is>
          <t>ZKAD01-M-L85-A1</t>
        </is>
      </c>
      <c r="K1010" t="inlineStr">
        <is>
          <t>S1</t>
        </is>
      </c>
      <c r="L1010" t="inlineStr">
        <is>
          <t>4G</t>
        </is>
      </c>
      <c r="M1010" t="inlineStr">
        <is>
          <t>850</t>
        </is>
      </c>
      <c r="N1010" t="inlineStr">
        <is>
          <t>AQU4518R9v06</t>
        </is>
      </c>
      <c r="O1010" t="n">
        <v>60</v>
      </c>
      <c r="P1010" t="n">
        <v>0</v>
      </c>
      <c r="Q1010" t="n">
        <v>0</v>
      </c>
      <c r="Y1010" t="inlineStr">
        <is>
          <t>2T2R</t>
        </is>
      </c>
      <c r="AB1010" t="inlineStr">
        <is>
          <t>R9254E S8500</t>
        </is>
      </c>
      <c r="AC1010" t="inlineStr">
        <is>
          <t>A9652 S35*3+R9254E S1800*1+R9254E S8500*2+R9268H M1821*3+R9244 S9000*2</t>
        </is>
      </c>
    </row>
    <row r="1011" hidden="1" ht="15" customHeight="1" s="99">
      <c r="A1011" t="inlineStr">
        <is>
          <t>ZKAD01</t>
        </is>
      </c>
      <c r="B1011" t="inlineStr">
        <is>
          <t>ZKAD01_GULM0_KADAWATHA_Kd</t>
        </is>
      </c>
      <c r="D1011" t="inlineStr">
        <is>
          <t>多一个R9254E S1800</t>
        </is>
      </c>
      <c r="F1011" t="n">
        <v>6.99575</v>
      </c>
      <c r="G1011" t="n">
        <v>79.9461</v>
      </c>
      <c r="H1011" t="inlineStr">
        <is>
          <t>ZKAD01-M-L21-A2</t>
        </is>
      </c>
      <c r="K1011" t="inlineStr">
        <is>
          <t>S1</t>
        </is>
      </c>
      <c r="L1011" t="inlineStr">
        <is>
          <t>4G</t>
        </is>
      </c>
      <c r="M1011" t="inlineStr">
        <is>
          <t>2100</t>
        </is>
      </c>
      <c r="N1011" t="inlineStr">
        <is>
          <t>AQU4518R9v06</t>
        </is>
      </c>
      <c r="O1011" t="n">
        <v>60</v>
      </c>
      <c r="P1011" t="n">
        <v>0</v>
      </c>
      <c r="Q1011" t="n">
        <v>0</v>
      </c>
      <c r="Y1011" t="inlineStr">
        <is>
          <t>2T2R</t>
        </is>
      </c>
      <c r="AB1011" t="inlineStr">
        <is>
          <t>R9268H M1821</t>
        </is>
      </c>
      <c r="AC1011" t="inlineStr">
        <is>
          <t>A9652 S35*3+R9254E S1800*1+R9254E S8500*2+R9268H M1821*3+R9244 S9000*2</t>
        </is>
      </c>
    </row>
    <row r="1012" hidden="1" ht="15" customHeight="1" s="99">
      <c r="D1012" t="inlineStr">
        <is>
          <t>多一个R9254E S1800</t>
        </is>
      </c>
      <c r="AB1012" t="inlineStr">
        <is>
          <t>R9268H M1821</t>
        </is>
      </c>
    </row>
    <row r="1013" hidden="1" ht="15" customHeight="1" s="99">
      <c r="A1013" t="inlineStr">
        <is>
          <t>ZKAD01</t>
        </is>
      </c>
      <c r="B1013" t="inlineStr">
        <is>
          <t>ZKAD01_GULM0_KADAWATHA_Kd</t>
        </is>
      </c>
      <c r="D1013" t="inlineStr">
        <is>
          <t>多一个R9254E S1800</t>
        </is>
      </c>
      <c r="F1013" t="n">
        <v>6.99575</v>
      </c>
      <c r="G1013" t="n">
        <v>79.9461</v>
      </c>
      <c r="H1013" t="inlineStr">
        <is>
          <t>ZKAD01-M-L18-G1</t>
        </is>
      </c>
      <c r="K1013" t="inlineStr">
        <is>
          <t>S1</t>
        </is>
      </c>
      <c r="L1013" t="inlineStr">
        <is>
          <t>4G</t>
        </is>
      </c>
      <c r="M1013" t="inlineStr">
        <is>
          <t>1800</t>
        </is>
      </c>
      <c r="N1013" t="inlineStr">
        <is>
          <t>AMB4519R6v06</t>
        </is>
      </c>
      <c r="O1013" t="n">
        <v>60</v>
      </c>
      <c r="P1013" t="n">
        <v>0</v>
      </c>
      <c r="Q1013" t="n">
        <v>0</v>
      </c>
      <c r="Y1013" t="inlineStr">
        <is>
          <t>4T4R</t>
        </is>
      </c>
      <c r="AB1013" t="inlineStr">
        <is>
          <t>R9268H M1821</t>
        </is>
      </c>
      <c r="AC1013" t="inlineStr">
        <is>
          <t>A9652 S35*3+R9254E S1800*1+R9254E S8500*2+R9268H M1821*3+R9244 S9000*2</t>
        </is>
      </c>
    </row>
    <row r="1014" hidden="1" ht="15" customHeight="1" s="99">
      <c r="A1014" t="inlineStr">
        <is>
          <t>ZKAD01</t>
        </is>
      </c>
      <c r="B1014" t="inlineStr">
        <is>
          <t>ZKAD01_GULM0_KADAWATHA_Kd</t>
        </is>
      </c>
      <c r="D1014" t="inlineStr">
        <is>
          <t>多一个R9254E S1800</t>
        </is>
      </c>
      <c r="F1014" t="n">
        <v>6.99575</v>
      </c>
      <c r="G1014" t="n">
        <v>79.9461</v>
      </c>
      <c r="H1014" t="inlineStr">
        <is>
          <t>ZKAD01G</t>
        </is>
      </c>
      <c r="K1014" t="inlineStr">
        <is>
          <t>S1</t>
        </is>
      </c>
      <c r="L1014" t="inlineStr">
        <is>
          <t>4G</t>
        </is>
      </c>
      <c r="M1014" t="inlineStr">
        <is>
          <t>1800</t>
        </is>
      </c>
      <c r="N1014" t="inlineStr">
        <is>
          <t>AMB4519R6v06</t>
        </is>
      </c>
      <c r="O1014" t="n">
        <v>60</v>
      </c>
      <c r="P1014" t="n">
        <v>0</v>
      </c>
      <c r="Q1014" t="n">
        <v>0</v>
      </c>
      <c r="Y1014" t="inlineStr">
        <is>
          <t>4T4R</t>
        </is>
      </c>
      <c r="AB1014" t="inlineStr">
        <is>
          <t>R9268H M1821</t>
        </is>
      </c>
      <c r="AC1014" t="inlineStr">
        <is>
          <t>A9652 S35*3+R9254E S1800*1+R9254E S8500*2+R9268H M1821*3+R9244 S9000*2</t>
        </is>
      </c>
    </row>
    <row r="1015" hidden="1" ht="15" customHeight="1" s="99">
      <c r="A1015" t="inlineStr">
        <is>
          <t>ZKAD01</t>
        </is>
      </c>
      <c r="B1015" t="inlineStr"/>
      <c r="D1015" t="inlineStr">
        <is>
          <t>多一个R9254E S1800</t>
        </is>
      </c>
      <c r="F1015">
        <f>_xlfn.XLOOKUP(A1015,'[1]4G Parameters'!$E:$E,'[1]4G Parameters'!$J:$J)</f>
        <v/>
      </c>
      <c r="G1015">
        <f>_xlfn.XLOOKUP(A1015,'[1]4G Parameters'!$E:$E,'[1]4G Parameters'!$I:$I)</f>
        <v/>
      </c>
      <c r="H1015" t="inlineStr">
        <is>
          <t>ZKAD01B</t>
        </is>
      </c>
      <c r="K1015" t="inlineStr">
        <is>
          <t>S2</t>
        </is>
      </c>
      <c r="L1015" t="inlineStr">
        <is>
          <t>2G</t>
        </is>
      </c>
      <c r="M1015" t="inlineStr">
        <is>
          <t>900</t>
        </is>
      </c>
      <c r="N1015" t="inlineStr"/>
      <c r="O1015" t="n">
        <v>18</v>
      </c>
      <c r="P1015" t="n">
        <v>120</v>
      </c>
      <c r="Q1015" t="n">
        <v>2</v>
      </c>
      <c r="Y1015" t="inlineStr"/>
      <c r="AB1015" t="inlineStr">
        <is>
          <t>R9244 S9000</t>
        </is>
      </c>
      <c r="AC1015" t="inlineStr">
        <is>
          <t>A9652 S35*3+R9254E S1800*1+R9254E S8500*2+R9268H M1821*3+R9244 S9000*2</t>
        </is>
      </c>
    </row>
    <row r="1016" hidden="1" ht="15" customHeight="1" s="99">
      <c r="A1016" t="inlineStr">
        <is>
          <t>ZKAD01</t>
        </is>
      </c>
      <c r="B1016" t="inlineStr">
        <is>
          <t>ZKAD01_GULM0_KADAWATHA_Kd</t>
        </is>
      </c>
      <c r="D1016" t="inlineStr">
        <is>
          <t>多一个R9254E S1800</t>
        </is>
      </c>
      <c r="F1016" t="n">
        <v>6.99575</v>
      </c>
      <c r="G1016" t="n">
        <v>79.9461</v>
      </c>
      <c r="H1016" t="inlineStr">
        <is>
          <t>ZKAD01-M-L85-B1</t>
        </is>
      </c>
      <c r="K1016" t="inlineStr">
        <is>
          <t>S2</t>
        </is>
      </c>
      <c r="L1016" t="inlineStr">
        <is>
          <t>4G</t>
        </is>
      </c>
      <c r="M1016" t="inlineStr">
        <is>
          <t>850</t>
        </is>
      </c>
      <c r="N1016" t="inlineStr">
        <is>
          <t>AQU4518R9v06</t>
        </is>
      </c>
      <c r="O1016" t="n">
        <v>60</v>
      </c>
      <c r="P1016" t="n">
        <v>120</v>
      </c>
      <c r="Q1016" t="n">
        <v>0</v>
      </c>
      <c r="Y1016" t="inlineStr">
        <is>
          <t>2T2R</t>
        </is>
      </c>
      <c r="AB1016" t="inlineStr">
        <is>
          <t>R9268H M1821</t>
        </is>
      </c>
      <c r="AC1016" t="inlineStr">
        <is>
          <t>A9652 S35*3+R9254E S1800*1+R9254E S8500*2+R9268H M1821*3+R9244 S9000*2</t>
        </is>
      </c>
    </row>
    <row r="1017" hidden="1" ht="15" customHeight="1" s="99">
      <c r="A1017" t="inlineStr">
        <is>
          <t>ZKAD01</t>
        </is>
      </c>
      <c r="B1017" t="inlineStr">
        <is>
          <t>ZKAD01_GULM0_KADAWATHA_Kd</t>
        </is>
      </c>
      <c r="D1017" t="inlineStr">
        <is>
          <t>多一个R9254E S1800</t>
        </is>
      </c>
      <c r="F1017" t="n">
        <v>6.99575</v>
      </c>
      <c r="G1017" t="n">
        <v>79.9461</v>
      </c>
      <c r="H1017" t="inlineStr">
        <is>
          <t>ZKAD01-M-L21-B2</t>
        </is>
      </c>
      <c r="K1017" t="inlineStr">
        <is>
          <t>S2</t>
        </is>
      </c>
      <c r="L1017" t="inlineStr">
        <is>
          <t>4G</t>
        </is>
      </c>
      <c r="M1017" t="inlineStr">
        <is>
          <t>2100</t>
        </is>
      </c>
      <c r="N1017" t="inlineStr">
        <is>
          <t>AQU4518R9v06</t>
        </is>
      </c>
      <c r="O1017" t="n">
        <v>60</v>
      </c>
      <c r="P1017" t="n">
        <v>120</v>
      </c>
      <c r="Q1017" t="n">
        <v>0</v>
      </c>
      <c r="Y1017" t="inlineStr">
        <is>
          <t>2T2R</t>
        </is>
      </c>
      <c r="AB1017" t="inlineStr">
        <is>
          <t>R9268H M1821</t>
        </is>
      </c>
      <c r="AC1017" t="inlineStr">
        <is>
          <t>A9652 S35*3+R9254E S1800*1+R9254E S8500*2+R9268H M1821*3+R9244 S9000*2</t>
        </is>
      </c>
    </row>
    <row r="1018" hidden="1" ht="15" customHeight="1" s="99">
      <c r="D1018" t="inlineStr">
        <is>
          <t>多一个R9254E S1800</t>
        </is>
      </c>
      <c r="AB1018" t="inlineStr">
        <is>
          <t>R9268H M1821</t>
        </is>
      </c>
    </row>
    <row r="1019" hidden="1" ht="15" customHeight="1" s="99">
      <c r="A1019" t="inlineStr">
        <is>
          <t>ZKAD01</t>
        </is>
      </c>
      <c r="B1019" t="inlineStr">
        <is>
          <t>ZKAD01_GULM0_KADAWATHA_Kd</t>
        </is>
      </c>
      <c r="D1019" t="inlineStr">
        <is>
          <t>多一个R9254E S1800</t>
        </is>
      </c>
      <c r="F1019" t="n">
        <v>6.99575</v>
      </c>
      <c r="G1019" t="n">
        <v>79.9461</v>
      </c>
      <c r="H1019" t="inlineStr">
        <is>
          <t>ZKAD01-M-L18-H1</t>
        </is>
      </c>
      <c r="K1019" t="inlineStr">
        <is>
          <t>S2</t>
        </is>
      </c>
      <c r="L1019" t="inlineStr">
        <is>
          <t>4G</t>
        </is>
      </c>
      <c r="M1019" t="inlineStr">
        <is>
          <t>1800</t>
        </is>
      </c>
      <c r="N1019" t="inlineStr">
        <is>
          <t>AMB4519R6v06</t>
        </is>
      </c>
      <c r="O1019" t="n">
        <v>60</v>
      </c>
      <c r="P1019" t="n">
        <v>120</v>
      </c>
      <c r="Q1019" t="n">
        <v>0</v>
      </c>
      <c r="Y1019" t="inlineStr">
        <is>
          <t>4T4R</t>
        </is>
      </c>
      <c r="AB1019" t="inlineStr">
        <is>
          <t>R9268H M1821</t>
        </is>
      </c>
      <c r="AC1019" t="inlineStr">
        <is>
          <t>A9652 S35*3+R9254E S1800*1+R9254E S8500*2+R9268H M1821*3+R9244 S9000*2</t>
        </is>
      </c>
    </row>
    <row r="1020" hidden="1" ht="15" customHeight="1" s="99">
      <c r="A1020" t="inlineStr">
        <is>
          <t>ZKAD01</t>
        </is>
      </c>
      <c r="B1020" t="inlineStr">
        <is>
          <t>ZKAD01_GULM0_KADAWATHA_Kd</t>
        </is>
      </c>
      <c r="D1020" t="inlineStr">
        <is>
          <t>多一个R9254E S1800</t>
        </is>
      </c>
      <c r="F1020" t="n">
        <v>6.99575</v>
      </c>
      <c r="G1020" t="n">
        <v>79.9461</v>
      </c>
      <c r="H1020" t="inlineStr">
        <is>
          <t>ZKAD01H</t>
        </is>
      </c>
      <c r="K1020" t="inlineStr">
        <is>
          <t>S2</t>
        </is>
      </c>
      <c r="L1020" t="inlineStr">
        <is>
          <t>4G</t>
        </is>
      </c>
      <c r="M1020" t="inlineStr">
        <is>
          <t>1800</t>
        </is>
      </c>
      <c r="N1020" t="inlineStr">
        <is>
          <t>AMB4519R6v06</t>
        </is>
      </c>
      <c r="O1020" t="n">
        <v>60</v>
      </c>
      <c r="P1020" t="n">
        <v>120</v>
      </c>
      <c r="Q1020" t="n">
        <v>0</v>
      </c>
      <c r="Y1020" t="inlineStr">
        <is>
          <t>4T4R</t>
        </is>
      </c>
      <c r="AB1020" t="inlineStr">
        <is>
          <t>R9268H M1821</t>
        </is>
      </c>
      <c r="AC1020" t="inlineStr">
        <is>
          <t>A9652 S35*3+R9254E S1800*1+R9254E S8500*2+R9268H M1821*3+R9244 S9000*2</t>
        </is>
      </c>
    </row>
    <row r="1021" hidden="1" ht="15" customHeight="1" s="99">
      <c r="A1021" t="inlineStr">
        <is>
          <t>ZKAD01</t>
        </is>
      </c>
      <c r="B1021" t="inlineStr"/>
      <c r="D1021" t="inlineStr">
        <is>
          <t>多一个R9254E S1800</t>
        </is>
      </c>
      <c r="F1021">
        <f>_xlfn.XLOOKUP(A1021,'[1]4G Parameters'!$E:$E,'[1]4G Parameters'!$J:$J)</f>
        <v/>
      </c>
      <c r="G1021">
        <f>_xlfn.XLOOKUP(A1021,'[1]4G Parameters'!$E:$E,'[1]4G Parameters'!$I:$I)</f>
        <v/>
      </c>
      <c r="H1021" t="inlineStr">
        <is>
          <t>ZKAD01C</t>
        </is>
      </c>
      <c r="K1021" t="inlineStr">
        <is>
          <t>S3</t>
        </is>
      </c>
      <c r="L1021" t="inlineStr">
        <is>
          <t>2G</t>
        </is>
      </c>
      <c r="M1021" t="inlineStr">
        <is>
          <t>900</t>
        </is>
      </c>
      <c r="N1021" t="inlineStr"/>
      <c r="O1021" t="n">
        <v>18</v>
      </c>
      <c r="P1021" t="n">
        <v>240</v>
      </c>
      <c r="Q1021" t="n">
        <v>2</v>
      </c>
      <c r="Y1021" t="inlineStr"/>
      <c r="AB1021" t="inlineStr">
        <is>
          <t>R9244 S9000</t>
        </is>
      </c>
      <c r="AC1021" t="inlineStr">
        <is>
          <t>A9652 S35*3+R9254E S1800*1+R9254E S8500*2+R9268H M1821*3+R9244 S9000*2</t>
        </is>
      </c>
    </row>
    <row r="1022" hidden="1" ht="15" customHeight="1" s="99">
      <c r="A1022" t="inlineStr">
        <is>
          <t>ZKAD01</t>
        </is>
      </c>
      <c r="B1022" t="inlineStr"/>
      <c r="D1022" t="inlineStr">
        <is>
          <t>多一个R9254E S1800</t>
        </is>
      </c>
      <c r="F1022">
        <f>_xlfn.XLOOKUP(A1022,'[1]4G Parameters'!$E:$E,'[1]4G Parameters'!$J:$J)</f>
        <v/>
      </c>
      <c r="G1022">
        <f>_xlfn.XLOOKUP(A1022,'[1]4G Parameters'!$E:$E,'[1]4G Parameters'!$I:$I)</f>
        <v/>
      </c>
      <c r="H1022" t="inlineStr">
        <is>
          <t>ZKAD01R</t>
        </is>
      </c>
      <c r="K1022" t="inlineStr">
        <is>
          <t>S3</t>
        </is>
      </c>
      <c r="L1022" t="inlineStr">
        <is>
          <t>2G</t>
        </is>
      </c>
      <c r="M1022" t="inlineStr">
        <is>
          <t>1800</t>
        </is>
      </c>
      <c r="N1022" t="inlineStr"/>
      <c r="O1022" t="n">
        <v>18</v>
      </c>
      <c r="P1022" t="n">
        <v>245</v>
      </c>
      <c r="Q1022" t="n">
        <v>2</v>
      </c>
      <c r="Y1022" t="inlineStr"/>
      <c r="AB1022" t="inlineStr">
        <is>
          <t>R9268H M1821</t>
        </is>
      </c>
      <c r="AC1022" t="inlineStr">
        <is>
          <t>A9652 S35*3+R9254E S1800*1+R9254E S8500*2+R9268H M1821*3+R9244 S9000*2</t>
        </is>
      </c>
    </row>
    <row r="1023" hidden="1" ht="15" customHeight="1" s="99">
      <c r="D1023" t="inlineStr">
        <is>
          <t>多一个R9254E S1800</t>
        </is>
      </c>
      <c r="AB1023" t="inlineStr">
        <is>
          <t>R9268H M1821</t>
        </is>
      </c>
    </row>
    <row r="1024" hidden="1" ht="15" customHeight="1" s="99">
      <c r="A1024" t="inlineStr">
        <is>
          <t>ZKAD01</t>
        </is>
      </c>
      <c r="B1024" t="inlineStr">
        <is>
          <t>ZKAD01_GULM0_KADAWATHA_Kd</t>
        </is>
      </c>
      <c r="D1024" t="inlineStr">
        <is>
          <t>多一个R9254E S1800</t>
        </is>
      </c>
      <c r="F1024" t="n">
        <v>6.99575</v>
      </c>
      <c r="G1024" t="n">
        <v>79.9461</v>
      </c>
      <c r="H1024" t="inlineStr">
        <is>
          <t>ZKAD01-M-L85-C1</t>
        </is>
      </c>
      <c r="K1024" t="inlineStr">
        <is>
          <t>S3</t>
        </is>
      </c>
      <c r="L1024" t="inlineStr">
        <is>
          <t>4G</t>
        </is>
      </c>
      <c r="M1024" t="inlineStr">
        <is>
          <t>850</t>
        </is>
      </c>
      <c r="N1024" t="inlineStr">
        <is>
          <t>A10244PD00v06</t>
        </is>
      </c>
      <c r="O1024" t="n">
        <v>60</v>
      </c>
      <c r="P1024" t="n">
        <v>240</v>
      </c>
      <c r="Q1024" t="n">
        <v>0</v>
      </c>
      <c r="Y1024" t="inlineStr">
        <is>
          <t>2T2R</t>
        </is>
      </c>
      <c r="AB1024" t="inlineStr">
        <is>
          <t>R9254E S8500</t>
        </is>
      </c>
      <c r="AC1024" t="inlineStr">
        <is>
          <t>A9652 S35*3+R9254E S1800*1+R9254E S8500*2+R9268H M1821*3+R9244 S9000*2</t>
        </is>
      </c>
    </row>
    <row r="1025" hidden="1" ht="15" customHeight="1" s="99">
      <c r="A1025" t="inlineStr">
        <is>
          <t>ZKAD01</t>
        </is>
      </c>
      <c r="B1025" t="inlineStr">
        <is>
          <t>ZKAD01_GULM0_KADAWATHA_Kd</t>
        </is>
      </c>
      <c r="D1025" t="inlineStr">
        <is>
          <t>多一个R9254E S1800</t>
        </is>
      </c>
      <c r="F1025" t="n">
        <v>6.99575</v>
      </c>
      <c r="G1025" t="n">
        <v>79.9461</v>
      </c>
      <c r="H1025" t="inlineStr">
        <is>
          <t>ZKAD01-M-L21-C2</t>
        </is>
      </c>
      <c r="K1025" t="inlineStr">
        <is>
          <t>S3</t>
        </is>
      </c>
      <c r="L1025" t="inlineStr">
        <is>
          <t>4G</t>
        </is>
      </c>
      <c r="M1025" t="inlineStr">
        <is>
          <t>2100</t>
        </is>
      </c>
      <c r="N1025" t="inlineStr">
        <is>
          <t>A10244PD00v06</t>
        </is>
      </c>
      <c r="O1025" t="n">
        <v>60</v>
      </c>
      <c r="P1025" t="n">
        <v>240</v>
      </c>
      <c r="Q1025" t="n">
        <v>0</v>
      </c>
      <c r="Y1025" t="inlineStr">
        <is>
          <t>8T8R</t>
        </is>
      </c>
      <c r="AB1025" t="inlineStr">
        <is>
          <t>R9268H M1821</t>
        </is>
      </c>
      <c r="AC1025" t="inlineStr">
        <is>
          <t>A9652 S35*3+R9254E S1800*1+R9254E S8500*2+R9268H M1821*3+R9244 S9000*2</t>
        </is>
      </c>
    </row>
    <row r="1026" hidden="1" ht="15" customHeight="1" s="99">
      <c r="A1026" t="inlineStr">
        <is>
          <t>ZKAD01</t>
        </is>
      </c>
      <c r="B1026" t="inlineStr">
        <is>
          <t>ZKAD01_GULM0_KADAWATHA_Kd</t>
        </is>
      </c>
      <c r="D1026" t="inlineStr">
        <is>
          <t>多一个R9254E S1800</t>
        </is>
      </c>
      <c r="F1026" t="n">
        <v>6.99575</v>
      </c>
      <c r="G1026" t="n">
        <v>79.9461</v>
      </c>
      <c r="H1026" t="inlineStr">
        <is>
          <t>ZKAD01-M-L21-C1</t>
        </is>
      </c>
      <c r="K1026" t="inlineStr">
        <is>
          <t>S3</t>
        </is>
      </c>
      <c r="L1026" t="inlineStr">
        <is>
          <t>4G</t>
        </is>
      </c>
      <c r="M1026" t="inlineStr">
        <is>
          <t>2100</t>
        </is>
      </c>
      <c r="N1026" t="inlineStr">
        <is>
          <t>A10244PD00v06</t>
        </is>
      </c>
      <c r="O1026" t="n">
        <v>60</v>
      </c>
      <c r="P1026" t="n">
        <v>240</v>
      </c>
      <c r="Q1026" t="n">
        <v>0</v>
      </c>
      <c r="Y1026" t="inlineStr">
        <is>
          <t>8T8R</t>
        </is>
      </c>
      <c r="AB1026" t="inlineStr">
        <is>
          <t>R9268H M1821</t>
        </is>
      </c>
      <c r="AC1026" t="inlineStr">
        <is>
          <t>A9652 S35*3+R9254E S1800*1+R9254E S8500*2+R9268H M1821*3+R9244 S9000*2</t>
        </is>
      </c>
    </row>
    <row r="1027" hidden="1" ht="15" customHeight="1" s="99">
      <c r="A1027" t="inlineStr">
        <is>
          <t>ZKAD01</t>
        </is>
      </c>
      <c r="B1027" t="inlineStr">
        <is>
          <t>ZKAD01_GULM0_KADAWATHA_Kd</t>
        </is>
      </c>
      <c r="D1027" t="inlineStr">
        <is>
          <t>多一个R9254E S1800</t>
        </is>
      </c>
      <c r="F1027" t="n">
        <v>6.99575</v>
      </c>
      <c r="G1027" t="n">
        <v>79.9461</v>
      </c>
      <c r="H1027" t="inlineStr">
        <is>
          <t>ZKAD01-M-L18-C1</t>
        </is>
      </c>
      <c r="K1027" t="inlineStr">
        <is>
          <t>S3</t>
        </is>
      </c>
      <c r="L1027" t="inlineStr">
        <is>
          <t>4G</t>
        </is>
      </c>
      <c r="M1027" t="inlineStr">
        <is>
          <t>1800</t>
        </is>
      </c>
      <c r="N1027" t="inlineStr">
        <is>
          <t>A10244PD00v06</t>
        </is>
      </c>
      <c r="O1027" t="n">
        <v>60</v>
      </c>
      <c r="P1027" t="n">
        <v>240</v>
      </c>
      <c r="Q1027" t="n">
        <v>0</v>
      </c>
      <c r="Y1027" t="inlineStr">
        <is>
          <t>8T8R</t>
        </is>
      </c>
      <c r="AB1027" t="inlineStr">
        <is>
          <t>R9268H M1821</t>
        </is>
      </c>
      <c r="AC1027" t="inlineStr">
        <is>
          <t>A9652 S35*3+R9254E S1800*1+R9254E S8500*2+R9268H M1821*3+R9244 S9000*2</t>
        </is>
      </c>
    </row>
    <row r="1028" hidden="1" ht="15" customHeight="1" s="99">
      <c r="A1028" t="inlineStr">
        <is>
          <t>ZKAD01</t>
        </is>
      </c>
      <c r="B1028" t="inlineStr">
        <is>
          <t>ZKAD01_GULM0_KADAWATHA_Kd</t>
        </is>
      </c>
      <c r="D1028" t="inlineStr">
        <is>
          <t>多一个R9254E S1800</t>
        </is>
      </c>
      <c r="F1028" t="n">
        <v>6.99575</v>
      </c>
      <c r="G1028" t="n">
        <v>79.9461</v>
      </c>
      <c r="H1028" t="inlineStr">
        <is>
          <t>ZKAD01I</t>
        </is>
      </c>
      <c r="K1028" t="inlineStr">
        <is>
          <t>S3</t>
        </is>
      </c>
      <c r="L1028" t="inlineStr">
        <is>
          <t>4G</t>
        </is>
      </c>
      <c r="M1028" t="inlineStr">
        <is>
          <t>1800</t>
        </is>
      </c>
      <c r="N1028" t="inlineStr">
        <is>
          <t>A10244PD00v06</t>
        </is>
      </c>
      <c r="O1028" t="n">
        <v>60</v>
      </c>
      <c r="P1028" t="n">
        <v>240</v>
      </c>
      <c r="Q1028" t="n">
        <v>0</v>
      </c>
      <c r="Y1028" t="inlineStr">
        <is>
          <t>8T8R</t>
        </is>
      </c>
      <c r="AB1028" t="inlineStr">
        <is>
          <t>R9268H M1821</t>
        </is>
      </c>
      <c r="AC1028" t="inlineStr">
        <is>
          <t>A9652 S35*3+R9254E S1800*1+R9254E S8500*2+R9268H M1821*3+R9244 S9000*2</t>
        </is>
      </c>
    </row>
    <row r="1029" hidden="1" ht="15" customHeight="1" s="99">
      <c r="A1029" t="inlineStr">
        <is>
          <t>ZKAD01</t>
        </is>
      </c>
      <c r="B1029" t="inlineStr"/>
      <c r="D1029" t="inlineStr">
        <is>
          <t>多一个R9254E S1800</t>
        </is>
      </c>
      <c r="F1029">
        <f>_xlfn.XLOOKUP(A1029,'[1]4G Parameters'!$E:$E,'[1]4G Parameters'!$J:$J)</f>
        <v/>
      </c>
      <c r="G1029">
        <f>_xlfn.XLOOKUP(A1029,'[1]4G Parameters'!$E:$E,'[1]4G Parameters'!$I:$I)</f>
        <v/>
      </c>
      <c r="H1029" t="inlineStr">
        <is>
          <t>ZKAD01D</t>
        </is>
      </c>
      <c r="K1029" t="inlineStr">
        <is>
          <t>S4</t>
        </is>
      </c>
      <c r="L1029" t="inlineStr">
        <is>
          <t>2G</t>
        </is>
      </c>
      <c r="M1029" t="inlineStr">
        <is>
          <t>900</t>
        </is>
      </c>
      <c r="N1029" t="inlineStr"/>
      <c r="O1029" t="n">
        <v>18</v>
      </c>
      <c r="P1029" t="n">
        <v>300</v>
      </c>
      <c r="Q1029" t="n">
        <v>2</v>
      </c>
      <c r="Y1029" t="inlineStr"/>
      <c r="AB1029" t="inlineStr">
        <is>
          <t>R9244 S9000</t>
        </is>
      </c>
      <c r="AC1029" t="inlineStr">
        <is>
          <t>A9652 S35*3+R9254E S1800*1+R9254E S8500*2+R9268H M1821*3+R9244 S9000*2</t>
        </is>
      </c>
    </row>
    <row r="1030" hidden="1" ht="15" customHeight="1" s="99">
      <c r="A1030" t="inlineStr">
        <is>
          <t>ZKAD01</t>
        </is>
      </c>
      <c r="B1030" t="inlineStr">
        <is>
          <t>ZKAD01_GULM0_KADAWATHA_Kd</t>
        </is>
      </c>
      <c r="D1030" t="inlineStr">
        <is>
          <t>多一个R9254E S1800</t>
        </is>
      </c>
      <c r="F1030" t="n">
        <v>6.99575</v>
      </c>
      <c r="G1030" t="n">
        <v>79.9461</v>
      </c>
      <c r="H1030" t="inlineStr">
        <is>
          <t>ZKAD01-M-L85-D1</t>
        </is>
      </c>
      <c r="K1030" t="inlineStr">
        <is>
          <t>S4</t>
        </is>
      </c>
      <c r="L1030" t="inlineStr">
        <is>
          <t>4G</t>
        </is>
      </c>
      <c r="M1030" t="inlineStr">
        <is>
          <t>850</t>
        </is>
      </c>
      <c r="N1030" t="inlineStr">
        <is>
          <t>AQU4518R9v06</t>
        </is>
      </c>
      <c r="O1030" t="n">
        <v>60</v>
      </c>
      <c r="P1030" t="n">
        <v>300</v>
      </c>
      <c r="Q1030" t="n">
        <v>0</v>
      </c>
      <c r="Y1030" t="inlineStr">
        <is>
          <t>2T2R</t>
        </is>
      </c>
      <c r="AB1030" t="inlineStr">
        <is>
          <t>R9254E S8500</t>
        </is>
      </c>
      <c r="AC1030" t="inlineStr">
        <is>
          <t>A9652 S35*3+R9254E S1800*1+R9254E S8500*2+R9268H M1821*3+R9244 S9000*2</t>
        </is>
      </c>
    </row>
    <row r="1031" hidden="1" ht="15" customHeight="1" s="99">
      <c r="A1031" t="inlineStr">
        <is>
          <t>ZKAD02</t>
        </is>
      </c>
      <c r="B1031" t="inlineStr"/>
      <c r="F1031">
        <f>_xlfn.XLOOKUP(A1031,'[1]4G Parameters'!$E:$E,'[1]4G Parameters'!$J:$J)</f>
        <v/>
      </c>
      <c r="G1031">
        <f>_xlfn.XLOOKUP(A1031,'[1]4G Parameters'!$E:$E,'[1]4G Parameters'!$I:$I)</f>
        <v/>
      </c>
      <c r="H1031" t="inlineStr">
        <is>
          <t>ZKAD02A</t>
        </is>
      </c>
      <c r="K1031" t="inlineStr">
        <is>
          <t>S1</t>
        </is>
      </c>
      <c r="L1031" t="inlineStr">
        <is>
          <t>2G</t>
        </is>
      </c>
      <c r="M1031" t="inlineStr">
        <is>
          <t>900</t>
        </is>
      </c>
      <c r="N1031" t="inlineStr"/>
      <c r="O1031" t="n">
        <v>12</v>
      </c>
      <c r="P1031" t="n">
        <v>0</v>
      </c>
      <c r="Q1031" t="n">
        <v>2</v>
      </c>
      <c r="Y1031" t="inlineStr"/>
      <c r="AB1031" t="inlineStr">
        <is>
          <t>R9264H M901821</t>
        </is>
      </c>
      <c r="AC1031" t="inlineStr">
        <is>
          <t>A9652 S35*3+R9264H M901821*3+R9254E S8500*2+R9264 M1821N*1</t>
        </is>
      </c>
    </row>
    <row r="1032" hidden="1" ht="15" customHeight="1" s="99">
      <c r="A1032" t="inlineStr">
        <is>
          <t>ZKAD02</t>
        </is>
      </c>
      <c r="B1032" t="inlineStr"/>
      <c r="F1032">
        <f>_xlfn.XLOOKUP(A1032,'[1]4G Parameters'!$E:$E,'[1]4G Parameters'!$J:$J)</f>
        <v/>
      </c>
      <c r="G1032">
        <f>_xlfn.XLOOKUP(A1032,'[1]4G Parameters'!$E:$E,'[1]4G Parameters'!$I:$I)</f>
        <v/>
      </c>
      <c r="H1032" t="inlineStr">
        <is>
          <t>ZKAD02P</t>
        </is>
      </c>
      <c r="K1032" t="inlineStr">
        <is>
          <t>S1</t>
        </is>
      </c>
      <c r="L1032" t="inlineStr">
        <is>
          <t>2G</t>
        </is>
      </c>
      <c r="M1032" t="inlineStr">
        <is>
          <t>1800</t>
        </is>
      </c>
      <c r="N1032" t="inlineStr"/>
      <c r="O1032" t="n">
        <v>12</v>
      </c>
      <c r="P1032" t="n">
        <v>0</v>
      </c>
      <c r="Q1032" t="n">
        <v>2</v>
      </c>
      <c r="Y1032" t="inlineStr"/>
      <c r="AB1032" t="inlineStr">
        <is>
          <t>R9264H M901821</t>
        </is>
      </c>
      <c r="AC1032" t="inlineStr">
        <is>
          <t>A9652 S35*3+R9264H M901821*3+R9254E S8500*2+R9264 M1821N*1</t>
        </is>
      </c>
    </row>
    <row r="1033" hidden="1" ht="15" customHeight="1" s="99">
      <c r="A1033" t="inlineStr">
        <is>
          <t>ZKAD02</t>
        </is>
      </c>
      <c r="B1033" t="inlineStr">
        <is>
          <t>ZKAD02_GUL00_Kadawatha_Kd</t>
        </is>
      </c>
      <c r="F1033" t="n">
        <v>7.00277</v>
      </c>
      <c r="G1033" t="n">
        <v>79.95489999999999</v>
      </c>
      <c r="H1033" t="inlineStr">
        <is>
          <t>ZKAD02-M-L85-A1</t>
        </is>
      </c>
      <c r="K1033" t="inlineStr">
        <is>
          <t>S1</t>
        </is>
      </c>
      <c r="L1033" t="inlineStr">
        <is>
          <t>4G</t>
        </is>
      </c>
      <c r="M1033" t="inlineStr">
        <is>
          <t>850</t>
        </is>
      </c>
      <c r="N1033" t="inlineStr">
        <is>
          <t>AQU4518R9v06</t>
        </is>
      </c>
      <c r="O1033" t="n">
        <v>14</v>
      </c>
      <c r="P1033" t="n">
        <v>0</v>
      </c>
      <c r="Q1033" t="n">
        <v>0</v>
      </c>
      <c r="Y1033" t="inlineStr">
        <is>
          <t>2T2R</t>
        </is>
      </c>
      <c r="AB1033" t="inlineStr">
        <is>
          <t>R9254E S8500</t>
        </is>
      </c>
      <c r="AC1033" t="inlineStr">
        <is>
          <t>A9652 S35*3+R9264H M901821*3+R9254E S8500*2+R9264 M1821N*1</t>
        </is>
      </c>
    </row>
    <row r="1034" hidden="1" ht="15" customHeight="1" s="99">
      <c r="A1034" t="inlineStr">
        <is>
          <t>ZKAD02</t>
        </is>
      </c>
      <c r="B1034" t="inlineStr">
        <is>
          <t>ZKAD02_GUL00_Kadawatha_Kd</t>
        </is>
      </c>
      <c r="F1034" t="n">
        <v>7.00277</v>
      </c>
      <c r="G1034" t="n">
        <v>79.95489999999999</v>
      </c>
      <c r="H1034" t="inlineStr">
        <is>
          <t>ZKAD02-M-L23-A1</t>
        </is>
      </c>
      <c r="K1034" t="inlineStr">
        <is>
          <t>S1</t>
        </is>
      </c>
      <c r="L1034" t="inlineStr">
        <is>
          <t>4G</t>
        </is>
      </c>
      <c r="M1034" t="inlineStr">
        <is>
          <t>2300</t>
        </is>
      </c>
      <c r="N1034" t="inlineStr"/>
      <c r="O1034" t="n">
        <v>14</v>
      </c>
      <c r="P1034" t="n">
        <v>0</v>
      </c>
      <c r="Q1034" t="n">
        <v>0</v>
      </c>
      <c r="Y1034" t="inlineStr">
        <is>
          <t>4T4R</t>
        </is>
      </c>
      <c r="AC1034" t="inlineStr">
        <is>
          <t>A9652 S35*3+R9264H M901821*3+R9254E S8500*2+R9264 M1821N*1</t>
        </is>
      </c>
    </row>
    <row r="1035" hidden="1" ht="15" customHeight="1" s="99">
      <c r="A1035" t="inlineStr">
        <is>
          <t>ZKAD02</t>
        </is>
      </c>
      <c r="B1035" t="inlineStr">
        <is>
          <t>ZKAD02_GUL00_Kadawatha_Kd</t>
        </is>
      </c>
      <c r="F1035" t="n">
        <v>7.00277</v>
      </c>
      <c r="G1035" t="n">
        <v>79.95489999999999</v>
      </c>
      <c r="H1035" t="inlineStr">
        <is>
          <t>ZKAD02-M-L21-A2</t>
        </is>
      </c>
      <c r="K1035" t="inlineStr">
        <is>
          <t>S1</t>
        </is>
      </c>
      <c r="L1035" t="inlineStr">
        <is>
          <t>4G</t>
        </is>
      </c>
      <c r="M1035" t="inlineStr">
        <is>
          <t>2100</t>
        </is>
      </c>
      <c r="N1035" t="inlineStr">
        <is>
          <t>AQU4518R9v06</t>
        </is>
      </c>
      <c r="O1035" t="n">
        <v>14</v>
      </c>
      <c r="P1035" t="n">
        <v>0</v>
      </c>
      <c r="Q1035" t="n">
        <v>0</v>
      </c>
      <c r="Y1035" t="inlineStr">
        <is>
          <t>2T2R</t>
        </is>
      </c>
      <c r="AB1035" t="inlineStr">
        <is>
          <t>R9264H M901821</t>
        </is>
      </c>
      <c r="AC1035" t="inlineStr">
        <is>
          <t>A9652 S35*3+R9264H M901821*3+R9254E S8500*2+R9264 M1821N*1</t>
        </is>
      </c>
    </row>
    <row r="1036" hidden="1" ht="15" customHeight="1" s="99">
      <c r="A1036" t="inlineStr">
        <is>
          <t>ZKAD02</t>
        </is>
      </c>
      <c r="B1036" t="inlineStr">
        <is>
          <t>ZKAD02_GUL00_Kadawatha_Kd</t>
        </is>
      </c>
      <c r="F1036" t="n">
        <v>7.00277</v>
      </c>
      <c r="G1036" t="n">
        <v>79.95489999999999</v>
      </c>
      <c r="H1036" t="inlineStr">
        <is>
          <t>ZKAD02G</t>
        </is>
      </c>
      <c r="K1036" t="inlineStr">
        <is>
          <t>S1</t>
        </is>
      </c>
      <c r="L1036" t="inlineStr">
        <is>
          <t>4G</t>
        </is>
      </c>
      <c r="M1036" t="inlineStr">
        <is>
          <t>1800</t>
        </is>
      </c>
      <c r="N1036" t="inlineStr">
        <is>
          <t>AQU4518R9v06</t>
        </is>
      </c>
      <c r="O1036" t="n">
        <v>14</v>
      </c>
      <c r="P1036" t="n">
        <v>0</v>
      </c>
      <c r="Q1036" t="n">
        <v>0</v>
      </c>
      <c r="Y1036" t="inlineStr">
        <is>
          <t>4T4R</t>
        </is>
      </c>
      <c r="AB1036" t="inlineStr">
        <is>
          <t>R9264H M901821</t>
        </is>
      </c>
      <c r="AC1036" t="inlineStr">
        <is>
          <t>A9652 S35*3+R9264H M901821*3+R9254E S8500*2+R9264 M1821N*1</t>
        </is>
      </c>
    </row>
    <row r="1037" hidden="1" ht="15" customHeight="1" s="99">
      <c r="A1037" t="inlineStr">
        <is>
          <t>ZKAD02</t>
        </is>
      </c>
      <c r="B1037" t="inlineStr"/>
      <c r="F1037">
        <f>_xlfn.XLOOKUP(A1037,'[1]4G Parameters'!$E:$E,'[1]4G Parameters'!$J:$J)</f>
        <v/>
      </c>
      <c r="G1037">
        <f>_xlfn.XLOOKUP(A1037,'[1]4G Parameters'!$E:$E,'[1]4G Parameters'!$I:$I)</f>
        <v/>
      </c>
      <c r="H1037" t="inlineStr">
        <is>
          <t>ZKAD02B</t>
        </is>
      </c>
      <c r="K1037" t="inlineStr">
        <is>
          <t>S2</t>
        </is>
      </c>
      <c r="L1037" t="inlineStr">
        <is>
          <t>2G</t>
        </is>
      </c>
      <c r="M1037" t="inlineStr">
        <is>
          <t>900</t>
        </is>
      </c>
      <c r="N1037" t="inlineStr"/>
      <c r="O1037" t="n">
        <v>12</v>
      </c>
      <c r="P1037" t="n">
        <v>120</v>
      </c>
      <c r="Q1037" t="n">
        <v>2</v>
      </c>
      <c r="Y1037" t="inlineStr"/>
      <c r="AB1037" t="inlineStr">
        <is>
          <t>R9264H M901821</t>
        </is>
      </c>
      <c r="AC1037" t="inlineStr">
        <is>
          <t>A9652 S35*3+R9264H M901821*3+R9254E S8500*2+R9264 M1821N*1</t>
        </is>
      </c>
    </row>
    <row r="1038" hidden="1" ht="15" customHeight="1" s="99">
      <c r="A1038" t="inlineStr">
        <is>
          <t>ZKAD02</t>
        </is>
      </c>
      <c r="B1038" t="inlineStr"/>
      <c r="F1038">
        <f>_xlfn.XLOOKUP(A1038,'[1]4G Parameters'!$E:$E,'[1]4G Parameters'!$J:$J)</f>
        <v/>
      </c>
      <c r="G1038">
        <f>_xlfn.XLOOKUP(A1038,'[1]4G Parameters'!$E:$E,'[1]4G Parameters'!$I:$I)</f>
        <v/>
      </c>
      <c r="H1038" t="inlineStr">
        <is>
          <t>ZKAD02Q</t>
        </is>
      </c>
      <c r="K1038" t="inlineStr">
        <is>
          <t>S2</t>
        </is>
      </c>
      <c r="L1038" t="inlineStr">
        <is>
          <t>2G</t>
        </is>
      </c>
      <c r="M1038" t="inlineStr">
        <is>
          <t>1800</t>
        </is>
      </c>
      <c r="N1038" t="inlineStr"/>
      <c r="O1038" t="n">
        <v>12</v>
      </c>
      <c r="P1038" t="n">
        <v>120</v>
      </c>
      <c r="Q1038" t="n">
        <v>2</v>
      </c>
      <c r="Y1038" t="inlineStr"/>
      <c r="AB1038" t="inlineStr">
        <is>
          <t>R9264H M901821</t>
        </is>
      </c>
      <c r="AC1038" t="inlineStr">
        <is>
          <t>A9652 S35*3+R9264H M901821*3+R9254E S8500*2+R9264 M1821N*1</t>
        </is>
      </c>
    </row>
    <row r="1039" hidden="1" ht="15" customHeight="1" s="99">
      <c r="A1039" t="inlineStr">
        <is>
          <t>ZKAD02</t>
        </is>
      </c>
      <c r="B1039" t="inlineStr">
        <is>
          <t>ZKAD02_GUL00_Kadawatha_Kd</t>
        </is>
      </c>
      <c r="F1039" t="n">
        <v>7.00277</v>
      </c>
      <c r="G1039" t="n">
        <v>79.95489999999999</v>
      </c>
      <c r="H1039" t="inlineStr">
        <is>
          <t>ZKAD02-M-L85-B1</t>
        </is>
      </c>
      <c r="K1039" t="inlineStr">
        <is>
          <t>S2</t>
        </is>
      </c>
      <c r="L1039" t="inlineStr">
        <is>
          <t>4G</t>
        </is>
      </c>
      <c r="M1039" t="inlineStr">
        <is>
          <t>850</t>
        </is>
      </c>
      <c r="N1039" t="inlineStr">
        <is>
          <t>AQU4518R9v06</t>
        </is>
      </c>
      <c r="O1039" t="n">
        <v>14</v>
      </c>
      <c r="P1039" t="n">
        <v>120</v>
      </c>
      <c r="Q1039" t="n">
        <v>0</v>
      </c>
      <c r="Y1039" t="inlineStr">
        <is>
          <t>2T2R</t>
        </is>
      </c>
      <c r="AB1039" t="inlineStr">
        <is>
          <t>R9254E S8500</t>
        </is>
      </c>
      <c r="AC1039" t="inlineStr">
        <is>
          <t>A9652 S35*3+R9264H M901821*3+R9254E S8500*2+R9264 M1821N*1</t>
        </is>
      </c>
    </row>
    <row r="1040" hidden="1" ht="15" customHeight="1" s="99">
      <c r="A1040" t="inlineStr">
        <is>
          <t>ZKAD02</t>
        </is>
      </c>
      <c r="B1040" t="inlineStr">
        <is>
          <t>ZKAD02_GUL00_Kadawatha_Kd</t>
        </is>
      </c>
      <c r="F1040" t="n">
        <v>7.00277</v>
      </c>
      <c r="G1040" t="n">
        <v>79.95489999999999</v>
      </c>
      <c r="H1040" t="inlineStr">
        <is>
          <t>ZKAD02-M-L23-B1</t>
        </is>
      </c>
      <c r="K1040" t="inlineStr">
        <is>
          <t>S2</t>
        </is>
      </c>
      <c r="L1040" t="inlineStr">
        <is>
          <t>4G</t>
        </is>
      </c>
      <c r="M1040" t="inlineStr">
        <is>
          <t>2300</t>
        </is>
      </c>
      <c r="N1040" t="inlineStr"/>
      <c r="O1040" t="n">
        <v>14</v>
      </c>
      <c r="P1040" t="n">
        <v>120</v>
      </c>
      <c r="Q1040" t="n">
        <v>0</v>
      </c>
      <c r="Y1040" t="inlineStr">
        <is>
          <t>4T4R</t>
        </is>
      </c>
      <c r="AC1040" t="inlineStr">
        <is>
          <t>A9652 S35*3+R9264H M901821*3+R9254E S8500*2+R9264 M1821N*1</t>
        </is>
      </c>
    </row>
    <row r="1041" hidden="1" ht="15" customHeight="1" s="99">
      <c r="A1041" t="inlineStr">
        <is>
          <t>ZKAD02</t>
        </is>
      </c>
      <c r="B1041" t="inlineStr">
        <is>
          <t>ZKAD02_GUL00_Kadawatha_Kd</t>
        </is>
      </c>
      <c r="F1041" t="n">
        <v>7.00277</v>
      </c>
      <c r="G1041" t="n">
        <v>79.95489999999999</v>
      </c>
      <c r="H1041" t="inlineStr">
        <is>
          <t>ZKAD02-M-L21-B2</t>
        </is>
      </c>
      <c r="K1041" t="inlineStr">
        <is>
          <t>S2</t>
        </is>
      </c>
      <c r="L1041" t="inlineStr">
        <is>
          <t>4G</t>
        </is>
      </c>
      <c r="M1041" t="inlineStr">
        <is>
          <t>2100</t>
        </is>
      </c>
      <c r="N1041" t="inlineStr">
        <is>
          <t>AQU4518R9v06</t>
        </is>
      </c>
      <c r="O1041" t="n">
        <v>14</v>
      </c>
      <c r="P1041" t="n">
        <v>120</v>
      </c>
      <c r="Q1041" t="n">
        <v>0</v>
      </c>
      <c r="Y1041" t="inlineStr">
        <is>
          <t>2T2R</t>
        </is>
      </c>
      <c r="AB1041" t="inlineStr">
        <is>
          <t>R9264H M901821</t>
        </is>
      </c>
      <c r="AC1041" t="inlineStr">
        <is>
          <t>A9652 S35*3+R9264H M901821*3+R9254E S8500*2+R9264 M1821N*1</t>
        </is>
      </c>
    </row>
    <row r="1042" hidden="1" ht="15" customHeight="1" s="99">
      <c r="A1042" t="inlineStr">
        <is>
          <t>ZKAD02</t>
        </is>
      </c>
      <c r="B1042" t="inlineStr">
        <is>
          <t>ZKAD02_GUL00_Kadawatha_Kd</t>
        </is>
      </c>
      <c r="F1042" t="n">
        <v>7.00277</v>
      </c>
      <c r="G1042" t="n">
        <v>79.95489999999999</v>
      </c>
      <c r="H1042" t="inlineStr">
        <is>
          <t>ZKAD02H</t>
        </is>
      </c>
      <c r="K1042" t="inlineStr">
        <is>
          <t>S2</t>
        </is>
      </c>
      <c r="L1042" t="inlineStr">
        <is>
          <t>4G</t>
        </is>
      </c>
      <c r="M1042" t="inlineStr">
        <is>
          <t>1800</t>
        </is>
      </c>
      <c r="N1042" t="inlineStr">
        <is>
          <t>AQU4518R9v06</t>
        </is>
      </c>
      <c r="O1042" t="n">
        <v>14</v>
      </c>
      <c r="P1042" t="n">
        <v>120</v>
      </c>
      <c r="Q1042" t="n">
        <v>0</v>
      </c>
      <c r="Y1042" t="inlineStr">
        <is>
          <t>4T4R</t>
        </is>
      </c>
      <c r="AB1042" t="inlineStr">
        <is>
          <t>R9264H M901821</t>
        </is>
      </c>
      <c r="AC1042" t="inlineStr">
        <is>
          <t>A9652 S35*3+R9264H M901821*3+R9254E S8500*2+R9264 M1821N*1</t>
        </is>
      </c>
    </row>
    <row r="1043" hidden="1" ht="15" customHeight="1" s="99">
      <c r="A1043" t="inlineStr">
        <is>
          <t>ZKAD02</t>
        </is>
      </c>
      <c r="B1043" t="inlineStr"/>
      <c r="F1043">
        <f>_xlfn.XLOOKUP(A1043,'[1]4G Parameters'!$E:$E,'[1]4G Parameters'!$J:$J)</f>
        <v/>
      </c>
      <c r="G1043">
        <f>_xlfn.XLOOKUP(A1043,'[1]4G Parameters'!$E:$E,'[1]4G Parameters'!$I:$I)</f>
        <v/>
      </c>
      <c r="H1043" t="inlineStr">
        <is>
          <t>ZKAD02C</t>
        </is>
      </c>
      <c r="K1043" t="inlineStr">
        <is>
          <t>S3</t>
        </is>
      </c>
      <c r="L1043" t="inlineStr">
        <is>
          <t>2G</t>
        </is>
      </c>
      <c r="M1043" t="inlineStr">
        <is>
          <t>900</t>
        </is>
      </c>
      <c r="N1043" t="inlineStr"/>
      <c r="O1043" t="n">
        <v>12</v>
      </c>
      <c r="P1043" t="n">
        <v>240</v>
      </c>
      <c r="Q1043" t="n">
        <v>2</v>
      </c>
      <c r="Y1043" t="inlineStr"/>
      <c r="AB1043" t="inlineStr">
        <is>
          <t>R9264H M901821</t>
        </is>
      </c>
      <c r="AC1043" t="inlineStr">
        <is>
          <t>A9652 S35*3+R9264H M901821*3+R9254E S8500*2+R9264 M1821N*1</t>
        </is>
      </c>
    </row>
    <row r="1044" hidden="1" ht="15" customHeight="1" s="99">
      <c r="A1044" t="inlineStr">
        <is>
          <t>ZKAD02</t>
        </is>
      </c>
      <c r="B1044" t="inlineStr"/>
      <c r="D1044" t="inlineStr">
        <is>
          <t>无2100</t>
        </is>
      </c>
      <c r="F1044">
        <f>_xlfn.XLOOKUP(A1044,'[1]4G Parameters'!$E:$E,'[1]4G Parameters'!$J:$J)</f>
        <v/>
      </c>
      <c r="G1044">
        <f>_xlfn.XLOOKUP(A1044,'[1]4G Parameters'!$E:$E,'[1]4G Parameters'!$I:$I)</f>
        <v/>
      </c>
      <c r="H1044" t="inlineStr">
        <is>
          <t>ZKAD02R</t>
        </is>
      </c>
      <c r="K1044" t="inlineStr">
        <is>
          <t>S3</t>
        </is>
      </c>
      <c r="L1044" t="inlineStr">
        <is>
          <t>2G</t>
        </is>
      </c>
      <c r="M1044" t="inlineStr">
        <is>
          <t>1800</t>
        </is>
      </c>
      <c r="N1044" t="inlineStr"/>
      <c r="O1044" t="n">
        <v>12</v>
      </c>
      <c r="P1044" t="n">
        <v>240</v>
      </c>
      <c r="Q1044" t="n">
        <v>2</v>
      </c>
      <c r="Y1044" t="inlineStr"/>
      <c r="AB1044" t="inlineStr">
        <is>
          <t>R9264H M901821</t>
        </is>
      </c>
      <c r="AC1044" t="inlineStr">
        <is>
          <t>A9652 S35*3+R9264H M901821*3+R9254E S8500*2+R9264 M1821N*1</t>
        </is>
      </c>
    </row>
    <row r="1045" hidden="1" ht="15" customHeight="1" s="99">
      <c r="A1045" t="inlineStr">
        <is>
          <t>ZKAD02</t>
        </is>
      </c>
      <c r="B1045" t="inlineStr">
        <is>
          <t>ZKAD02_GUL00_Kadawatha_Kd</t>
        </is>
      </c>
      <c r="F1045" t="n">
        <v>7.00277</v>
      </c>
      <c r="G1045" t="n">
        <v>79.95489999999999</v>
      </c>
      <c r="H1045" t="inlineStr">
        <is>
          <t>ZKAD02-M-L85-C1</t>
        </is>
      </c>
      <c r="K1045" t="inlineStr">
        <is>
          <t>S3</t>
        </is>
      </c>
      <c r="L1045" t="inlineStr">
        <is>
          <t>4G</t>
        </is>
      </c>
      <c r="M1045" t="inlineStr">
        <is>
          <t>850</t>
        </is>
      </c>
      <c r="N1045" t="inlineStr">
        <is>
          <t>AQU4518R9v06</t>
        </is>
      </c>
      <c r="O1045" t="n">
        <v>14</v>
      </c>
      <c r="P1045" t="n">
        <v>240</v>
      </c>
      <c r="Q1045" t="n">
        <v>0</v>
      </c>
      <c r="Y1045" t="inlineStr">
        <is>
          <t>2T2R</t>
        </is>
      </c>
      <c r="AB1045" t="inlineStr">
        <is>
          <t>R9254E S8500</t>
        </is>
      </c>
      <c r="AC1045" t="inlineStr">
        <is>
          <t>A9652 S35*3+R9264H M901821*3+R9254E S8500*2+R9264 M1821N*1</t>
        </is>
      </c>
    </row>
    <row r="1046" hidden="1" ht="15" customHeight="1" s="99">
      <c r="A1046" t="inlineStr">
        <is>
          <t>ZKAD02</t>
        </is>
      </c>
      <c r="B1046" t="inlineStr">
        <is>
          <t>ZKAD02_GUL00_Kadawatha_Kd</t>
        </is>
      </c>
      <c r="F1046" t="n">
        <v>7.00277</v>
      </c>
      <c r="G1046" t="n">
        <v>79.95489999999999</v>
      </c>
      <c r="H1046" t="inlineStr">
        <is>
          <t>ZKAD02-M-L23-C1</t>
        </is>
      </c>
      <c r="K1046" t="inlineStr">
        <is>
          <t>S3</t>
        </is>
      </c>
      <c r="L1046" t="inlineStr">
        <is>
          <t>4G</t>
        </is>
      </c>
      <c r="M1046" t="inlineStr">
        <is>
          <t>2300</t>
        </is>
      </c>
      <c r="N1046" t="inlineStr"/>
      <c r="O1046" t="n">
        <v>14</v>
      </c>
      <c r="P1046" t="n">
        <v>240</v>
      </c>
      <c r="Q1046" t="n">
        <v>0</v>
      </c>
      <c r="Y1046" t="inlineStr">
        <is>
          <t>4T4R</t>
        </is>
      </c>
      <c r="AC1046" t="inlineStr">
        <is>
          <t>A9652 S35*3+R9264H M901821*3+R9254E S8500*2+R9264 M1821N*1</t>
        </is>
      </c>
    </row>
    <row r="1047" hidden="1" ht="15" customHeight="1" s="99">
      <c r="A1047" t="inlineStr">
        <is>
          <t>ZKAD02</t>
        </is>
      </c>
      <c r="B1047" t="inlineStr">
        <is>
          <t>ZKAD02_GUL00_Kadawatha_Kd</t>
        </is>
      </c>
      <c r="D1047" t="inlineStr">
        <is>
          <t>无2100</t>
        </is>
      </c>
      <c r="F1047" t="n">
        <v>7.00277</v>
      </c>
      <c r="G1047" t="n">
        <v>79.95489999999999</v>
      </c>
      <c r="H1047" t="inlineStr">
        <is>
          <t>ZKAD02I</t>
        </is>
      </c>
      <c r="K1047" t="inlineStr">
        <is>
          <t>S3</t>
        </is>
      </c>
      <c r="L1047" t="inlineStr">
        <is>
          <t>4G</t>
        </is>
      </c>
      <c r="M1047" t="inlineStr">
        <is>
          <t>1800</t>
        </is>
      </c>
      <c r="N1047" t="inlineStr">
        <is>
          <t>AQU4518R9v06</t>
        </is>
      </c>
      <c r="O1047" t="n">
        <v>14</v>
      </c>
      <c r="P1047" t="n">
        <v>240</v>
      </c>
      <c r="Q1047" t="n">
        <v>0</v>
      </c>
      <c r="Y1047" t="inlineStr">
        <is>
          <t>4T4R</t>
        </is>
      </c>
      <c r="AB1047" t="inlineStr">
        <is>
          <t>R9264H M901821</t>
        </is>
      </c>
      <c r="AC1047" t="inlineStr">
        <is>
          <t>A9652 S35*3+R9264H M901821*3+R9254E S8500*2+R9264 M1821N*1</t>
        </is>
      </c>
    </row>
    <row r="1048" hidden="1" ht="15" customHeight="1" s="99">
      <c r="A1048" t="inlineStr">
        <is>
          <t>ZKAD02</t>
        </is>
      </c>
      <c r="B1048" t="inlineStr">
        <is>
          <t>ZKAD02_GUL00_Kadawatha_Kd</t>
        </is>
      </c>
      <c r="D1048" t="inlineStr">
        <is>
          <t>无2100</t>
        </is>
      </c>
      <c r="F1048" t="n">
        <v>7.00277</v>
      </c>
      <c r="G1048" t="n">
        <v>79.95489999999999</v>
      </c>
      <c r="H1048" t="inlineStr">
        <is>
          <t>ZKAD02F</t>
        </is>
      </c>
      <c r="K1048" t="inlineStr">
        <is>
          <t>S4</t>
        </is>
      </c>
      <c r="L1048" t="inlineStr">
        <is>
          <t>4G</t>
        </is>
      </c>
      <c r="M1048" t="inlineStr">
        <is>
          <t>1800</t>
        </is>
      </c>
      <c r="N1048" t="inlineStr">
        <is>
          <t>ATR4517R0v06</t>
        </is>
      </c>
      <c r="O1048" t="n">
        <v>14</v>
      </c>
      <c r="P1048" t="n">
        <v>270</v>
      </c>
      <c r="Q1048" t="n">
        <v>0</v>
      </c>
      <c r="Y1048" t="inlineStr">
        <is>
          <t>2T2R</t>
        </is>
      </c>
      <c r="AB1048" t="inlineStr">
        <is>
          <t>R9264 M1821N</t>
        </is>
      </c>
      <c r="AC1048" t="inlineStr">
        <is>
          <t>A9652 S35*3+R9264H M901821*3+R9254E S8500*2+R9264 M1821N*1</t>
        </is>
      </c>
    </row>
    <row r="1049" hidden="1" ht="15" customHeight="1" s="99">
      <c r="A1049" t="inlineStr">
        <is>
          <t>ZKAD04</t>
        </is>
      </c>
      <c r="B1049" t="inlineStr"/>
      <c r="F1049">
        <f>_xlfn.XLOOKUP(A1049,'[1]4G Parameters'!$E:$E,'[1]4G Parameters'!$J:$J)</f>
        <v/>
      </c>
      <c r="G1049">
        <f>_xlfn.XLOOKUP(A1049,'[1]4G Parameters'!$E:$E,'[1]4G Parameters'!$I:$I)</f>
        <v/>
      </c>
      <c r="H1049" t="inlineStr">
        <is>
          <t>ZKAD04A</t>
        </is>
      </c>
      <c r="K1049" t="inlineStr">
        <is>
          <t>S1</t>
        </is>
      </c>
      <c r="L1049" t="inlineStr">
        <is>
          <t>2G</t>
        </is>
      </c>
      <c r="M1049" t="inlineStr">
        <is>
          <t>900</t>
        </is>
      </c>
      <c r="N1049" t="inlineStr"/>
      <c r="O1049" t="n">
        <v>40</v>
      </c>
      <c r="P1049" t="n">
        <v>0</v>
      </c>
      <c r="Q1049" t="n">
        <v>2</v>
      </c>
      <c r="Y1049" t="inlineStr"/>
      <c r="AB1049" t="inlineStr">
        <is>
          <t>R9244 S9000</t>
        </is>
      </c>
      <c r="AC1049" t="inlineStr">
        <is>
          <t>A9652 S35*3+R9254E S8500*2+R9268H M1821*3+R9244 S9000*2</t>
        </is>
      </c>
    </row>
    <row r="1050" hidden="1" ht="15" customHeight="1" s="99">
      <c r="A1050" t="inlineStr">
        <is>
          <t>ZKAD04</t>
        </is>
      </c>
      <c r="B1050" t="inlineStr"/>
      <c r="F1050">
        <f>_xlfn.XLOOKUP(A1050,'[1]4G Parameters'!$E:$E,'[1]4G Parameters'!$J:$J)</f>
        <v/>
      </c>
      <c r="G1050">
        <f>_xlfn.XLOOKUP(A1050,'[1]4G Parameters'!$E:$E,'[1]4G Parameters'!$I:$I)</f>
        <v/>
      </c>
      <c r="H1050" t="inlineStr">
        <is>
          <t>ZKAD04P</t>
        </is>
      </c>
      <c r="K1050" t="inlineStr">
        <is>
          <t>S1</t>
        </is>
      </c>
      <c r="L1050" t="inlineStr">
        <is>
          <t>2G</t>
        </is>
      </c>
      <c r="M1050" t="inlineStr">
        <is>
          <t>1800</t>
        </is>
      </c>
      <c r="N1050" t="inlineStr"/>
      <c r="O1050" t="n">
        <v>40</v>
      </c>
      <c r="P1050" t="n">
        <v>0</v>
      </c>
      <c r="Q1050" t="n">
        <v>2</v>
      </c>
      <c r="Y1050" t="inlineStr"/>
      <c r="AB1050" t="inlineStr">
        <is>
          <t>R9268H M1821</t>
        </is>
      </c>
      <c r="AC1050" t="inlineStr">
        <is>
          <t>A9652 S35*3+R9254E S8500*2+R9268H M1821*3+R9244 S9000*2</t>
        </is>
      </c>
    </row>
    <row r="1051" hidden="1" ht="15" customHeight="1" s="99"/>
    <row r="1052" hidden="1" ht="15" customHeight="1" s="99">
      <c r="A1052" t="inlineStr">
        <is>
          <t>ZKAD04</t>
        </is>
      </c>
      <c r="B1052" t="inlineStr">
        <is>
          <t>ZKAD04_GUL00_SURIYAPALUWA_IP_Kd</t>
        </is>
      </c>
      <c r="F1052" t="n">
        <v>7.01725</v>
      </c>
      <c r="G1052" t="n">
        <v>79.9686</v>
      </c>
      <c r="H1052" t="inlineStr">
        <is>
          <t>ZKAD04-M-L85-A1</t>
        </is>
      </c>
      <c r="K1052" t="inlineStr">
        <is>
          <t>S1</t>
        </is>
      </c>
      <c r="L1052" t="inlineStr">
        <is>
          <t>4G</t>
        </is>
      </c>
      <c r="M1052" t="inlineStr">
        <is>
          <t>850</t>
        </is>
      </c>
      <c r="N1052" t="inlineStr">
        <is>
          <t>AQU4518R9v06</t>
        </is>
      </c>
      <c r="O1052" t="n">
        <v>40</v>
      </c>
      <c r="P1052" t="n">
        <v>0</v>
      </c>
      <c r="Q1052" t="n">
        <v>0</v>
      </c>
      <c r="Y1052" t="inlineStr">
        <is>
          <t>2T2R</t>
        </is>
      </c>
      <c r="AB1052" t="inlineStr">
        <is>
          <t>R9254E S8500</t>
        </is>
      </c>
      <c r="AC1052" t="inlineStr">
        <is>
          <t>A9652 S35*3+R9254E S8500*2+R9268H M1821*3+R9244 S9000*2</t>
        </is>
      </c>
    </row>
    <row r="1053" hidden="1" ht="15" customHeight="1" s="99">
      <c r="A1053" t="inlineStr">
        <is>
          <t>ZKAD04</t>
        </is>
      </c>
      <c r="B1053" t="inlineStr">
        <is>
          <t>ZKAD04_GUL00_SURIYAPALUWA_IP_Kd</t>
        </is>
      </c>
      <c r="F1053" t="n">
        <v>7.01725</v>
      </c>
      <c r="G1053" t="n">
        <v>79.9686</v>
      </c>
      <c r="H1053" t="inlineStr">
        <is>
          <t>ZKAD04-M-L21-A2</t>
        </is>
      </c>
      <c r="K1053" t="inlineStr">
        <is>
          <t>S1</t>
        </is>
      </c>
      <c r="L1053" t="inlineStr">
        <is>
          <t>4G</t>
        </is>
      </c>
      <c r="M1053" t="inlineStr">
        <is>
          <t>2100</t>
        </is>
      </c>
      <c r="N1053" t="inlineStr">
        <is>
          <t>AQU4518R9v06</t>
        </is>
      </c>
      <c r="O1053" t="n">
        <v>40</v>
      </c>
      <c r="P1053" t="n">
        <v>0</v>
      </c>
      <c r="Q1053" t="n">
        <v>0</v>
      </c>
      <c r="Y1053" t="inlineStr">
        <is>
          <t>2T2R</t>
        </is>
      </c>
      <c r="AB1053" t="inlineStr">
        <is>
          <t>R9268H M1821</t>
        </is>
      </c>
      <c r="AC1053" t="inlineStr">
        <is>
          <t>A9652 S35*3+R9254E S8500*2+R9268H M1821*3+R9244 S9000*2</t>
        </is>
      </c>
    </row>
    <row r="1054" hidden="1" ht="15" customHeight="1" s="99"/>
    <row r="1055" hidden="1" ht="15" customHeight="1" s="99">
      <c r="A1055" t="inlineStr">
        <is>
          <t>ZKAD04</t>
        </is>
      </c>
      <c r="B1055" t="inlineStr">
        <is>
          <t>ZKAD04_GUL00_SURIYAPALUWA_IP_Kd</t>
        </is>
      </c>
      <c r="F1055" t="n">
        <v>7.01725</v>
      </c>
      <c r="G1055" t="n">
        <v>79.9686</v>
      </c>
      <c r="H1055" t="inlineStr">
        <is>
          <t>ZKAD04G</t>
        </is>
      </c>
      <c r="K1055" t="inlineStr">
        <is>
          <t>S1</t>
        </is>
      </c>
      <c r="L1055" t="inlineStr">
        <is>
          <t>4G</t>
        </is>
      </c>
      <c r="M1055" t="inlineStr">
        <is>
          <t>1800</t>
        </is>
      </c>
      <c r="N1055" t="inlineStr">
        <is>
          <t>AMB4519R6v06</t>
        </is>
      </c>
      <c r="O1055" t="n">
        <v>40</v>
      </c>
      <c r="P1055" t="n">
        <v>0</v>
      </c>
      <c r="Q1055" t="n">
        <v>0</v>
      </c>
      <c r="Y1055" t="inlineStr">
        <is>
          <t>2T2R</t>
        </is>
      </c>
      <c r="AB1055" t="inlineStr">
        <is>
          <t>R9268H M1821</t>
        </is>
      </c>
      <c r="AC1055" t="inlineStr">
        <is>
          <t>A9652 S35*3+R9254E S8500*2+R9268H M1821*3+R9244 S9000*2</t>
        </is>
      </c>
    </row>
    <row r="1056" hidden="1" ht="15" customHeight="1" s="99">
      <c r="A1056" t="inlineStr">
        <is>
          <t>ZKAD04</t>
        </is>
      </c>
      <c r="B1056" t="inlineStr">
        <is>
          <t>ZKAD04_GUL00_SURIYAPALUWA_IP_Kd</t>
        </is>
      </c>
      <c r="F1056" t="n">
        <v>7.01725</v>
      </c>
      <c r="G1056" t="n">
        <v>79.9686</v>
      </c>
      <c r="H1056" t="inlineStr">
        <is>
          <t>ZKAD04-M-L18-A1</t>
        </is>
      </c>
      <c r="K1056" t="inlineStr">
        <is>
          <t>S1</t>
        </is>
      </c>
      <c r="L1056" t="inlineStr">
        <is>
          <t>4G</t>
        </is>
      </c>
      <c r="M1056" t="inlineStr">
        <is>
          <t>1800</t>
        </is>
      </c>
      <c r="N1056" t="inlineStr">
        <is>
          <t>AMB4519R6v06</t>
        </is>
      </c>
      <c r="O1056" t="n">
        <v>40</v>
      </c>
      <c r="P1056" t="n">
        <v>0</v>
      </c>
      <c r="Q1056" t="n">
        <v>0</v>
      </c>
      <c r="Y1056" t="inlineStr">
        <is>
          <t>2T2R</t>
        </is>
      </c>
      <c r="AB1056" t="inlineStr">
        <is>
          <t>R9268H M1821</t>
        </is>
      </c>
      <c r="AC1056" t="inlineStr">
        <is>
          <t>A9652 S35*3+R9254E S8500*2+R9268H M1821*3+R9244 S9000*2</t>
        </is>
      </c>
    </row>
    <row r="1057" hidden="1" ht="15" customHeight="1" s="99">
      <c r="A1057" t="inlineStr">
        <is>
          <t>ZKAD04</t>
        </is>
      </c>
      <c r="B1057" t="inlineStr"/>
      <c r="F1057">
        <f>_xlfn.XLOOKUP(A1057,'[1]4G Parameters'!$E:$E,'[1]4G Parameters'!$J:$J)</f>
        <v/>
      </c>
      <c r="G1057">
        <f>_xlfn.XLOOKUP(A1057,'[1]4G Parameters'!$E:$E,'[1]4G Parameters'!$I:$I)</f>
        <v/>
      </c>
      <c r="H1057" t="inlineStr">
        <is>
          <t>ZKAD04B</t>
        </is>
      </c>
      <c r="K1057" t="inlineStr">
        <is>
          <t>S2</t>
        </is>
      </c>
      <c r="L1057" t="inlineStr">
        <is>
          <t>2G</t>
        </is>
      </c>
      <c r="M1057" t="inlineStr">
        <is>
          <t>900</t>
        </is>
      </c>
      <c r="N1057" t="inlineStr"/>
      <c r="O1057" t="n">
        <v>40</v>
      </c>
      <c r="P1057" t="n">
        <v>120</v>
      </c>
      <c r="Q1057" t="n">
        <v>2</v>
      </c>
      <c r="Y1057" t="inlineStr"/>
      <c r="AB1057" t="inlineStr">
        <is>
          <t>R9244 S9000</t>
        </is>
      </c>
      <c r="AC1057" t="inlineStr">
        <is>
          <t>A9652 S35*3+R9254E S8500*2+R9268H M1821*3+R9244 S9000*2</t>
        </is>
      </c>
    </row>
    <row r="1058" hidden="1" ht="15" customHeight="1" s="99">
      <c r="A1058" t="inlineStr">
        <is>
          <t>ZKAD04</t>
        </is>
      </c>
      <c r="B1058" t="inlineStr"/>
      <c r="F1058">
        <f>_xlfn.XLOOKUP(A1058,'[1]4G Parameters'!$E:$E,'[1]4G Parameters'!$J:$J)</f>
        <v/>
      </c>
      <c r="G1058">
        <f>_xlfn.XLOOKUP(A1058,'[1]4G Parameters'!$E:$E,'[1]4G Parameters'!$I:$I)</f>
        <v/>
      </c>
      <c r="H1058" t="inlineStr">
        <is>
          <t>ZKAD04Q</t>
        </is>
      </c>
      <c r="K1058" t="inlineStr">
        <is>
          <t>S2</t>
        </is>
      </c>
      <c r="L1058" t="inlineStr">
        <is>
          <t>2G</t>
        </is>
      </c>
      <c r="M1058" t="inlineStr">
        <is>
          <t>1800</t>
        </is>
      </c>
      <c r="N1058" t="inlineStr"/>
      <c r="O1058" t="n">
        <v>40</v>
      </c>
      <c r="P1058" t="n">
        <v>120</v>
      </c>
      <c r="Q1058" t="n">
        <v>2</v>
      </c>
      <c r="Y1058" t="inlineStr"/>
      <c r="AB1058" t="inlineStr">
        <is>
          <t>R9268H M1821</t>
        </is>
      </c>
      <c r="AC1058" t="inlineStr">
        <is>
          <t>A9652 S35*3+R9254E S8500*2+R9268H M1821*3+R9244 S9000*2</t>
        </is>
      </c>
    </row>
    <row r="1059" hidden="1" ht="15" customHeight="1" s="99"/>
    <row r="1060" hidden="1" ht="15" customHeight="1" s="99">
      <c r="A1060" t="inlineStr">
        <is>
          <t>ZKAD04</t>
        </is>
      </c>
      <c r="B1060" t="inlineStr">
        <is>
          <t>ZKAD04_GUL00_SURIYAPALUWA_IP_Kd</t>
        </is>
      </c>
      <c r="F1060" t="n">
        <v>7.01725</v>
      </c>
      <c r="G1060" t="n">
        <v>79.9686</v>
      </c>
      <c r="H1060" t="inlineStr">
        <is>
          <t>ZKAD04-M-L85-B1</t>
        </is>
      </c>
      <c r="K1060" t="inlineStr">
        <is>
          <t>S2</t>
        </is>
      </c>
      <c r="L1060" t="inlineStr">
        <is>
          <t>4G</t>
        </is>
      </c>
      <c r="M1060" t="inlineStr">
        <is>
          <t>850</t>
        </is>
      </c>
      <c r="N1060" t="inlineStr">
        <is>
          <t>AQU4518R9v06</t>
        </is>
      </c>
      <c r="O1060" t="n">
        <v>40</v>
      </c>
      <c r="P1060" t="n">
        <v>120</v>
      </c>
      <c r="Q1060" t="n">
        <v>0</v>
      </c>
      <c r="Y1060" t="inlineStr">
        <is>
          <t>2T2R</t>
        </is>
      </c>
      <c r="AB1060" t="inlineStr">
        <is>
          <t>R9254E S8500</t>
        </is>
      </c>
      <c r="AC1060" t="inlineStr">
        <is>
          <t>A9652 S35*3+R9254E S8500*2+R9268H M1821*3+R9244 S9000*2</t>
        </is>
      </c>
    </row>
    <row r="1061" hidden="1" ht="15" customHeight="1" s="99">
      <c r="A1061" t="inlineStr">
        <is>
          <t>ZKAD04</t>
        </is>
      </c>
      <c r="B1061" t="inlineStr">
        <is>
          <t>ZKAD04_GUL00_SURIYAPALUWA_IP_Kd</t>
        </is>
      </c>
      <c r="F1061" t="n">
        <v>7.01725</v>
      </c>
      <c r="G1061" t="n">
        <v>79.9686</v>
      </c>
      <c r="H1061" t="inlineStr">
        <is>
          <t>ZKAD04-M-L21-B2</t>
        </is>
      </c>
      <c r="K1061" t="inlineStr">
        <is>
          <t>S2</t>
        </is>
      </c>
      <c r="L1061" t="inlineStr">
        <is>
          <t>4G</t>
        </is>
      </c>
      <c r="M1061" t="inlineStr">
        <is>
          <t>2100</t>
        </is>
      </c>
      <c r="N1061" t="inlineStr">
        <is>
          <t>AMB4519R6v06</t>
        </is>
      </c>
      <c r="O1061" t="n">
        <v>40</v>
      </c>
      <c r="P1061" t="n">
        <v>120</v>
      </c>
      <c r="Q1061" t="n">
        <v>0</v>
      </c>
      <c r="Y1061" t="inlineStr">
        <is>
          <t>2T2R</t>
        </is>
      </c>
      <c r="AB1061" t="inlineStr">
        <is>
          <t>R9268H M1821</t>
        </is>
      </c>
      <c r="AC1061" t="inlineStr">
        <is>
          <t>A9652 S35*3+R9254E S8500*2+R9268H M1821*3+R9244 S9000*2</t>
        </is>
      </c>
    </row>
    <row r="1062" hidden="1" ht="15" customHeight="1" s="99">
      <c r="A1062" t="inlineStr">
        <is>
          <t>ZKAD04</t>
        </is>
      </c>
      <c r="B1062" t="inlineStr">
        <is>
          <t>ZKAD04_GUL00_SURIYAPALUWA_IP_Kd</t>
        </is>
      </c>
      <c r="F1062" t="n">
        <v>7.01725</v>
      </c>
      <c r="G1062" t="n">
        <v>79.9686</v>
      </c>
      <c r="H1062" t="inlineStr">
        <is>
          <t>ZKAD04-M-L21-B1</t>
        </is>
      </c>
      <c r="K1062" t="inlineStr">
        <is>
          <t>S2</t>
        </is>
      </c>
      <c r="L1062" t="inlineStr">
        <is>
          <t>4G</t>
        </is>
      </c>
      <c r="M1062" t="inlineStr">
        <is>
          <t>2100</t>
        </is>
      </c>
      <c r="N1062" t="inlineStr">
        <is>
          <t>AMB4519R6v06</t>
        </is>
      </c>
      <c r="O1062" t="n">
        <v>40</v>
      </c>
      <c r="P1062" t="n">
        <v>120</v>
      </c>
      <c r="Q1062" t="n">
        <v>0</v>
      </c>
      <c r="Y1062" t="inlineStr">
        <is>
          <t>4T4R</t>
        </is>
      </c>
      <c r="AB1062" t="inlineStr">
        <is>
          <t>R9268H M1821</t>
        </is>
      </c>
      <c r="AC1062" t="inlineStr">
        <is>
          <t>A9652 S35*3+R9254E S8500*2+R9268H M1821*3+R9244 S9000*2</t>
        </is>
      </c>
    </row>
    <row r="1063" hidden="1" ht="15" customHeight="1" s="99">
      <c r="A1063" t="inlineStr">
        <is>
          <t>ZKAD04</t>
        </is>
      </c>
      <c r="B1063" t="inlineStr">
        <is>
          <t>ZKAD04_GUL00_SURIYAPALUWA_IP_Kd</t>
        </is>
      </c>
      <c r="F1063" t="n">
        <v>7.01725</v>
      </c>
      <c r="G1063" t="n">
        <v>79.9686</v>
      </c>
      <c r="H1063" t="inlineStr">
        <is>
          <t>ZKAD04H</t>
        </is>
      </c>
      <c r="K1063" t="inlineStr">
        <is>
          <t>S2</t>
        </is>
      </c>
      <c r="L1063" t="inlineStr">
        <is>
          <t>4G</t>
        </is>
      </c>
      <c r="M1063" t="inlineStr">
        <is>
          <t>1800</t>
        </is>
      </c>
      <c r="N1063" t="inlineStr">
        <is>
          <t>AMB4519R6v06</t>
        </is>
      </c>
      <c r="O1063" t="n">
        <v>40</v>
      </c>
      <c r="P1063" t="n">
        <v>120</v>
      </c>
      <c r="Q1063" t="n">
        <v>0</v>
      </c>
      <c r="Y1063" t="inlineStr">
        <is>
          <t>4T4R</t>
        </is>
      </c>
      <c r="AB1063" t="inlineStr">
        <is>
          <t>R9268H M1821</t>
        </is>
      </c>
      <c r="AC1063" t="inlineStr">
        <is>
          <t>A9652 S35*3+R9254E S8500*2+R9268H M1821*3+R9244 S9000*2</t>
        </is>
      </c>
    </row>
    <row r="1064" hidden="1" ht="15" customHeight="1" s="99">
      <c r="A1064" t="inlineStr">
        <is>
          <t>ZKAD04</t>
        </is>
      </c>
      <c r="B1064" t="inlineStr">
        <is>
          <t>ZKAD04_GUL00_SURIYAPALUWA_IP_Kd</t>
        </is>
      </c>
      <c r="F1064" t="n">
        <v>7.01725</v>
      </c>
      <c r="G1064" t="n">
        <v>79.9686</v>
      </c>
      <c r="H1064" t="inlineStr">
        <is>
          <t>ZKAD04-M-L18-B1</t>
        </is>
      </c>
      <c r="K1064" t="inlineStr">
        <is>
          <t>S2</t>
        </is>
      </c>
      <c r="L1064" t="inlineStr">
        <is>
          <t>4G</t>
        </is>
      </c>
      <c r="M1064" t="inlineStr">
        <is>
          <t>1800</t>
        </is>
      </c>
      <c r="N1064" t="inlineStr">
        <is>
          <t>AMB4519R6v06</t>
        </is>
      </c>
      <c r="O1064" t="n">
        <v>40</v>
      </c>
      <c r="P1064" t="n">
        <v>120</v>
      </c>
      <c r="Q1064" t="n">
        <v>0</v>
      </c>
      <c r="Y1064" t="inlineStr">
        <is>
          <t>4T4R</t>
        </is>
      </c>
      <c r="AB1064" t="inlineStr">
        <is>
          <t>R9268H M1821</t>
        </is>
      </c>
      <c r="AC1064" t="inlineStr">
        <is>
          <t>A9652 S35*3+R9254E S8500*2+R9268H M1821*3+R9244 S9000*2</t>
        </is>
      </c>
    </row>
    <row r="1065" hidden="1" ht="15" customHeight="1" s="99">
      <c r="A1065" t="inlineStr">
        <is>
          <t>ZKAD04</t>
        </is>
      </c>
      <c r="B1065" t="inlineStr"/>
      <c r="F1065">
        <f>_xlfn.XLOOKUP(A1065,'[1]4G Parameters'!$E:$E,'[1]4G Parameters'!$J:$J)</f>
        <v/>
      </c>
      <c r="G1065">
        <f>_xlfn.XLOOKUP(A1065,'[1]4G Parameters'!$E:$E,'[1]4G Parameters'!$I:$I)</f>
        <v/>
      </c>
      <c r="H1065" t="inlineStr">
        <is>
          <t>ZKAD04C</t>
        </is>
      </c>
      <c r="K1065" t="inlineStr">
        <is>
          <t>S3</t>
        </is>
      </c>
      <c r="L1065" t="inlineStr">
        <is>
          <t>2G</t>
        </is>
      </c>
      <c r="M1065" t="inlineStr">
        <is>
          <t>900</t>
        </is>
      </c>
      <c r="N1065" t="inlineStr"/>
      <c r="O1065" t="n">
        <v>40</v>
      </c>
      <c r="P1065" t="n">
        <v>240</v>
      </c>
      <c r="Q1065" t="n">
        <v>2</v>
      </c>
      <c r="Y1065" t="inlineStr"/>
      <c r="AB1065" t="inlineStr">
        <is>
          <t>R9244 S9000</t>
        </is>
      </c>
      <c r="AC1065" t="inlineStr">
        <is>
          <t>A9652 S35*3+R9254E S8500*2+R9268H M1821*3+R9244 S9000*2</t>
        </is>
      </c>
    </row>
    <row r="1066" hidden="1" ht="15" customHeight="1" s="99">
      <c r="A1066" t="inlineStr">
        <is>
          <t>ZKAD04</t>
        </is>
      </c>
      <c r="B1066" t="inlineStr"/>
      <c r="F1066">
        <f>_xlfn.XLOOKUP(A1066,'[1]4G Parameters'!$E:$E,'[1]4G Parameters'!$J:$J)</f>
        <v/>
      </c>
      <c r="G1066">
        <f>_xlfn.XLOOKUP(A1066,'[1]4G Parameters'!$E:$E,'[1]4G Parameters'!$I:$I)</f>
        <v/>
      </c>
      <c r="H1066" t="inlineStr">
        <is>
          <t>ZKAD04R</t>
        </is>
      </c>
      <c r="K1066" t="inlineStr">
        <is>
          <t>S3</t>
        </is>
      </c>
      <c r="L1066" t="inlineStr">
        <is>
          <t>2G</t>
        </is>
      </c>
      <c r="M1066" t="inlineStr">
        <is>
          <t>1800</t>
        </is>
      </c>
      <c r="N1066" t="inlineStr"/>
      <c r="O1066" t="n">
        <v>40</v>
      </c>
      <c r="P1066" t="n">
        <v>240</v>
      </c>
      <c r="Q1066" t="n">
        <v>2</v>
      </c>
      <c r="Y1066" t="inlineStr"/>
      <c r="AB1066" t="inlineStr">
        <is>
          <t>R9268H M1821</t>
        </is>
      </c>
      <c r="AC1066" t="inlineStr">
        <is>
          <t>A9652 S35*3+R9254E S8500*2+R9268H M1821*3+R9244 S9000*2</t>
        </is>
      </c>
    </row>
    <row r="1067" hidden="1" ht="15" customHeight="1" s="99">
      <c r="A1067" t="inlineStr">
        <is>
          <t>ZKAD04</t>
        </is>
      </c>
      <c r="B1067" t="inlineStr">
        <is>
          <t>ZKAD04_GUL00_SURIYAPALUWA_IP_Kd</t>
        </is>
      </c>
      <c r="F1067" t="n">
        <v>7.01725</v>
      </c>
      <c r="G1067" t="n">
        <v>79.9686</v>
      </c>
      <c r="H1067" t="inlineStr">
        <is>
          <t>ZKAD04-M-L85-C1</t>
        </is>
      </c>
      <c r="K1067" t="inlineStr">
        <is>
          <t>S3</t>
        </is>
      </c>
      <c r="L1067" t="inlineStr">
        <is>
          <t>4G</t>
        </is>
      </c>
      <c r="M1067" t="inlineStr">
        <is>
          <t>850</t>
        </is>
      </c>
      <c r="N1067" t="inlineStr">
        <is>
          <t>AQU4518R9v06</t>
        </is>
      </c>
      <c r="O1067" t="n">
        <v>40</v>
      </c>
      <c r="P1067" t="n">
        <v>240</v>
      </c>
      <c r="Q1067" t="n">
        <v>0</v>
      </c>
      <c r="Y1067" t="inlineStr">
        <is>
          <t>2T2R</t>
        </is>
      </c>
      <c r="AB1067" t="inlineStr">
        <is>
          <t>R9254E S8500</t>
        </is>
      </c>
      <c r="AC1067" t="inlineStr">
        <is>
          <t>A9652 S35*3+R9254E S8500*2+R9268H M1821*3+R9244 S9000*2</t>
        </is>
      </c>
    </row>
    <row r="1068" hidden="1" ht="15" customHeight="1" s="99">
      <c r="A1068" t="inlineStr">
        <is>
          <t>ZKAD04</t>
        </is>
      </c>
      <c r="B1068" t="inlineStr">
        <is>
          <t>ZKAD04_GUL00_SURIYAPALUWA_IP_Kd</t>
        </is>
      </c>
      <c r="F1068" t="n">
        <v>7.01725</v>
      </c>
      <c r="G1068" t="n">
        <v>79.9686</v>
      </c>
      <c r="H1068" t="inlineStr">
        <is>
          <t>ZKAD04-M-L21-C2</t>
        </is>
      </c>
      <c r="K1068" t="inlineStr">
        <is>
          <t>S3</t>
        </is>
      </c>
      <c r="L1068" t="inlineStr">
        <is>
          <t>4G</t>
        </is>
      </c>
      <c r="M1068" t="inlineStr">
        <is>
          <t>2100</t>
        </is>
      </c>
      <c r="N1068" t="inlineStr">
        <is>
          <t>AQU4518R9v06</t>
        </is>
      </c>
      <c r="O1068" t="n">
        <v>40</v>
      </c>
      <c r="P1068" t="n">
        <v>240</v>
      </c>
      <c r="Q1068" t="n">
        <v>0</v>
      </c>
      <c r="Y1068" t="inlineStr">
        <is>
          <t>4T4R</t>
        </is>
      </c>
      <c r="AB1068" t="inlineStr">
        <is>
          <t>R9268H M1821</t>
        </is>
      </c>
      <c r="AC1068" t="inlineStr">
        <is>
          <t>A9652 S35*3+R9254E S8500*2+R9268H M1821*3+R9244 S9000*2</t>
        </is>
      </c>
    </row>
    <row r="1069" hidden="1" ht="15" customHeight="1" s="99">
      <c r="A1069" t="inlineStr">
        <is>
          <t>ZKAD04</t>
        </is>
      </c>
      <c r="B1069" t="inlineStr">
        <is>
          <t>ZKAD04_GUL00_SURIYAPALUWA_IP_Kd</t>
        </is>
      </c>
      <c r="F1069" t="n">
        <v>7.01725</v>
      </c>
      <c r="G1069" t="n">
        <v>79.9686</v>
      </c>
      <c r="H1069" t="inlineStr">
        <is>
          <t>ZKAD04I</t>
        </is>
      </c>
      <c r="K1069" t="inlineStr">
        <is>
          <t>S3</t>
        </is>
      </c>
      <c r="L1069" t="inlineStr">
        <is>
          <t>4G</t>
        </is>
      </c>
      <c r="M1069" t="inlineStr">
        <is>
          <t>1800</t>
        </is>
      </c>
      <c r="N1069" t="inlineStr">
        <is>
          <t>AQU4518R9v06</t>
        </is>
      </c>
      <c r="O1069" t="n">
        <v>40</v>
      </c>
      <c r="P1069" t="n">
        <v>240</v>
      </c>
      <c r="Q1069" t="n">
        <v>0</v>
      </c>
      <c r="Y1069" t="inlineStr">
        <is>
          <t>4T4R</t>
        </is>
      </c>
      <c r="AB1069" t="inlineStr">
        <is>
          <t>R9268H M1821</t>
        </is>
      </c>
      <c r="AC1069" t="inlineStr">
        <is>
          <t>A9652 S35*3+R9254E S8500*2+R9268H M1821*3+R9244 S9000*2</t>
        </is>
      </c>
    </row>
    <row r="1070" hidden="1" ht="15" customHeight="1" s="99">
      <c r="A1070" t="inlineStr">
        <is>
          <t>ZKAD04</t>
        </is>
      </c>
      <c r="B1070" t="inlineStr"/>
      <c r="F1070">
        <f>_xlfn.XLOOKUP(A1070,'[1]4G Parameters'!$E:$E,'[1]4G Parameters'!$J:$J)</f>
        <v/>
      </c>
      <c r="G1070">
        <f>_xlfn.XLOOKUP(A1070,'[1]4G Parameters'!$E:$E,'[1]4G Parameters'!$I:$I)</f>
        <v/>
      </c>
      <c r="H1070" t="inlineStr">
        <is>
          <t>ZKAD04S</t>
        </is>
      </c>
      <c r="K1070" t="inlineStr">
        <is>
          <t>S4</t>
        </is>
      </c>
      <c r="L1070" t="inlineStr">
        <is>
          <t>2G</t>
        </is>
      </c>
      <c r="M1070" t="inlineStr">
        <is>
          <t>1800</t>
        </is>
      </c>
      <c r="N1070" t="inlineStr"/>
      <c r="O1070" t="n">
        <v>40</v>
      </c>
      <c r="P1070" t="n">
        <v>300</v>
      </c>
      <c r="Q1070" t="n">
        <v>2</v>
      </c>
      <c r="Y1070" t="inlineStr"/>
      <c r="AB1070" t="inlineStr">
        <is>
          <t>R9268H M1821</t>
        </is>
      </c>
      <c r="AC1070" t="inlineStr">
        <is>
          <t>A9652 S35*3+R9254E S8500*2+R9268H M1821*3+R9244 S9000*2</t>
        </is>
      </c>
    </row>
    <row r="1071" hidden="1" ht="15" customHeight="1" s="99">
      <c r="A1071" t="inlineStr">
        <is>
          <t>ZKAD04</t>
        </is>
      </c>
      <c r="B1071" t="inlineStr"/>
      <c r="F1071">
        <f>_xlfn.XLOOKUP(A1071,'[1]4G Parameters'!$E:$E,'[1]4G Parameters'!$J:$J)</f>
        <v/>
      </c>
      <c r="G1071">
        <f>_xlfn.XLOOKUP(A1071,'[1]4G Parameters'!$E:$E,'[1]4G Parameters'!$I:$I)</f>
        <v/>
      </c>
      <c r="H1071" t="inlineStr">
        <is>
          <t>ZKAD04T</t>
        </is>
      </c>
      <c r="K1071" t="inlineStr">
        <is>
          <t>S5</t>
        </is>
      </c>
      <c r="L1071" t="inlineStr">
        <is>
          <t>2G</t>
        </is>
      </c>
      <c r="M1071" t="inlineStr">
        <is>
          <t>1800</t>
        </is>
      </c>
      <c r="N1071" t="inlineStr"/>
      <c r="O1071" t="n">
        <v>40</v>
      </c>
      <c r="P1071" t="n">
        <v>90</v>
      </c>
      <c r="Q1071" t="n">
        <v>2</v>
      </c>
      <c r="Y1071" t="inlineStr"/>
      <c r="AB1071" t="inlineStr">
        <is>
          <t>R9268H M1821</t>
        </is>
      </c>
      <c r="AC1071" t="inlineStr">
        <is>
          <t>A9652 S35*3+R9254E S8500*2+R9268H M1821*3+R9244 S9000*2</t>
        </is>
      </c>
    </row>
    <row r="1072" hidden="1" ht="15" customHeight="1" s="99">
      <c r="A1072" t="inlineStr">
        <is>
          <t>ZKAD05</t>
        </is>
      </c>
      <c r="B1072" t="inlineStr"/>
      <c r="F1072">
        <f>_xlfn.XLOOKUP(A1072,'[1]4G Parameters'!$E:$E,'[1]4G Parameters'!$J:$J)</f>
        <v/>
      </c>
      <c r="G1072">
        <f>_xlfn.XLOOKUP(A1072,'[1]4G Parameters'!$E:$E,'[1]4G Parameters'!$I:$I)</f>
        <v/>
      </c>
      <c r="H1072" t="inlineStr">
        <is>
          <t>ZKAD05A</t>
        </is>
      </c>
      <c r="K1072" t="inlineStr">
        <is>
          <t>S1</t>
        </is>
      </c>
      <c r="L1072" t="inlineStr">
        <is>
          <t>2G</t>
        </is>
      </c>
      <c r="M1072" t="inlineStr">
        <is>
          <t>900</t>
        </is>
      </c>
      <c r="N1072" t="inlineStr"/>
      <c r="O1072" t="n">
        <v>60</v>
      </c>
      <c r="P1072" t="n">
        <v>40</v>
      </c>
      <c r="Q1072" t="n">
        <v>2</v>
      </c>
      <c r="Y1072" t="inlineStr"/>
      <c r="AB1072" t="inlineStr">
        <is>
          <t>R9264H M901821</t>
        </is>
      </c>
      <c r="AC1072" t="inlineStr">
        <is>
          <t>A9652 S35*3+R9264H M901821*3+R9254E S8500*2+R9264 M1821N*2</t>
        </is>
      </c>
    </row>
    <row r="1073" hidden="1" ht="15" customHeight="1" s="99">
      <c r="A1073" t="inlineStr">
        <is>
          <t>ZKAD05</t>
        </is>
      </c>
      <c r="B1073" t="inlineStr"/>
      <c r="F1073">
        <f>_xlfn.XLOOKUP(A1073,'[1]4G Parameters'!$E:$E,'[1]4G Parameters'!$J:$J)</f>
        <v/>
      </c>
      <c r="G1073">
        <f>_xlfn.XLOOKUP(A1073,'[1]4G Parameters'!$E:$E,'[1]4G Parameters'!$I:$I)</f>
        <v/>
      </c>
      <c r="H1073" t="inlineStr">
        <is>
          <t>ZKAD05S</t>
        </is>
      </c>
      <c r="K1073" t="inlineStr">
        <is>
          <t>S1</t>
        </is>
      </c>
      <c r="L1073" t="inlineStr">
        <is>
          <t>2G</t>
        </is>
      </c>
      <c r="M1073" t="inlineStr">
        <is>
          <t>1800</t>
        </is>
      </c>
      <c r="N1073" t="inlineStr"/>
      <c r="O1073" t="n">
        <v>60</v>
      </c>
      <c r="P1073" t="n">
        <v>40</v>
      </c>
      <c r="Q1073" t="n">
        <v>2</v>
      </c>
      <c r="Y1073" t="inlineStr"/>
      <c r="AB1073" t="inlineStr">
        <is>
          <t>R9264H M901821</t>
        </is>
      </c>
      <c r="AC1073" t="inlineStr">
        <is>
          <t>A9652 S35*3+R9264H M901821*3+R9254E S8500*2+R9264 M1821N*2</t>
        </is>
      </c>
    </row>
    <row r="1074" hidden="1" ht="15" customHeight="1" s="99">
      <c r="A1074" t="inlineStr">
        <is>
          <t>ZKAD05</t>
        </is>
      </c>
      <c r="B1074" t="inlineStr">
        <is>
          <t>ZKAD05_GUL00_MAWARAMANDIYA_Kd</t>
        </is>
      </c>
      <c r="F1074" t="n">
        <v>6.98645</v>
      </c>
      <c r="G1074" t="n">
        <v>79.97490000000001</v>
      </c>
      <c r="H1074" t="inlineStr">
        <is>
          <t>ZKAD05-M-L85-A1</t>
        </is>
      </c>
      <c r="K1074" t="inlineStr">
        <is>
          <t>S1</t>
        </is>
      </c>
      <c r="L1074" t="inlineStr">
        <is>
          <t>4G</t>
        </is>
      </c>
      <c r="M1074" t="inlineStr">
        <is>
          <t>850</t>
        </is>
      </c>
      <c r="N1074" t="inlineStr">
        <is>
          <t>AQU4518R9v06</t>
        </is>
      </c>
      <c r="O1074" t="n">
        <v>60</v>
      </c>
      <c r="P1074" t="n">
        <v>330</v>
      </c>
      <c r="Q1074" t="n">
        <v>0</v>
      </c>
      <c r="Y1074" t="inlineStr">
        <is>
          <t>2T2R</t>
        </is>
      </c>
      <c r="AB1074" t="inlineStr">
        <is>
          <t>R9254E S8500</t>
        </is>
      </c>
      <c r="AC1074" t="inlineStr">
        <is>
          <t>A9652 S35*3+R9264H M901821*3+R9254E S8500*2+R9264 M1821N*2</t>
        </is>
      </c>
    </row>
    <row r="1075" hidden="1" ht="15" customHeight="1" s="99">
      <c r="A1075" t="inlineStr">
        <is>
          <t>ZKAD05</t>
        </is>
      </c>
      <c r="B1075" t="inlineStr">
        <is>
          <t>ZKAD05_GUL00_MAWARAMANDIYA_Kd</t>
        </is>
      </c>
      <c r="F1075" t="n">
        <v>6.98645</v>
      </c>
      <c r="G1075" t="n">
        <v>79.97490000000001</v>
      </c>
      <c r="H1075" t="inlineStr">
        <is>
          <t>ZKAD05-M-L21-A2</t>
        </is>
      </c>
      <c r="K1075" t="inlineStr">
        <is>
          <t>S1</t>
        </is>
      </c>
      <c r="L1075" t="inlineStr">
        <is>
          <t>4G</t>
        </is>
      </c>
      <c r="M1075" t="inlineStr">
        <is>
          <t>2100</t>
        </is>
      </c>
      <c r="N1075" t="inlineStr">
        <is>
          <t>AQU4518R9v06</t>
        </is>
      </c>
      <c r="O1075" t="n">
        <v>60</v>
      </c>
      <c r="P1075" t="n">
        <v>330</v>
      </c>
      <c r="Q1075" t="n">
        <v>0</v>
      </c>
      <c r="Y1075" t="inlineStr">
        <is>
          <t>2T2R</t>
        </is>
      </c>
      <c r="AB1075" t="inlineStr">
        <is>
          <t>R9264H M901821</t>
        </is>
      </c>
      <c r="AC1075" t="inlineStr">
        <is>
          <t>A9652 S35*3+R9264H M901821*3+R9254E S8500*2+R9264 M1821N*2</t>
        </is>
      </c>
    </row>
    <row r="1076" hidden="1" ht="15" customHeight="1" s="99">
      <c r="A1076" t="inlineStr">
        <is>
          <t>ZKAD05</t>
        </is>
      </c>
      <c r="B1076" t="inlineStr">
        <is>
          <t>ZKAD05_GUL00_MAWARAMANDIYA_Kd</t>
        </is>
      </c>
      <c r="F1076" t="n">
        <v>6.98645</v>
      </c>
      <c r="G1076" t="n">
        <v>79.97490000000001</v>
      </c>
      <c r="H1076" t="inlineStr">
        <is>
          <t>ZKAD05G</t>
        </is>
      </c>
      <c r="K1076" t="inlineStr">
        <is>
          <t>S1</t>
        </is>
      </c>
      <c r="L1076" t="inlineStr">
        <is>
          <t>4G</t>
        </is>
      </c>
      <c r="M1076" t="inlineStr">
        <is>
          <t>1800</t>
        </is>
      </c>
      <c r="N1076" t="inlineStr">
        <is>
          <t>AQU4518R9v06</t>
        </is>
      </c>
      <c r="O1076" t="n">
        <v>60</v>
      </c>
      <c r="P1076" t="n">
        <v>330</v>
      </c>
      <c r="Q1076" t="n">
        <v>0</v>
      </c>
      <c r="Y1076" t="inlineStr">
        <is>
          <t>2T2R</t>
        </is>
      </c>
      <c r="AB1076" t="inlineStr">
        <is>
          <t>R9264H M901821</t>
        </is>
      </c>
      <c r="AC1076" t="inlineStr">
        <is>
          <t>A9652 S35*3+R9264H M901821*3+R9254E S8500*2+R9264 M1821N*2</t>
        </is>
      </c>
    </row>
    <row r="1077" hidden="1" ht="15" customHeight="1" s="99">
      <c r="A1077" t="inlineStr">
        <is>
          <t>ZKAD05</t>
        </is>
      </c>
      <c r="B1077" t="inlineStr"/>
      <c r="F1077">
        <f>_xlfn.XLOOKUP(A1077,'[1]4G Parameters'!$E:$E,'[1]4G Parameters'!$J:$J)</f>
        <v/>
      </c>
      <c r="G1077">
        <f>_xlfn.XLOOKUP(A1077,'[1]4G Parameters'!$E:$E,'[1]4G Parameters'!$I:$I)</f>
        <v/>
      </c>
      <c r="H1077" t="inlineStr">
        <is>
          <t>ZKAD05B</t>
        </is>
      </c>
      <c r="K1077" t="inlineStr">
        <is>
          <t>S2</t>
        </is>
      </c>
      <c r="L1077" t="inlineStr">
        <is>
          <t>2G</t>
        </is>
      </c>
      <c r="M1077" t="inlineStr">
        <is>
          <t>900</t>
        </is>
      </c>
      <c r="N1077" t="inlineStr"/>
      <c r="O1077" t="n">
        <v>60</v>
      </c>
      <c r="P1077" t="n">
        <v>120</v>
      </c>
      <c r="Q1077" t="n">
        <v>2</v>
      </c>
      <c r="Y1077" t="inlineStr"/>
      <c r="AB1077" t="inlineStr">
        <is>
          <t>R9264H M901821</t>
        </is>
      </c>
      <c r="AC1077" t="inlineStr">
        <is>
          <t>A9652 S35*3+R9264H M901821*3+R9254E S8500*2+R9264 M1821N*2</t>
        </is>
      </c>
    </row>
    <row r="1078" hidden="1" ht="15" customHeight="1" s="99">
      <c r="A1078" t="inlineStr">
        <is>
          <t>ZKAD05</t>
        </is>
      </c>
      <c r="B1078" t="inlineStr"/>
      <c r="F1078">
        <f>_xlfn.XLOOKUP(A1078,'[1]4G Parameters'!$E:$E,'[1]4G Parameters'!$J:$J)</f>
        <v/>
      </c>
      <c r="G1078">
        <f>_xlfn.XLOOKUP(A1078,'[1]4G Parameters'!$E:$E,'[1]4G Parameters'!$I:$I)</f>
        <v/>
      </c>
      <c r="H1078" t="inlineStr">
        <is>
          <t>ZKAD05T</t>
        </is>
      </c>
      <c r="K1078" t="inlineStr">
        <is>
          <t>S2</t>
        </is>
      </c>
      <c r="L1078" t="inlineStr">
        <is>
          <t>2G</t>
        </is>
      </c>
      <c r="M1078" t="inlineStr">
        <is>
          <t>1800</t>
        </is>
      </c>
      <c r="N1078" t="inlineStr"/>
      <c r="O1078" t="n">
        <v>60</v>
      </c>
      <c r="P1078" t="n">
        <v>120</v>
      </c>
      <c r="Q1078" t="n">
        <v>2</v>
      </c>
      <c r="Y1078" t="inlineStr"/>
      <c r="AB1078" t="inlineStr">
        <is>
          <t>R9264H M901821</t>
        </is>
      </c>
      <c r="AC1078" t="inlineStr">
        <is>
          <t>A9652 S35*3+R9264H M901821*3+R9254E S8500*2+R9264 M1821N*2</t>
        </is>
      </c>
    </row>
    <row r="1079" hidden="1" ht="15" customHeight="1" s="99">
      <c r="AB1079" t="inlineStr">
        <is>
          <t>R9264 M1821N</t>
        </is>
      </c>
    </row>
    <row r="1080" hidden="1" ht="15" customHeight="1" s="99">
      <c r="A1080" t="inlineStr">
        <is>
          <t>ZKAD05</t>
        </is>
      </c>
      <c r="B1080" t="inlineStr">
        <is>
          <t>ZKAD05_GUL00_MAWARAMANDIYA_Kd</t>
        </is>
      </c>
      <c r="F1080" t="n">
        <v>6.98645</v>
      </c>
      <c r="G1080" t="n">
        <v>79.97490000000001</v>
      </c>
      <c r="H1080" t="inlineStr">
        <is>
          <t>ZKAD05-M-L85-B1</t>
        </is>
      </c>
      <c r="K1080" t="inlineStr">
        <is>
          <t>S2</t>
        </is>
      </c>
      <c r="L1080" t="inlineStr">
        <is>
          <t>4G</t>
        </is>
      </c>
      <c r="M1080" t="inlineStr">
        <is>
          <t>850</t>
        </is>
      </c>
      <c r="N1080" t="inlineStr">
        <is>
          <t>AQU4518R9v06</t>
        </is>
      </c>
      <c r="O1080" t="n">
        <v>60</v>
      </c>
      <c r="P1080" t="n">
        <v>120</v>
      </c>
      <c r="Q1080" t="n">
        <v>0</v>
      </c>
      <c r="Y1080" t="inlineStr">
        <is>
          <t>2T2R</t>
        </is>
      </c>
      <c r="AB1080" t="inlineStr">
        <is>
          <t>R9254E S8500</t>
        </is>
      </c>
      <c r="AC1080" t="inlineStr">
        <is>
          <t>A9652 S35*3+R9264H M901821*3+R9254E S8500*2+R9264 M1821N*2</t>
        </is>
      </c>
    </row>
    <row r="1081" hidden="1" ht="15" customHeight="1" s="99">
      <c r="A1081" t="inlineStr">
        <is>
          <t>ZKAD05</t>
        </is>
      </c>
      <c r="B1081" t="inlineStr">
        <is>
          <t>ZKAD05_GUL00_MAWARAMANDIYA_Kd</t>
        </is>
      </c>
      <c r="F1081" t="n">
        <v>6.98645</v>
      </c>
      <c r="G1081" t="n">
        <v>79.97490000000001</v>
      </c>
      <c r="H1081" t="inlineStr">
        <is>
          <t>ZKAD05-M-L21-B2</t>
        </is>
      </c>
      <c r="K1081" t="inlineStr">
        <is>
          <t>S2</t>
        </is>
      </c>
      <c r="L1081" t="inlineStr">
        <is>
          <t>4G</t>
        </is>
      </c>
      <c r="M1081" t="inlineStr">
        <is>
          <t>2100</t>
        </is>
      </c>
      <c r="N1081" t="inlineStr">
        <is>
          <t>AQU4518R9v06</t>
        </is>
      </c>
      <c r="O1081" t="n">
        <v>60</v>
      </c>
      <c r="P1081" t="n">
        <v>120</v>
      </c>
      <c r="Q1081" t="n">
        <v>0</v>
      </c>
      <c r="Y1081" t="inlineStr">
        <is>
          <t>4T4R</t>
        </is>
      </c>
      <c r="AB1081" t="inlineStr">
        <is>
          <t>R9264H M901821</t>
        </is>
      </c>
      <c r="AC1081" t="inlineStr">
        <is>
          <t>A9652 S35*3+R9264H M901821*3+R9254E S8500*2+R9264 M1821N*2</t>
        </is>
      </c>
    </row>
    <row r="1082" hidden="1" ht="15" customHeight="1" s="99">
      <c r="A1082" t="inlineStr">
        <is>
          <t>ZKAD05</t>
        </is>
      </c>
      <c r="B1082" t="inlineStr">
        <is>
          <t>ZKAD05_GUL00_MAWARAMANDIYA_Kd</t>
        </is>
      </c>
      <c r="F1082" t="n">
        <v>6.98645</v>
      </c>
      <c r="G1082" t="n">
        <v>79.97490000000001</v>
      </c>
      <c r="H1082" t="inlineStr">
        <is>
          <t>ZKAD05-M-L21-B1</t>
        </is>
      </c>
      <c r="K1082" t="inlineStr">
        <is>
          <t>S2</t>
        </is>
      </c>
      <c r="L1082" t="inlineStr">
        <is>
          <t>4G</t>
        </is>
      </c>
      <c r="M1082" t="inlineStr">
        <is>
          <t>2100</t>
        </is>
      </c>
      <c r="N1082" t="inlineStr">
        <is>
          <t>AQU4518R9v06</t>
        </is>
      </c>
      <c r="O1082" t="n">
        <v>60</v>
      </c>
      <c r="P1082" t="n">
        <v>120</v>
      </c>
      <c r="Q1082" t="n">
        <v>0</v>
      </c>
      <c r="Y1082" t="inlineStr">
        <is>
          <t>4T4R</t>
        </is>
      </c>
      <c r="AB1082" t="inlineStr">
        <is>
          <t>R9264 M1821N</t>
        </is>
      </c>
      <c r="AC1082" t="inlineStr">
        <is>
          <t>A9652 S35*3+R9264H M901821*3+R9254E S8500*2+R9264 M1821N*2</t>
        </is>
      </c>
    </row>
    <row r="1083" hidden="1" ht="15" customHeight="1" s="99">
      <c r="A1083" t="inlineStr">
        <is>
          <t>ZKAD05</t>
        </is>
      </c>
      <c r="B1083" t="inlineStr">
        <is>
          <t>ZKAD05_GUL00_MAWARAMANDIYA_Kd</t>
        </is>
      </c>
      <c r="F1083" t="n">
        <v>6.98645</v>
      </c>
      <c r="G1083" t="n">
        <v>79.97490000000001</v>
      </c>
      <c r="H1083" t="inlineStr">
        <is>
          <t>ZKAD05-M-L18-H1</t>
        </is>
      </c>
      <c r="K1083" t="inlineStr">
        <is>
          <t>S2</t>
        </is>
      </c>
      <c r="L1083" t="inlineStr">
        <is>
          <t>4G</t>
        </is>
      </c>
      <c r="M1083" t="inlineStr">
        <is>
          <t>1800</t>
        </is>
      </c>
      <c r="N1083" t="inlineStr">
        <is>
          <t>AMB4519R6v06</t>
        </is>
      </c>
      <c r="O1083" t="n">
        <v>60</v>
      </c>
      <c r="P1083" t="n">
        <v>120</v>
      </c>
      <c r="Q1083" t="n">
        <v>0</v>
      </c>
      <c r="Y1083" t="inlineStr">
        <is>
          <t>4T4R</t>
        </is>
      </c>
      <c r="AB1083" t="inlineStr">
        <is>
          <t>R9264H M901821</t>
        </is>
      </c>
      <c r="AC1083" t="inlineStr">
        <is>
          <t>A9652 S35*3+R9264H M901821*3+R9254E S8500*2+R9264 M1821N*2</t>
        </is>
      </c>
    </row>
    <row r="1084" hidden="1" ht="15" customHeight="1" s="99">
      <c r="A1084" t="inlineStr">
        <is>
          <t>ZKAD05</t>
        </is>
      </c>
      <c r="B1084" t="inlineStr">
        <is>
          <t>ZKAD05_GUL00_MAWARAMANDIYA_Kd</t>
        </is>
      </c>
      <c r="F1084" t="n">
        <v>6.98645</v>
      </c>
      <c r="G1084" t="n">
        <v>79.97490000000001</v>
      </c>
      <c r="H1084" t="inlineStr">
        <is>
          <t>ZKAD05H</t>
        </is>
      </c>
      <c r="K1084" t="inlineStr">
        <is>
          <t>S2</t>
        </is>
      </c>
      <c r="L1084" t="inlineStr">
        <is>
          <t>4G</t>
        </is>
      </c>
      <c r="M1084" t="inlineStr">
        <is>
          <t>1800</t>
        </is>
      </c>
      <c r="N1084" t="inlineStr">
        <is>
          <t>AMB4519R6v06</t>
        </is>
      </c>
      <c r="O1084" t="n">
        <v>60</v>
      </c>
      <c r="P1084" t="n">
        <v>120</v>
      </c>
      <c r="Q1084" t="n">
        <v>0</v>
      </c>
      <c r="Y1084" t="inlineStr">
        <is>
          <t>4T4R</t>
        </is>
      </c>
      <c r="AB1084" t="inlineStr">
        <is>
          <t>R9264 M1821N</t>
        </is>
      </c>
      <c r="AC1084" t="inlineStr">
        <is>
          <t>A9652 S35*3+R9264H M901821*3+R9254E S8500*2+R9264 M1821N*2</t>
        </is>
      </c>
    </row>
    <row r="1085" hidden="1" ht="15" customHeight="1" s="99">
      <c r="A1085" t="inlineStr">
        <is>
          <t>ZKAD05</t>
        </is>
      </c>
      <c r="B1085" t="inlineStr"/>
      <c r="F1085">
        <f>_xlfn.XLOOKUP(A1085,'[1]4G Parameters'!$E:$E,'[1]4G Parameters'!$J:$J)</f>
        <v/>
      </c>
      <c r="G1085">
        <f>_xlfn.XLOOKUP(A1085,'[1]4G Parameters'!$E:$E,'[1]4G Parameters'!$I:$I)</f>
        <v/>
      </c>
      <c r="H1085" t="inlineStr">
        <is>
          <t>ZKAD05C</t>
        </is>
      </c>
      <c r="K1085" t="inlineStr">
        <is>
          <t>S3</t>
        </is>
      </c>
      <c r="L1085" t="inlineStr">
        <is>
          <t>2G</t>
        </is>
      </c>
      <c r="M1085" t="inlineStr">
        <is>
          <t>900</t>
        </is>
      </c>
      <c r="N1085" t="inlineStr"/>
      <c r="O1085" t="n">
        <v>0</v>
      </c>
      <c r="P1085" t="n">
        <v>330</v>
      </c>
      <c r="Q1085" t="n">
        <v>2</v>
      </c>
      <c r="Y1085" t="inlineStr"/>
      <c r="AB1085" t="inlineStr">
        <is>
          <t>R9264H M901821</t>
        </is>
      </c>
      <c r="AC1085" t="inlineStr">
        <is>
          <t>A9652 S35*3+R9264H M901821*3+R9254E S8500*2+R9264 M1821N*2</t>
        </is>
      </c>
    </row>
    <row r="1086" hidden="1" ht="15" customHeight="1" s="99">
      <c r="A1086" t="inlineStr">
        <is>
          <t>ZKAD05</t>
        </is>
      </c>
      <c r="B1086" t="inlineStr"/>
      <c r="F1086">
        <f>_xlfn.XLOOKUP(A1086,'[1]4G Parameters'!$E:$E,'[1]4G Parameters'!$J:$J)</f>
        <v/>
      </c>
      <c r="G1086">
        <f>_xlfn.XLOOKUP(A1086,'[1]4G Parameters'!$E:$E,'[1]4G Parameters'!$I:$I)</f>
        <v/>
      </c>
      <c r="H1086" t="inlineStr">
        <is>
          <t>ZKAD05U</t>
        </is>
      </c>
      <c r="K1086" t="inlineStr">
        <is>
          <t>S3</t>
        </is>
      </c>
      <c r="L1086" t="inlineStr">
        <is>
          <t>2G</t>
        </is>
      </c>
      <c r="M1086" t="inlineStr">
        <is>
          <t>1800</t>
        </is>
      </c>
      <c r="N1086" t="inlineStr"/>
      <c r="O1086" t="n">
        <v>60</v>
      </c>
      <c r="P1086" t="n">
        <v>330</v>
      </c>
      <c r="Q1086" t="n">
        <v>2</v>
      </c>
      <c r="Y1086" t="inlineStr"/>
      <c r="AB1086" t="inlineStr">
        <is>
          <t>R9264H M901821</t>
        </is>
      </c>
      <c r="AC1086" t="inlineStr">
        <is>
          <t>A9652 S35*3+R9264H M901821*3+R9254E S8500*2+R9264 M1821N*2</t>
        </is>
      </c>
    </row>
    <row r="1087" hidden="1" ht="15" customHeight="1" s="99">
      <c r="AB1087" t="inlineStr">
        <is>
          <t>R9264 M1821N</t>
        </is>
      </c>
    </row>
    <row r="1088" hidden="1" ht="15" customHeight="1" s="99">
      <c r="A1088" t="inlineStr">
        <is>
          <t>ZKAD05</t>
        </is>
      </c>
      <c r="B1088" t="inlineStr">
        <is>
          <t>ZKAD05_GUL00_MAWARAMANDIYA_Kd</t>
        </is>
      </c>
      <c r="F1088" t="n">
        <v>6.98645</v>
      </c>
      <c r="G1088" t="n">
        <v>79.97490000000001</v>
      </c>
      <c r="H1088" t="inlineStr">
        <is>
          <t>ZKAD05-M-L85-C1</t>
        </is>
      </c>
      <c r="K1088" t="inlineStr">
        <is>
          <t>S3</t>
        </is>
      </c>
      <c r="L1088" t="inlineStr">
        <is>
          <t>4G</t>
        </is>
      </c>
      <c r="M1088" t="inlineStr">
        <is>
          <t>850</t>
        </is>
      </c>
      <c r="N1088" t="inlineStr">
        <is>
          <t>AQU4518R9v06</t>
        </is>
      </c>
      <c r="O1088" t="n">
        <v>60</v>
      </c>
      <c r="P1088" t="n">
        <v>330</v>
      </c>
      <c r="Q1088" t="n">
        <v>0</v>
      </c>
      <c r="Y1088" t="inlineStr">
        <is>
          <t>2T2R</t>
        </is>
      </c>
      <c r="AB1088" t="inlineStr">
        <is>
          <t>R9254E S8500</t>
        </is>
      </c>
      <c r="AC1088" t="inlineStr">
        <is>
          <t>A9652 S35*3+R9264H M901821*3+R9254E S8500*2+R9264 M1821N*2</t>
        </is>
      </c>
    </row>
    <row r="1089" hidden="1" ht="15" customHeight="1" s="99">
      <c r="A1089" t="inlineStr">
        <is>
          <t>ZKAD05</t>
        </is>
      </c>
      <c r="B1089" t="inlineStr">
        <is>
          <t>ZKAD05_GUL00_MAWARAMANDIYA_Kd</t>
        </is>
      </c>
      <c r="F1089" t="n">
        <v>6.98645</v>
      </c>
      <c r="G1089" t="n">
        <v>79.97490000000001</v>
      </c>
      <c r="H1089" t="inlineStr">
        <is>
          <t>ZKAD05-M-L21-C2</t>
        </is>
      </c>
      <c r="K1089" t="inlineStr">
        <is>
          <t>S3</t>
        </is>
      </c>
      <c r="L1089" t="inlineStr">
        <is>
          <t>4G</t>
        </is>
      </c>
      <c r="M1089" t="inlineStr">
        <is>
          <t>2100</t>
        </is>
      </c>
      <c r="N1089" t="inlineStr">
        <is>
          <t>AQU4518R9v06</t>
        </is>
      </c>
      <c r="O1089" t="n">
        <v>60</v>
      </c>
      <c r="P1089" t="n">
        <v>330</v>
      </c>
      <c r="Q1089" t="n">
        <v>0</v>
      </c>
      <c r="Y1089" t="inlineStr">
        <is>
          <t>2T2R</t>
        </is>
      </c>
      <c r="AB1089" t="inlineStr">
        <is>
          <t>R9264H M901821</t>
        </is>
      </c>
      <c r="AC1089" t="inlineStr">
        <is>
          <t>A9652 S35*3+R9264H M901821*3+R9254E S8500*2+R9264 M1821N*2</t>
        </is>
      </c>
    </row>
    <row r="1090" hidden="1" ht="15" customHeight="1" s="99">
      <c r="AB1090" t="inlineStr">
        <is>
          <t>R9264 M1821N</t>
        </is>
      </c>
    </row>
    <row r="1091" hidden="1" ht="15" customHeight="1" s="99">
      <c r="A1091" t="inlineStr">
        <is>
          <t>ZKAD05</t>
        </is>
      </c>
      <c r="B1091" t="inlineStr">
        <is>
          <t>ZKAD05_GUL00_MAWARAMANDIYA_Kd</t>
        </is>
      </c>
      <c r="F1091" t="n">
        <v>6.98645</v>
      </c>
      <c r="G1091" t="n">
        <v>79.97490000000001</v>
      </c>
      <c r="H1091" t="inlineStr">
        <is>
          <t>ZKAD05I</t>
        </is>
      </c>
      <c r="K1091" t="inlineStr">
        <is>
          <t>S3</t>
        </is>
      </c>
      <c r="L1091" t="inlineStr">
        <is>
          <t>4G</t>
        </is>
      </c>
      <c r="M1091" t="inlineStr">
        <is>
          <t>1800</t>
        </is>
      </c>
      <c r="N1091" t="inlineStr">
        <is>
          <t>AQU4518R9v06</t>
        </is>
      </c>
      <c r="O1091" t="n">
        <v>60</v>
      </c>
      <c r="P1091" t="n">
        <v>330</v>
      </c>
      <c r="Q1091" t="n">
        <v>0</v>
      </c>
      <c r="Y1091" t="inlineStr">
        <is>
          <t>2T2R</t>
        </is>
      </c>
      <c r="AB1091" t="inlineStr">
        <is>
          <t>R9264H M901821</t>
        </is>
      </c>
      <c r="AC1091" t="inlineStr">
        <is>
          <t>A9652 S35*3+R9264H M901821*3+R9254E S8500*2+R9264 M1821N*2</t>
        </is>
      </c>
    </row>
    <row r="1092" hidden="1" ht="15" customHeight="1" s="99">
      <c r="A1092" t="inlineStr">
        <is>
          <t>ZKAD05</t>
        </is>
      </c>
      <c r="B1092" t="inlineStr">
        <is>
          <t>ZKAD05_GUL00_MAWARAMANDIYA_Kd</t>
        </is>
      </c>
      <c r="F1092" t="n">
        <v>6.98645</v>
      </c>
      <c r="G1092" t="n">
        <v>79.97490000000001</v>
      </c>
      <c r="H1092" t="inlineStr">
        <is>
          <t>ZKAD05-M-L18-F1</t>
        </is>
      </c>
      <c r="K1092" t="inlineStr">
        <is>
          <t>S4</t>
        </is>
      </c>
      <c r="L1092" t="inlineStr">
        <is>
          <t>4G</t>
        </is>
      </c>
      <c r="M1092" t="inlineStr">
        <is>
          <t>1800</t>
        </is>
      </c>
      <c r="N1092" t="inlineStr">
        <is>
          <t>AMB4519R6v06</t>
        </is>
      </c>
      <c r="O1092" t="n">
        <v>60</v>
      </c>
      <c r="P1092" t="n">
        <v>120</v>
      </c>
      <c r="Q1092" t="n">
        <v>0</v>
      </c>
      <c r="Y1092" t="inlineStr">
        <is>
          <t>2T2R</t>
        </is>
      </c>
      <c r="AB1092" t="inlineStr">
        <is>
          <t>R9264 M1821N</t>
        </is>
      </c>
      <c r="AC1092" t="inlineStr">
        <is>
          <t>A9652 S35*3+R9264H M901821*3+R9254E S8500*2+R9264 M1821N*2</t>
        </is>
      </c>
    </row>
    <row r="1093" hidden="1" ht="15" customHeight="1" s="99">
      <c r="A1093" t="inlineStr">
        <is>
          <t>ZKAD06</t>
        </is>
      </c>
      <c r="B1093" t="inlineStr"/>
      <c r="F1093">
        <f>_xlfn.XLOOKUP(A1093,'[1]4G Parameters'!$E:$E,'[1]4G Parameters'!$J:$J)</f>
        <v/>
      </c>
      <c r="G1093">
        <f>_xlfn.XLOOKUP(A1093,'[1]4G Parameters'!$E:$E,'[1]4G Parameters'!$I:$I)</f>
        <v/>
      </c>
      <c r="H1093" t="inlineStr">
        <is>
          <t>ZKAD06A</t>
        </is>
      </c>
      <c r="K1093" t="inlineStr">
        <is>
          <t>S1</t>
        </is>
      </c>
      <c r="L1093" t="inlineStr">
        <is>
          <t>2G</t>
        </is>
      </c>
      <c r="M1093" t="inlineStr">
        <is>
          <t>900</t>
        </is>
      </c>
      <c r="N1093" t="inlineStr"/>
      <c r="O1093" t="n">
        <v>45</v>
      </c>
      <c r="P1093" t="n">
        <v>0</v>
      </c>
      <c r="Q1093" t="n">
        <v>2</v>
      </c>
      <c r="Y1093" t="inlineStr"/>
      <c r="AB1093" t="inlineStr">
        <is>
          <t>R9264H M901821</t>
        </is>
      </c>
      <c r="AC1093" t="inlineStr">
        <is>
          <t>R9264H M901821*3+R9254E S8500*2</t>
        </is>
      </c>
    </row>
    <row r="1094" hidden="1" ht="15" customHeight="1" s="99">
      <c r="A1094" t="inlineStr">
        <is>
          <t>ZKAD06</t>
        </is>
      </c>
      <c r="B1094" t="inlineStr"/>
      <c r="F1094">
        <f>_xlfn.XLOOKUP(A1094,'[1]4G Parameters'!$E:$E,'[1]4G Parameters'!$J:$J)</f>
        <v/>
      </c>
      <c r="G1094">
        <f>_xlfn.XLOOKUP(A1094,'[1]4G Parameters'!$E:$E,'[1]4G Parameters'!$I:$I)</f>
        <v/>
      </c>
      <c r="H1094" t="inlineStr">
        <is>
          <t>ZKAD06P</t>
        </is>
      </c>
      <c r="K1094" t="inlineStr">
        <is>
          <t>S1</t>
        </is>
      </c>
      <c r="L1094" t="inlineStr">
        <is>
          <t>2G</t>
        </is>
      </c>
      <c r="M1094" t="inlineStr">
        <is>
          <t>1800</t>
        </is>
      </c>
      <c r="N1094" t="inlineStr"/>
      <c r="O1094" t="n">
        <v>45</v>
      </c>
      <c r="P1094" t="n">
        <v>0</v>
      </c>
      <c r="Q1094" t="n">
        <v>2</v>
      </c>
      <c r="Y1094" t="inlineStr"/>
      <c r="AB1094" t="inlineStr">
        <is>
          <t>R9264H M901821</t>
        </is>
      </c>
      <c r="AC1094" t="inlineStr">
        <is>
          <t>R9264H M901821*3+R9254E S8500*2</t>
        </is>
      </c>
    </row>
    <row r="1095" hidden="1" ht="15" customHeight="1" s="99">
      <c r="A1095" t="inlineStr">
        <is>
          <t>ZKAD06</t>
        </is>
      </c>
      <c r="B1095" t="inlineStr">
        <is>
          <t>ZKAD06_GUL00_Webada_IP_Kd</t>
        </is>
      </c>
      <c r="F1095" t="n">
        <v>7.00423</v>
      </c>
      <c r="G1095" t="n">
        <v>79.9941</v>
      </c>
      <c r="H1095" t="inlineStr">
        <is>
          <t>ZKAD06-M-L85-A1</t>
        </is>
      </c>
      <c r="K1095" t="inlineStr">
        <is>
          <t>S1</t>
        </is>
      </c>
      <c r="L1095" t="inlineStr">
        <is>
          <t>4G</t>
        </is>
      </c>
      <c r="M1095" t="inlineStr">
        <is>
          <t>850</t>
        </is>
      </c>
      <c r="N1095" t="inlineStr">
        <is>
          <t>AQU4518R9v06</t>
        </is>
      </c>
      <c r="O1095" t="n">
        <v>45</v>
      </c>
      <c r="P1095" t="n">
        <v>0</v>
      </c>
      <c r="Q1095" t="n">
        <v>0</v>
      </c>
      <c r="Y1095" t="inlineStr">
        <is>
          <t>2T2R</t>
        </is>
      </c>
      <c r="AB1095" t="inlineStr">
        <is>
          <t>R9254E S8500</t>
        </is>
      </c>
      <c r="AC1095" t="inlineStr">
        <is>
          <t>R9264H M901821*3+R9254E S8500*2</t>
        </is>
      </c>
    </row>
    <row r="1096" hidden="1" ht="15" customHeight="1" s="99">
      <c r="A1096" t="inlineStr">
        <is>
          <t>ZKAD06</t>
        </is>
      </c>
      <c r="B1096" t="inlineStr">
        <is>
          <t>ZKAD06_GUL00_Webada_IP_Kd</t>
        </is>
      </c>
      <c r="F1096" t="n">
        <v>7.00423</v>
      </c>
      <c r="G1096" t="n">
        <v>79.9941</v>
      </c>
      <c r="H1096" t="inlineStr">
        <is>
          <t>ZKAD06G</t>
        </is>
      </c>
      <c r="K1096" t="inlineStr">
        <is>
          <t>S1</t>
        </is>
      </c>
      <c r="L1096" t="inlineStr">
        <is>
          <t>4G</t>
        </is>
      </c>
      <c r="M1096" t="inlineStr">
        <is>
          <t>1800</t>
        </is>
      </c>
      <c r="N1096" t="inlineStr">
        <is>
          <t>AQU4518R9v06</t>
        </is>
      </c>
      <c r="O1096" t="n">
        <v>45</v>
      </c>
      <c r="P1096" t="n">
        <v>0</v>
      </c>
      <c r="Q1096" t="n">
        <v>0</v>
      </c>
      <c r="Y1096" t="inlineStr">
        <is>
          <t>4T4R</t>
        </is>
      </c>
      <c r="AB1096" t="inlineStr">
        <is>
          <t>R9264H M901821</t>
        </is>
      </c>
      <c r="AC1096" t="inlineStr">
        <is>
          <t>R9264H M901821*3+R9254E S8500*2</t>
        </is>
      </c>
    </row>
    <row r="1097" hidden="1" ht="15" customHeight="1" s="99">
      <c r="A1097" t="inlineStr">
        <is>
          <t>ZKAD06</t>
        </is>
      </c>
      <c r="B1097" t="inlineStr"/>
      <c r="F1097">
        <f>_xlfn.XLOOKUP(A1097,'[1]4G Parameters'!$E:$E,'[1]4G Parameters'!$J:$J)</f>
        <v/>
      </c>
      <c r="G1097">
        <f>_xlfn.XLOOKUP(A1097,'[1]4G Parameters'!$E:$E,'[1]4G Parameters'!$I:$I)</f>
        <v/>
      </c>
      <c r="H1097" t="inlineStr">
        <is>
          <t>ZKAD06B</t>
        </is>
      </c>
      <c r="K1097" t="inlineStr">
        <is>
          <t>S2</t>
        </is>
      </c>
      <c r="L1097" t="inlineStr">
        <is>
          <t>2G</t>
        </is>
      </c>
      <c r="M1097" t="inlineStr">
        <is>
          <t>900</t>
        </is>
      </c>
      <c r="N1097" t="inlineStr"/>
      <c r="O1097" t="n">
        <v>45</v>
      </c>
      <c r="P1097" t="n">
        <v>120</v>
      </c>
      <c r="Q1097" t="n">
        <v>2</v>
      </c>
      <c r="Y1097" t="inlineStr"/>
      <c r="AB1097" t="inlineStr">
        <is>
          <t>R9264H M901821</t>
        </is>
      </c>
      <c r="AC1097" t="inlineStr">
        <is>
          <t>R9264H M901821*3+R9254E S8500*2</t>
        </is>
      </c>
    </row>
    <row r="1098" hidden="1" ht="15" customHeight="1" s="99">
      <c r="A1098" t="inlineStr">
        <is>
          <t>ZKAD06</t>
        </is>
      </c>
      <c r="B1098" t="inlineStr"/>
      <c r="F1098">
        <f>_xlfn.XLOOKUP(A1098,'[1]4G Parameters'!$E:$E,'[1]4G Parameters'!$J:$J)</f>
        <v/>
      </c>
      <c r="G1098">
        <f>_xlfn.XLOOKUP(A1098,'[1]4G Parameters'!$E:$E,'[1]4G Parameters'!$I:$I)</f>
        <v/>
      </c>
      <c r="H1098" t="inlineStr">
        <is>
          <t>ZKAD06Q</t>
        </is>
      </c>
      <c r="K1098" t="inlineStr">
        <is>
          <t>S2</t>
        </is>
      </c>
      <c r="L1098" t="inlineStr">
        <is>
          <t>2G</t>
        </is>
      </c>
      <c r="M1098" t="inlineStr">
        <is>
          <t>1800</t>
        </is>
      </c>
      <c r="N1098" t="inlineStr"/>
      <c r="O1098" t="n">
        <v>45</v>
      </c>
      <c r="P1098" t="n">
        <v>120</v>
      </c>
      <c r="Q1098" t="n">
        <v>2</v>
      </c>
      <c r="Y1098" t="inlineStr"/>
      <c r="AB1098" t="inlineStr">
        <is>
          <t>R9264H M901821</t>
        </is>
      </c>
      <c r="AC1098" t="inlineStr">
        <is>
          <t>R9264H M901821*3+R9254E S8500*2</t>
        </is>
      </c>
    </row>
    <row r="1099" hidden="1" ht="15" customHeight="1" s="99">
      <c r="A1099" t="inlineStr">
        <is>
          <t>ZKAD06</t>
        </is>
      </c>
      <c r="B1099" t="inlineStr">
        <is>
          <t>ZKAD06_GUL00_Webada_IP_Kd</t>
        </is>
      </c>
      <c r="F1099" t="n">
        <v>7.00423</v>
      </c>
      <c r="G1099" t="n">
        <v>79.9941</v>
      </c>
      <c r="H1099" t="inlineStr">
        <is>
          <t>ZKAD06-M-L85-B1</t>
        </is>
      </c>
      <c r="K1099" t="inlineStr">
        <is>
          <t>S2</t>
        </is>
      </c>
      <c r="L1099" t="inlineStr">
        <is>
          <t>4G</t>
        </is>
      </c>
      <c r="M1099" t="inlineStr">
        <is>
          <t>850</t>
        </is>
      </c>
      <c r="N1099" t="inlineStr">
        <is>
          <t>AQU4518R9v06</t>
        </is>
      </c>
      <c r="O1099" t="n">
        <v>45</v>
      </c>
      <c r="P1099" t="n">
        <v>120</v>
      </c>
      <c r="Q1099" t="n">
        <v>0</v>
      </c>
      <c r="Y1099" t="inlineStr">
        <is>
          <t>2T2R</t>
        </is>
      </c>
      <c r="AB1099" t="inlineStr">
        <is>
          <t>R9254E S8500</t>
        </is>
      </c>
      <c r="AC1099" t="inlineStr">
        <is>
          <t>R9264H M901821*3+R9254E S8500*2</t>
        </is>
      </c>
    </row>
    <row r="1100" hidden="1" ht="15" customHeight="1" s="99">
      <c r="A1100" t="inlineStr">
        <is>
          <t>ZKAD06</t>
        </is>
      </c>
      <c r="B1100" t="inlineStr">
        <is>
          <t>ZKAD06_GUL00_Webada_IP_Kd</t>
        </is>
      </c>
      <c r="F1100" t="n">
        <v>7.00423</v>
      </c>
      <c r="G1100" t="n">
        <v>79.9941</v>
      </c>
      <c r="H1100" t="inlineStr">
        <is>
          <t>ZKAD06-M-L21-B2</t>
        </is>
      </c>
      <c r="K1100" t="inlineStr">
        <is>
          <t>S2</t>
        </is>
      </c>
      <c r="L1100" t="inlineStr">
        <is>
          <t>4G</t>
        </is>
      </c>
      <c r="M1100" t="inlineStr">
        <is>
          <t>2100</t>
        </is>
      </c>
      <c r="N1100" t="inlineStr">
        <is>
          <t>AQU4518R9v06</t>
        </is>
      </c>
      <c r="O1100" t="n">
        <v>45</v>
      </c>
      <c r="P1100" t="n">
        <v>120</v>
      </c>
      <c r="Q1100" t="n">
        <v>0</v>
      </c>
      <c r="Y1100" t="inlineStr">
        <is>
          <t>2T2R</t>
        </is>
      </c>
      <c r="AB1100" t="inlineStr">
        <is>
          <t>R9264H M901821</t>
        </is>
      </c>
      <c r="AC1100" t="inlineStr">
        <is>
          <t>R9264H M901821*3+R9254E S8500*2</t>
        </is>
      </c>
    </row>
    <row r="1101" hidden="1" ht="15" customHeight="1" s="99">
      <c r="A1101" t="inlineStr">
        <is>
          <t>ZKAD06</t>
        </is>
      </c>
      <c r="B1101" t="inlineStr">
        <is>
          <t>ZKAD06_GUL00_Webada_IP_Kd</t>
        </is>
      </c>
      <c r="F1101" t="n">
        <v>7.00423</v>
      </c>
      <c r="G1101" t="n">
        <v>79.9941</v>
      </c>
      <c r="H1101" t="inlineStr">
        <is>
          <t>ZKAD06H</t>
        </is>
      </c>
      <c r="K1101" t="inlineStr">
        <is>
          <t>S2</t>
        </is>
      </c>
      <c r="L1101" t="inlineStr">
        <is>
          <t>4G</t>
        </is>
      </c>
      <c r="M1101" t="inlineStr">
        <is>
          <t>1800</t>
        </is>
      </c>
      <c r="N1101" t="inlineStr">
        <is>
          <t>AQU4518R9v06</t>
        </is>
      </c>
      <c r="O1101" t="n">
        <v>45</v>
      </c>
      <c r="P1101" t="n">
        <v>120</v>
      </c>
      <c r="Q1101" t="n">
        <v>0</v>
      </c>
      <c r="Y1101" t="inlineStr">
        <is>
          <t>4T4R</t>
        </is>
      </c>
      <c r="AB1101" t="inlineStr">
        <is>
          <t>R9264H M901821</t>
        </is>
      </c>
      <c r="AC1101" t="inlineStr">
        <is>
          <t>R9264H M901821*3+R9254E S8500*2</t>
        </is>
      </c>
    </row>
    <row r="1102" hidden="1" ht="15" customHeight="1" s="99">
      <c r="A1102" t="inlineStr">
        <is>
          <t>ZKAD06</t>
        </is>
      </c>
      <c r="B1102" t="inlineStr"/>
      <c r="F1102">
        <f>_xlfn.XLOOKUP(A1102,'[1]4G Parameters'!$E:$E,'[1]4G Parameters'!$J:$J)</f>
        <v/>
      </c>
      <c r="G1102">
        <f>_xlfn.XLOOKUP(A1102,'[1]4G Parameters'!$E:$E,'[1]4G Parameters'!$I:$I)</f>
        <v/>
      </c>
      <c r="H1102" t="inlineStr">
        <is>
          <t>ZKAD06C</t>
        </is>
      </c>
      <c r="K1102" t="inlineStr">
        <is>
          <t>S3</t>
        </is>
      </c>
      <c r="L1102" t="inlineStr">
        <is>
          <t>2G</t>
        </is>
      </c>
      <c r="M1102" t="inlineStr">
        <is>
          <t>900</t>
        </is>
      </c>
      <c r="N1102" t="inlineStr"/>
      <c r="O1102" t="n">
        <v>45</v>
      </c>
      <c r="P1102" t="n">
        <v>240</v>
      </c>
      <c r="Q1102" t="n">
        <v>2</v>
      </c>
      <c r="Y1102" t="inlineStr"/>
      <c r="AB1102" t="inlineStr">
        <is>
          <t>R9264H M901821</t>
        </is>
      </c>
      <c r="AC1102" t="inlineStr">
        <is>
          <t>R9264H M901821*3+R9254E S8500*2</t>
        </is>
      </c>
    </row>
    <row r="1103" hidden="1" ht="15" customHeight="1" s="99">
      <c r="A1103" t="inlineStr">
        <is>
          <t>ZKAD06</t>
        </is>
      </c>
      <c r="B1103" t="inlineStr"/>
      <c r="F1103">
        <f>_xlfn.XLOOKUP(A1103,'[1]4G Parameters'!$E:$E,'[1]4G Parameters'!$J:$J)</f>
        <v/>
      </c>
      <c r="G1103">
        <f>_xlfn.XLOOKUP(A1103,'[1]4G Parameters'!$E:$E,'[1]4G Parameters'!$I:$I)</f>
        <v/>
      </c>
      <c r="H1103" t="inlineStr">
        <is>
          <t>ZKAD06R</t>
        </is>
      </c>
      <c r="K1103" t="inlineStr">
        <is>
          <t>S3</t>
        </is>
      </c>
      <c r="L1103" t="inlineStr">
        <is>
          <t>2G</t>
        </is>
      </c>
      <c r="M1103" t="inlineStr">
        <is>
          <t>1800</t>
        </is>
      </c>
      <c r="N1103" t="inlineStr"/>
      <c r="O1103" t="n">
        <v>45</v>
      </c>
      <c r="P1103" t="n">
        <v>240</v>
      </c>
      <c r="Q1103" t="n">
        <v>2</v>
      </c>
      <c r="Y1103" t="inlineStr"/>
      <c r="AB1103" t="inlineStr">
        <is>
          <t>R9264H M901821</t>
        </is>
      </c>
      <c r="AC1103" t="inlineStr">
        <is>
          <t>R9264H M901821*3+R9254E S8500*2</t>
        </is>
      </c>
    </row>
    <row r="1104" hidden="1" ht="15" customHeight="1" s="99">
      <c r="A1104" t="inlineStr">
        <is>
          <t>ZKAD06</t>
        </is>
      </c>
      <c r="B1104" t="inlineStr">
        <is>
          <t>ZKAD06_GUL00_Webada_IP_Kd</t>
        </is>
      </c>
      <c r="F1104" t="n">
        <v>7.00423</v>
      </c>
      <c r="G1104" t="n">
        <v>79.9941</v>
      </c>
      <c r="H1104" t="inlineStr">
        <is>
          <t>ZKAD06-M-L85-C1</t>
        </is>
      </c>
      <c r="K1104" t="inlineStr">
        <is>
          <t>S3</t>
        </is>
      </c>
      <c r="L1104" t="inlineStr">
        <is>
          <t>4G</t>
        </is>
      </c>
      <c r="M1104" t="inlineStr">
        <is>
          <t>850</t>
        </is>
      </c>
      <c r="N1104" t="inlineStr">
        <is>
          <t>AQU4518R9v06</t>
        </is>
      </c>
      <c r="O1104" t="n">
        <v>45</v>
      </c>
      <c r="P1104" t="n">
        <v>240</v>
      </c>
      <c r="Q1104" t="n">
        <v>0</v>
      </c>
      <c r="Y1104" t="inlineStr">
        <is>
          <t>2T2R</t>
        </is>
      </c>
      <c r="AB1104" t="inlineStr">
        <is>
          <t>R9254E S8500</t>
        </is>
      </c>
      <c r="AC1104" t="inlineStr">
        <is>
          <t>R9264H M901821*3+R9254E S8500*2</t>
        </is>
      </c>
    </row>
    <row r="1105" hidden="1" ht="15" customHeight="1" s="99">
      <c r="A1105" t="inlineStr">
        <is>
          <t>ZKAD06</t>
        </is>
      </c>
      <c r="B1105" t="inlineStr">
        <is>
          <t>ZKAD06_GUL00_Webada_IP_Kd</t>
        </is>
      </c>
      <c r="F1105" t="n">
        <v>7.00423</v>
      </c>
      <c r="G1105" t="n">
        <v>79.9941</v>
      </c>
      <c r="H1105" t="inlineStr">
        <is>
          <t>ZKAD06-M-L21-C2</t>
        </is>
      </c>
      <c r="K1105" t="inlineStr">
        <is>
          <t>S3</t>
        </is>
      </c>
      <c r="L1105" t="inlineStr">
        <is>
          <t>4G</t>
        </is>
      </c>
      <c r="M1105" t="inlineStr">
        <is>
          <t>2100</t>
        </is>
      </c>
      <c r="N1105" t="inlineStr">
        <is>
          <t>AQU4518R9v06</t>
        </is>
      </c>
      <c r="O1105" t="n">
        <v>45</v>
      </c>
      <c r="P1105" t="n">
        <v>240</v>
      </c>
      <c r="Q1105" t="n">
        <v>0</v>
      </c>
      <c r="Y1105" t="inlineStr">
        <is>
          <t>2T2R</t>
        </is>
      </c>
      <c r="AB1105" t="inlineStr">
        <is>
          <t>R9264H M901821</t>
        </is>
      </c>
      <c r="AC1105" t="inlineStr">
        <is>
          <t>R9264H M901821*3+R9254E S8500*2</t>
        </is>
      </c>
    </row>
    <row r="1106" hidden="1" ht="15" customHeight="1" s="99">
      <c r="A1106" t="inlineStr">
        <is>
          <t>ZKAD06</t>
        </is>
      </c>
      <c r="B1106" t="inlineStr">
        <is>
          <t>ZKAD06_GUL00_Webada_IP_Kd</t>
        </is>
      </c>
      <c r="F1106" t="n">
        <v>7.00423</v>
      </c>
      <c r="G1106" t="n">
        <v>79.9941</v>
      </c>
      <c r="H1106" t="inlineStr">
        <is>
          <t>ZKAD06I</t>
        </is>
      </c>
      <c r="K1106" t="inlineStr">
        <is>
          <t>S3</t>
        </is>
      </c>
      <c r="L1106" t="inlineStr">
        <is>
          <t>4G</t>
        </is>
      </c>
      <c r="M1106" t="inlineStr">
        <is>
          <t>1800</t>
        </is>
      </c>
      <c r="N1106" t="inlineStr">
        <is>
          <t>AQU4518R9v06</t>
        </is>
      </c>
      <c r="O1106" t="n">
        <v>45</v>
      </c>
      <c r="P1106" t="n">
        <v>240</v>
      </c>
      <c r="Q1106" t="n">
        <v>0</v>
      </c>
      <c r="Y1106" t="inlineStr">
        <is>
          <t>4T4R</t>
        </is>
      </c>
      <c r="AB1106" t="inlineStr">
        <is>
          <t>R9264H M901821</t>
        </is>
      </c>
      <c r="AC1106" t="inlineStr">
        <is>
          <t>R9264H M901821*3+R9254E S8500*2</t>
        </is>
      </c>
    </row>
    <row r="1107" hidden="1" ht="15" customHeight="1" s="99">
      <c r="A1107" t="inlineStr">
        <is>
          <t>ZKAD08</t>
        </is>
      </c>
      <c r="B1107" t="inlineStr">
        <is>
          <t>ZKAD08_G0L00_Welipillewa_Kd</t>
        </is>
      </c>
      <c r="F1107" t="n">
        <v>7.04469</v>
      </c>
      <c r="G1107" t="n">
        <v>79.95610000000001</v>
      </c>
      <c r="H1107" t="inlineStr">
        <is>
          <t>ZKAD08-M-L18-E1</t>
        </is>
      </c>
      <c r="K1107" t="inlineStr"/>
      <c r="L1107" t="inlineStr">
        <is>
          <t>4G</t>
        </is>
      </c>
      <c r="M1107" t="inlineStr">
        <is>
          <t>1800</t>
        </is>
      </c>
      <c r="N1107" t="inlineStr">
        <is>
          <t>AMB4519R6v06</t>
        </is>
      </c>
      <c r="O1107" t="n">
        <v>60</v>
      </c>
      <c r="P1107" t="n">
        <v>270</v>
      </c>
      <c r="Q1107" t="n">
        <v>0</v>
      </c>
      <c r="Y1107" t="inlineStr">
        <is>
          <t>2T2R</t>
        </is>
      </c>
      <c r="AB1107" t="inlineStr">
        <is>
          <t>R9264H M901821</t>
        </is>
      </c>
      <c r="AC1107" t="inlineStr">
        <is>
          <t>A9652 S35*3+R9264H M901821*3+R9254E S8500*2+R9264 M1821N*1</t>
        </is>
      </c>
    </row>
    <row r="1108" hidden="1" ht="15" customHeight="1" s="99">
      <c r="A1108" t="inlineStr">
        <is>
          <t>ZKAD08</t>
        </is>
      </c>
      <c r="B1108" t="inlineStr"/>
      <c r="F1108">
        <f>_xlfn.XLOOKUP(A1108,'[1]4G Parameters'!$E:$E,'[1]4G Parameters'!$J:$J)</f>
        <v/>
      </c>
      <c r="G1108">
        <f>_xlfn.XLOOKUP(A1108,'[1]4G Parameters'!$E:$E,'[1]4G Parameters'!$I:$I)</f>
        <v/>
      </c>
      <c r="H1108" t="inlineStr">
        <is>
          <t>ZKAD08A</t>
        </is>
      </c>
      <c r="K1108" t="inlineStr">
        <is>
          <t>S1</t>
        </is>
      </c>
      <c r="L1108" t="inlineStr">
        <is>
          <t>2G</t>
        </is>
      </c>
      <c r="M1108" t="inlineStr">
        <is>
          <t>900</t>
        </is>
      </c>
      <c r="N1108" t="inlineStr"/>
      <c r="O1108" t="n">
        <v>60</v>
      </c>
      <c r="P1108" t="n">
        <v>330</v>
      </c>
      <c r="Q1108" t="n">
        <v>2</v>
      </c>
      <c r="Y1108" t="inlineStr"/>
      <c r="AB1108" t="inlineStr">
        <is>
          <t>R9264H M901821</t>
        </is>
      </c>
      <c r="AC1108" t="inlineStr">
        <is>
          <t>A9652 S35*3+R9264H M901821*3+R9254E S8500*2+R9264 M1821N*1</t>
        </is>
      </c>
    </row>
    <row r="1109" hidden="1" ht="15" customHeight="1" s="99">
      <c r="A1109" t="inlineStr">
        <is>
          <t>ZKAD08</t>
        </is>
      </c>
      <c r="B1109" t="inlineStr"/>
      <c r="F1109">
        <f>_xlfn.XLOOKUP(A1109,'[1]4G Parameters'!$E:$E,'[1]4G Parameters'!$J:$J)</f>
        <v/>
      </c>
      <c r="G1109">
        <f>_xlfn.XLOOKUP(A1109,'[1]4G Parameters'!$E:$E,'[1]4G Parameters'!$I:$I)</f>
        <v/>
      </c>
      <c r="H1109" t="inlineStr">
        <is>
          <t>ZKAD08P</t>
        </is>
      </c>
      <c r="K1109" t="inlineStr">
        <is>
          <t>S1</t>
        </is>
      </c>
      <c r="L1109" t="inlineStr">
        <is>
          <t>2G</t>
        </is>
      </c>
      <c r="M1109" t="inlineStr">
        <is>
          <t>1800</t>
        </is>
      </c>
      <c r="N1109" t="inlineStr"/>
      <c r="O1109" t="n">
        <v>60</v>
      </c>
      <c r="P1109" t="n">
        <v>330</v>
      </c>
      <c r="Q1109" t="n">
        <v>2</v>
      </c>
      <c r="Y1109" t="inlineStr"/>
      <c r="AB1109" t="inlineStr">
        <is>
          <t>R9264H M901821</t>
        </is>
      </c>
      <c r="AC1109" t="inlineStr">
        <is>
          <t>A9652 S35*3+R9264H M901821*3+R9254E S8500*2+R9264 M1821N*1</t>
        </is>
      </c>
    </row>
    <row r="1110" hidden="1" ht="15" customHeight="1" s="99">
      <c r="A1110" t="inlineStr">
        <is>
          <t>ZKAD08</t>
        </is>
      </c>
      <c r="B1110" t="inlineStr">
        <is>
          <t>ZKAD08_G0L00_Welipillewa_Kd</t>
        </is>
      </c>
      <c r="F1110" t="n">
        <v>7.04469</v>
      </c>
      <c r="G1110" t="n">
        <v>79.95610000000001</v>
      </c>
      <c r="H1110" t="inlineStr">
        <is>
          <t>ZKAD08-M-L85-A1</t>
        </is>
      </c>
      <c r="K1110" t="inlineStr">
        <is>
          <t>S1</t>
        </is>
      </c>
      <c r="L1110" t="inlineStr">
        <is>
          <t>4G</t>
        </is>
      </c>
      <c r="M1110" t="inlineStr">
        <is>
          <t>850</t>
        </is>
      </c>
      <c r="N1110" t="inlineStr">
        <is>
          <t>AQU4518R9v06</t>
        </is>
      </c>
      <c r="O1110" t="n">
        <v>60</v>
      </c>
      <c r="P1110" t="n">
        <v>330</v>
      </c>
      <c r="Q1110" t="n">
        <v>0</v>
      </c>
      <c r="Y1110" t="inlineStr">
        <is>
          <t>2T2R</t>
        </is>
      </c>
      <c r="AB1110" t="inlineStr">
        <is>
          <t>R9254E S8500</t>
        </is>
      </c>
      <c r="AC1110" t="inlineStr">
        <is>
          <t>A9652 S35*3+R9264H M901821*3+R9254E S8500*2+R9264 M1821N*1</t>
        </is>
      </c>
    </row>
    <row r="1111" hidden="1" ht="15" customHeight="1" s="99">
      <c r="A1111" t="inlineStr">
        <is>
          <t>ZKAD08</t>
        </is>
      </c>
      <c r="B1111" t="inlineStr">
        <is>
          <t>ZKAD08_G0L00_Welipillewa_Kd</t>
        </is>
      </c>
      <c r="F1111" t="n">
        <v>7.04469</v>
      </c>
      <c r="G1111" t="n">
        <v>79.95610000000001</v>
      </c>
      <c r="H1111" t="inlineStr">
        <is>
          <t>ZKAD08-M-L21-A2</t>
        </is>
      </c>
      <c r="K1111" t="inlineStr">
        <is>
          <t>S1</t>
        </is>
      </c>
      <c r="L1111" t="inlineStr">
        <is>
          <t>4G</t>
        </is>
      </c>
      <c r="M1111" t="inlineStr">
        <is>
          <t>2100</t>
        </is>
      </c>
      <c r="N1111" t="inlineStr">
        <is>
          <t>AQU4518R9v06</t>
        </is>
      </c>
      <c r="O1111" t="n">
        <v>60</v>
      </c>
      <c r="P1111" t="n">
        <v>330</v>
      </c>
      <c r="Q1111" t="n">
        <v>0</v>
      </c>
      <c r="Y1111" t="inlineStr">
        <is>
          <t>2T2R</t>
        </is>
      </c>
      <c r="AB1111" t="inlineStr">
        <is>
          <t>R9264H M901821</t>
        </is>
      </c>
      <c r="AC1111" t="inlineStr">
        <is>
          <t>A9652 S35*3+R9264H M901821*3+R9254E S8500*2+R9264 M1821N*1</t>
        </is>
      </c>
    </row>
    <row r="1112" hidden="1" ht="15" customHeight="1" s="99">
      <c r="A1112" t="inlineStr">
        <is>
          <t>ZKAD08</t>
        </is>
      </c>
      <c r="B1112" t="inlineStr">
        <is>
          <t>ZKAD08_G0L00_Welipillewa_Kd</t>
        </is>
      </c>
      <c r="F1112" t="n">
        <v>7.04469</v>
      </c>
      <c r="G1112" t="n">
        <v>79.95610000000001</v>
      </c>
      <c r="H1112" t="inlineStr">
        <is>
          <t>ZKAD08G</t>
        </is>
      </c>
      <c r="K1112" t="inlineStr">
        <is>
          <t>S1</t>
        </is>
      </c>
      <c r="L1112" t="inlineStr">
        <is>
          <t>4G</t>
        </is>
      </c>
      <c r="M1112" t="inlineStr">
        <is>
          <t>1800</t>
        </is>
      </c>
      <c r="N1112" t="inlineStr">
        <is>
          <t>AQU4518R9v06</t>
        </is>
      </c>
      <c r="O1112" t="n">
        <v>60</v>
      </c>
      <c r="P1112" t="n">
        <v>330</v>
      </c>
      <c r="Q1112" t="n">
        <v>0</v>
      </c>
      <c r="Y1112" t="inlineStr">
        <is>
          <t>4T4R</t>
        </is>
      </c>
      <c r="AB1112" t="inlineStr">
        <is>
          <t>R9264H M901821</t>
        </is>
      </c>
      <c r="AC1112" t="inlineStr">
        <is>
          <t>A9652 S35*3+R9264H M901821*3+R9254E S8500*2+R9264 M1821N*1</t>
        </is>
      </c>
    </row>
    <row r="1113" hidden="1" ht="15" customHeight="1" s="99">
      <c r="A1113" t="inlineStr">
        <is>
          <t>ZKAD08</t>
        </is>
      </c>
      <c r="B1113" t="inlineStr"/>
      <c r="F1113">
        <f>_xlfn.XLOOKUP(A1113,'[1]4G Parameters'!$E:$E,'[1]4G Parameters'!$J:$J)</f>
        <v/>
      </c>
      <c r="G1113">
        <f>_xlfn.XLOOKUP(A1113,'[1]4G Parameters'!$E:$E,'[1]4G Parameters'!$I:$I)</f>
        <v/>
      </c>
      <c r="H1113" t="inlineStr">
        <is>
          <t>ZKAD08B</t>
        </is>
      </c>
      <c r="K1113" t="inlineStr">
        <is>
          <t>S2</t>
        </is>
      </c>
      <c r="L1113" t="inlineStr">
        <is>
          <t>2G</t>
        </is>
      </c>
      <c r="M1113" t="inlineStr">
        <is>
          <t>900</t>
        </is>
      </c>
      <c r="N1113" t="inlineStr"/>
      <c r="O1113" t="n">
        <v>60</v>
      </c>
      <c r="P1113" t="n">
        <v>90</v>
      </c>
      <c r="Q1113" t="n">
        <v>2</v>
      </c>
      <c r="Y1113" t="inlineStr"/>
      <c r="AB1113" t="inlineStr">
        <is>
          <t>R9264H M901821</t>
        </is>
      </c>
      <c r="AC1113" t="inlineStr">
        <is>
          <t>A9652 S35*3+R9264H M901821*3+R9254E S8500*2+R9264 M1821N*1</t>
        </is>
      </c>
    </row>
    <row r="1114" hidden="1" ht="15" customHeight="1" s="99">
      <c r="A1114" t="inlineStr">
        <is>
          <t>ZKAD08</t>
        </is>
      </c>
      <c r="B1114" t="inlineStr"/>
      <c r="F1114">
        <f>_xlfn.XLOOKUP(A1114,'[1]4G Parameters'!$E:$E,'[1]4G Parameters'!$J:$J)</f>
        <v/>
      </c>
      <c r="G1114">
        <f>_xlfn.XLOOKUP(A1114,'[1]4G Parameters'!$E:$E,'[1]4G Parameters'!$I:$I)</f>
        <v/>
      </c>
      <c r="H1114" t="inlineStr">
        <is>
          <t>ZKAD08Q</t>
        </is>
      </c>
      <c r="K1114" t="inlineStr">
        <is>
          <t>S2</t>
        </is>
      </c>
      <c r="L1114" t="inlineStr">
        <is>
          <t>2G</t>
        </is>
      </c>
      <c r="M1114" t="inlineStr">
        <is>
          <t>1800</t>
        </is>
      </c>
      <c r="N1114" t="inlineStr"/>
      <c r="O1114" t="n">
        <v>60</v>
      </c>
      <c r="P1114" t="n">
        <v>90</v>
      </c>
      <c r="Q1114" t="n">
        <v>2</v>
      </c>
      <c r="Y1114" t="inlineStr"/>
      <c r="AB1114" t="inlineStr">
        <is>
          <t>R9264H M901821</t>
        </is>
      </c>
      <c r="AC1114" t="inlineStr">
        <is>
          <t>A9652 S35*3+R9264H M901821*3+R9254E S8500*2+R9264 M1821N*1</t>
        </is>
      </c>
    </row>
    <row r="1115" hidden="1" ht="15" customHeight="1" s="99">
      <c r="A1115" t="inlineStr">
        <is>
          <t>ZKAD08</t>
        </is>
      </c>
      <c r="B1115" t="inlineStr">
        <is>
          <t>ZKAD08_G0L00_Welipillewa_Kd</t>
        </is>
      </c>
      <c r="F1115" t="n">
        <v>7.04469</v>
      </c>
      <c r="G1115" t="n">
        <v>79.95610000000001</v>
      </c>
      <c r="H1115" t="inlineStr">
        <is>
          <t>ZKAD08-M-L85-B1</t>
        </is>
      </c>
      <c r="K1115" t="inlineStr">
        <is>
          <t>S2</t>
        </is>
      </c>
      <c r="L1115" t="inlineStr">
        <is>
          <t>4G</t>
        </is>
      </c>
      <c r="M1115" t="inlineStr">
        <is>
          <t>850</t>
        </is>
      </c>
      <c r="N1115" t="inlineStr">
        <is>
          <t>AQU4518R9v06</t>
        </is>
      </c>
      <c r="O1115" t="n">
        <v>60</v>
      </c>
      <c r="P1115" t="n">
        <v>90</v>
      </c>
      <c r="Q1115" t="n">
        <v>0</v>
      </c>
      <c r="Y1115" t="inlineStr">
        <is>
          <t>2T2R</t>
        </is>
      </c>
      <c r="AB1115" t="inlineStr">
        <is>
          <t>R9254E S8500</t>
        </is>
      </c>
      <c r="AC1115" t="inlineStr">
        <is>
          <t>A9652 S35*3+R9264H M901821*3+R9254E S8500*2+R9264 M1821N*1</t>
        </is>
      </c>
    </row>
    <row r="1116" hidden="1" ht="15" customHeight="1" s="99">
      <c r="A1116" t="inlineStr">
        <is>
          <t>ZKAD08</t>
        </is>
      </c>
      <c r="B1116" t="inlineStr">
        <is>
          <t>ZKAD08_G0L00_Welipillewa_Kd</t>
        </is>
      </c>
      <c r="F1116" t="n">
        <v>7.04469</v>
      </c>
      <c r="G1116" t="n">
        <v>79.95610000000001</v>
      </c>
      <c r="H1116" t="inlineStr">
        <is>
          <t>ZKAD08-M-L21-B2</t>
        </is>
      </c>
      <c r="K1116" t="inlineStr">
        <is>
          <t>S2</t>
        </is>
      </c>
      <c r="L1116" t="inlineStr">
        <is>
          <t>4G</t>
        </is>
      </c>
      <c r="M1116" t="inlineStr">
        <is>
          <t>2100</t>
        </is>
      </c>
      <c r="N1116" t="inlineStr">
        <is>
          <t>AQU4518R9v06</t>
        </is>
      </c>
      <c r="O1116" t="n">
        <v>60</v>
      </c>
      <c r="P1116" t="n">
        <v>90</v>
      </c>
      <c r="Q1116" t="n">
        <v>0</v>
      </c>
      <c r="Y1116" t="inlineStr">
        <is>
          <t>2T2R</t>
        </is>
      </c>
      <c r="AB1116" t="inlineStr">
        <is>
          <t>R9264H M901821</t>
        </is>
      </c>
      <c r="AC1116" t="inlineStr">
        <is>
          <t>A9652 S35*3+R9264H M901821*3+R9254E S8500*2+R9264 M1821N*1</t>
        </is>
      </c>
    </row>
    <row r="1117" hidden="1" ht="15" customHeight="1" s="99">
      <c r="A1117" t="inlineStr">
        <is>
          <t>ZKAD08</t>
        </is>
      </c>
      <c r="B1117" t="inlineStr">
        <is>
          <t>ZKAD08_G0L00_Welipillewa_Kd</t>
        </is>
      </c>
      <c r="F1117" t="n">
        <v>7.04469</v>
      </c>
      <c r="G1117" t="n">
        <v>79.95610000000001</v>
      </c>
      <c r="H1117" t="inlineStr">
        <is>
          <t>ZKAD08H</t>
        </is>
      </c>
      <c r="K1117" t="inlineStr">
        <is>
          <t>S2</t>
        </is>
      </c>
      <c r="L1117" t="inlineStr">
        <is>
          <t>4G</t>
        </is>
      </c>
      <c r="M1117" t="inlineStr">
        <is>
          <t>1800</t>
        </is>
      </c>
      <c r="N1117" t="inlineStr">
        <is>
          <t>AQU4518R9v06</t>
        </is>
      </c>
      <c r="O1117" t="n">
        <v>60</v>
      </c>
      <c r="P1117" t="n">
        <v>90</v>
      </c>
      <c r="Q1117" t="n">
        <v>0</v>
      </c>
      <c r="Y1117" t="inlineStr">
        <is>
          <t>2T2R</t>
        </is>
      </c>
      <c r="AB1117" t="inlineStr">
        <is>
          <t>R9264H M901821</t>
        </is>
      </c>
      <c r="AC1117" t="inlineStr">
        <is>
          <t>A9652 S35*3+R9264H M901821*3+R9254E S8500*2+R9264 M1821N*1</t>
        </is>
      </c>
    </row>
    <row r="1118" hidden="1" ht="15" customHeight="1" s="99">
      <c r="A1118" t="inlineStr">
        <is>
          <t>ZKAD08</t>
        </is>
      </c>
      <c r="B1118" t="inlineStr"/>
      <c r="F1118">
        <f>_xlfn.XLOOKUP(A1118,'[1]4G Parameters'!$E:$E,'[1]4G Parameters'!$J:$J)</f>
        <v/>
      </c>
      <c r="G1118">
        <f>_xlfn.XLOOKUP(A1118,'[1]4G Parameters'!$E:$E,'[1]4G Parameters'!$I:$I)</f>
        <v/>
      </c>
      <c r="H1118" t="inlineStr">
        <is>
          <t>ZKAD08C</t>
        </is>
      </c>
      <c r="K1118" t="inlineStr">
        <is>
          <t>S3</t>
        </is>
      </c>
      <c r="L1118" t="inlineStr">
        <is>
          <t>2G</t>
        </is>
      </c>
      <c r="M1118" t="inlineStr">
        <is>
          <t>900</t>
        </is>
      </c>
      <c r="N1118" t="inlineStr"/>
      <c r="O1118" t="n">
        <v>60</v>
      </c>
      <c r="P1118" t="n">
        <v>210</v>
      </c>
      <c r="Q1118" t="n">
        <v>2</v>
      </c>
      <c r="Y1118" t="inlineStr"/>
      <c r="AB1118" t="inlineStr">
        <is>
          <t>R9264H M901821</t>
        </is>
      </c>
      <c r="AC1118" t="inlineStr">
        <is>
          <t>A9652 S35*3+R9264H M901821*3+R9254E S8500*2+R9264 M1821N*1</t>
        </is>
      </c>
    </row>
    <row r="1119" hidden="1" ht="15" customHeight="1" s="99">
      <c r="A1119" t="inlineStr">
        <is>
          <t>ZKAD08</t>
        </is>
      </c>
      <c r="B1119" t="inlineStr"/>
      <c r="F1119">
        <f>_xlfn.XLOOKUP(A1119,'[1]4G Parameters'!$E:$E,'[1]4G Parameters'!$J:$J)</f>
        <v/>
      </c>
      <c r="G1119">
        <f>_xlfn.XLOOKUP(A1119,'[1]4G Parameters'!$E:$E,'[1]4G Parameters'!$I:$I)</f>
        <v/>
      </c>
      <c r="H1119" t="inlineStr">
        <is>
          <t>ZKAD08R</t>
        </is>
      </c>
      <c r="K1119" t="inlineStr">
        <is>
          <t>S3</t>
        </is>
      </c>
      <c r="L1119" t="inlineStr">
        <is>
          <t>2G</t>
        </is>
      </c>
      <c r="M1119" t="inlineStr">
        <is>
          <t>1800</t>
        </is>
      </c>
      <c r="N1119" t="inlineStr"/>
      <c r="O1119" t="n">
        <v>60</v>
      </c>
      <c r="P1119" t="n">
        <v>210</v>
      </c>
      <c r="Q1119" t="n">
        <v>2</v>
      </c>
      <c r="Y1119" t="inlineStr"/>
      <c r="AB1119" t="inlineStr">
        <is>
          <t>R9264H M901821</t>
        </is>
      </c>
      <c r="AC1119" t="inlineStr">
        <is>
          <t>A9652 S35*3+R9264H M901821*3+R9254E S8500*2+R9264 M1821N*1</t>
        </is>
      </c>
    </row>
    <row r="1120" hidden="1" ht="15" customHeight="1" s="99">
      <c r="AB1120" t="inlineStr">
        <is>
          <t>R9264 M1821N</t>
        </is>
      </c>
    </row>
    <row r="1121" hidden="1" ht="15" customHeight="1" s="99">
      <c r="A1121" t="inlineStr">
        <is>
          <t>ZKAD08</t>
        </is>
      </c>
      <c r="B1121" t="inlineStr">
        <is>
          <t>ZKAD08_G0L00_Welipillewa_Kd</t>
        </is>
      </c>
      <c r="F1121" t="n">
        <v>7.04469</v>
      </c>
      <c r="G1121" t="n">
        <v>79.95610000000001</v>
      </c>
      <c r="H1121" t="inlineStr">
        <is>
          <t>ZKAD08-M-L85-C1</t>
        </is>
      </c>
      <c r="K1121" t="inlineStr">
        <is>
          <t>S3</t>
        </is>
      </c>
      <c r="L1121" t="inlineStr">
        <is>
          <t>4G</t>
        </is>
      </c>
      <c r="M1121" t="inlineStr">
        <is>
          <t>850</t>
        </is>
      </c>
      <c r="N1121" t="inlineStr">
        <is>
          <t>AMB4519R6v06</t>
        </is>
      </c>
      <c r="O1121" t="n">
        <v>60</v>
      </c>
      <c r="P1121" t="n">
        <v>210</v>
      </c>
      <c r="Q1121" t="n">
        <v>0</v>
      </c>
      <c r="Y1121" t="inlineStr">
        <is>
          <t>2T2R</t>
        </is>
      </c>
      <c r="AB1121" t="inlineStr">
        <is>
          <t>R9254E S8500</t>
        </is>
      </c>
      <c r="AC1121" t="inlineStr">
        <is>
          <t>A9652 S35*3+R9264H M901821*3+R9254E S8500*2+R9264 M1821N*1</t>
        </is>
      </c>
    </row>
    <row r="1122" hidden="1" ht="15" customHeight="1" s="99">
      <c r="A1122" t="inlineStr">
        <is>
          <t>ZKAD08</t>
        </is>
      </c>
      <c r="B1122" t="inlineStr">
        <is>
          <t>ZKAD08_G0L00_Welipillewa_Kd</t>
        </is>
      </c>
      <c r="F1122" t="n">
        <v>7.04469</v>
      </c>
      <c r="G1122" t="n">
        <v>79.95610000000001</v>
      </c>
      <c r="H1122" t="inlineStr">
        <is>
          <t>ZKAD08-M-L21-C2</t>
        </is>
      </c>
      <c r="K1122" t="inlineStr">
        <is>
          <t>S3</t>
        </is>
      </c>
      <c r="L1122" t="inlineStr">
        <is>
          <t>4G</t>
        </is>
      </c>
      <c r="M1122" t="inlineStr">
        <is>
          <t>2100</t>
        </is>
      </c>
      <c r="N1122" t="inlineStr">
        <is>
          <t>AMB4519R6v06</t>
        </is>
      </c>
      <c r="O1122" t="n">
        <v>60</v>
      </c>
      <c r="P1122" t="n">
        <v>210</v>
      </c>
      <c r="Q1122" t="n">
        <v>0</v>
      </c>
      <c r="Y1122" t="inlineStr">
        <is>
          <t>2T2R</t>
        </is>
      </c>
      <c r="AB1122" t="inlineStr">
        <is>
          <t>R9264H M901821</t>
        </is>
      </c>
      <c r="AC1122" t="inlineStr">
        <is>
          <t>A9652 S35*3+R9264H M901821*3+R9254E S8500*2+R9264 M1821N*1</t>
        </is>
      </c>
    </row>
    <row r="1123" hidden="1" ht="15" customHeight="1" s="99">
      <c r="AB1123" t="inlineStr">
        <is>
          <t>R9264 M1821N</t>
        </is>
      </c>
    </row>
    <row r="1124" hidden="1" ht="15" customHeight="1" s="99">
      <c r="A1124" t="inlineStr">
        <is>
          <t>ZKAD08</t>
        </is>
      </c>
      <c r="B1124" t="inlineStr">
        <is>
          <t>ZKAD08_G0L00_Welipillewa_Kd</t>
        </is>
      </c>
      <c r="F1124" t="n">
        <v>7.04469</v>
      </c>
      <c r="G1124" t="n">
        <v>79.95610000000001</v>
      </c>
      <c r="H1124" t="inlineStr">
        <is>
          <t>ZKAD08-M-L18-C1</t>
        </is>
      </c>
      <c r="K1124" t="inlineStr">
        <is>
          <t>S3</t>
        </is>
      </c>
      <c r="L1124" t="inlineStr">
        <is>
          <t>4G</t>
        </is>
      </c>
      <c r="M1124" t="inlineStr">
        <is>
          <t>1800</t>
        </is>
      </c>
      <c r="N1124" t="inlineStr">
        <is>
          <t>AMB4519R6v06</t>
        </is>
      </c>
      <c r="O1124" t="n">
        <v>60</v>
      </c>
      <c r="P1124" t="n">
        <v>210</v>
      </c>
      <c r="Q1124" t="n">
        <v>0</v>
      </c>
      <c r="Y1124" t="inlineStr">
        <is>
          <t>2T2R</t>
        </is>
      </c>
      <c r="AB1124" t="inlineStr">
        <is>
          <t>R9264H M901821</t>
        </is>
      </c>
      <c r="AC1124" t="inlineStr">
        <is>
          <t>A9652 S35*3+R9264H M901821*3+R9254E S8500*2+R9264 M1821N*1</t>
        </is>
      </c>
    </row>
    <row r="1125" hidden="1" ht="15" customHeight="1" s="99">
      <c r="A1125" t="inlineStr">
        <is>
          <t>ZKAD08</t>
        </is>
      </c>
      <c r="B1125" t="inlineStr">
        <is>
          <t>ZKAD08_G0L00_Welipillewa_Kd</t>
        </is>
      </c>
      <c r="F1125" t="n">
        <v>7.04469</v>
      </c>
      <c r="G1125" t="n">
        <v>79.95610000000001</v>
      </c>
      <c r="H1125" t="inlineStr">
        <is>
          <t>ZKAD08I</t>
        </is>
      </c>
      <c r="K1125" t="inlineStr">
        <is>
          <t>S3</t>
        </is>
      </c>
      <c r="L1125" t="inlineStr">
        <is>
          <t>4G</t>
        </is>
      </c>
      <c r="M1125" t="inlineStr">
        <is>
          <t>1800</t>
        </is>
      </c>
      <c r="N1125" t="inlineStr">
        <is>
          <t>AMB4519R6v06</t>
        </is>
      </c>
      <c r="O1125" t="n">
        <v>60</v>
      </c>
      <c r="P1125" t="n">
        <v>210</v>
      </c>
      <c r="Q1125" t="n">
        <v>0</v>
      </c>
      <c r="Y1125" t="inlineStr">
        <is>
          <t>4T4R</t>
        </is>
      </c>
      <c r="AB1125" t="inlineStr">
        <is>
          <t>R9264 M1821N</t>
        </is>
      </c>
      <c r="AC1125" t="inlineStr">
        <is>
          <t>A9652 S35*3+R9264H M901821*3+R9254E S8500*2+R9264 M1821N*1</t>
        </is>
      </c>
    </row>
    <row r="1126" hidden="1" ht="15" customHeight="1" s="99">
      <c r="A1126" t="inlineStr">
        <is>
          <t>ZKAD10</t>
        </is>
      </c>
      <c r="B1126" t="inlineStr"/>
      <c r="F1126">
        <f>_xlfn.XLOOKUP(A1126,'[1]4G Parameters'!$E:$E,'[1]4G Parameters'!$J:$J)</f>
        <v/>
      </c>
      <c r="G1126">
        <f>_xlfn.XLOOKUP(A1126,'[1]4G Parameters'!$E:$E,'[1]4G Parameters'!$I:$I)</f>
        <v/>
      </c>
      <c r="H1126" t="inlineStr">
        <is>
          <t>ZKAD10A</t>
        </is>
      </c>
      <c r="K1126" t="inlineStr">
        <is>
          <t>S1</t>
        </is>
      </c>
      <c r="L1126" t="inlineStr">
        <is>
          <t>2G</t>
        </is>
      </c>
      <c r="M1126" t="inlineStr">
        <is>
          <t>900</t>
        </is>
      </c>
      <c r="N1126" t="inlineStr"/>
      <c r="O1126" t="n">
        <v>60</v>
      </c>
      <c r="P1126" t="n">
        <v>0</v>
      </c>
      <c r="Q1126" t="n">
        <v>2</v>
      </c>
      <c r="Y1126" t="inlineStr"/>
      <c r="AB1126" t="inlineStr">
        <is>
          <t>R9264H M901821</t>
        </is>
      </c>
      <c r="AC1126" t="inlineStr">
        <is>
          <t>A9652 S35*3+R9264H M901821*3+R9254E S8500*2+R9264 M1821N*2</t>
        </is>
      </c>
    </row>
    <row r="1127" hidden="1" ht="15" customHeight="1" s="99">
      <c r="A1127" t="inlineStr">
        <is>
          <t>ZKAD10</t>
        </is>
      </c>
      <c r="B1127" t="inlineStr"/>
      <c r="F1127">
        <f>_xlfn.XLOOKUP(A1127,'[1]4G Parameters'!$E:$E,'[1]4G Parameters'!$J:$J)</f>
        <v/>
      </c>
      <c r="G1127">
        <f>_xlfn.XLOOKUP(A1127,'[1]4G Parameters'!$E:$E,'[1]4G Parameters'!$I:$I)</f>
        <v/>
      </c>
      <c r="H1127" t="inlineStr">
        <is>
          <t>ZKAD10P</t>
        </is>
      </c>
      <c r="K1127" t="inlineStr">
        <is>
          <t>S1</t>
        </is>
      </c>
      <c r="L1127" t="inlineStr">
        <is>
          <t>2G</t>
        </is>
      </c>
      <c r="M1127" t="inlineStr">
        <is>
          <t>900</t>
        </is>
      </c>
      <c r="N1127" t="inlineStr"/>
      <c r="O1127" t="n">
        <v>60</v>
      </c>
      <c r="P1127" t="n">
        <v>0</v>
      </c>
      <c r="Q1127" t="n">
        <v>2</v>
      </c>
      <c r="Y1127" t="inlineStr"/>
      <c r="AB1127" t="inlineStr">
        <is>
          <t>R9264H M901821</t>
        </is>
      </c>
      <c r="AC1127" t="inlineStr">
        <is>
          <t>A9652 S35*3+R9264H M901821*3+R9254E S8500*2+R9264 M1821N*2</t>
        </is>
      </c>
    </row>
    <row r="1128" hidden="1" ht="15" customHeight="1" s="99">
      <c r="A1128" t="inlineStr">
        <is>
          <t>ZKAD10</t>
        </is>
      </c>
      <c r="B1128" t="inlineStr"/>
      <c r="F1128">
        <f>_xlfn.XLOOKUP(A1128,'[1]4G Parameters'!$E:$E,'[1]4G Parameters'!$J:$J)</f>
        <v/>
      </c>
      <c r="G1128">
        <f>_xlfn.XLOOKUP(A1128,'[1]4G Parameters'!$E:$E,'[1]4G Parameters'!$I:$I)</f>
        <v/>
      </c>
      <c r="H1128" t="inlineStr">
        <is>
          <t>ZKAD101</t>
        </is>
      </c>
      <c r="K1128" t="inlineStr">
        <is>
          <t>S1</t>
        </is>
      </c>
      <c r="L1128" t="inlineStr">
        <is>
          <t>2G</t>
        </is>
      </c>
      <c r="M1128" t="inlineStr">
        <is>
          <t>1800</t>
        </is>
      </c>
      <c r="N1128" t="inlineStr"/>
      <c r="O1128" t="n">
        <v>60</v>
      </c>
      <c r="P1128" t="n">
        <v>0</v>
      </c>
      <c r="Q1128" t="n">
        <v>2</v>
      </c>
      <c r="Y1128" t="inlineStr"/>
      <c r="AB1128" t="inlineStr">
        <is>
          <t>R9264H M901821</t>
        </is>
      </c>
      <c r="AC1128" t="inlineStr">
        <is>
          <t>A9652 S35*3+R9264H M901821*3+R9254E S8500*2+R9264 M1821N*2</t>
        </is>
      </c>
    </row>
    <row r="1129" hidden="1" ht="15" customHeight="1" s="99">
      <c r="AB1129" t="inlineStr">
        <is>
          <t>R9264 M1821N</t>
        </is>
      </c>
    </row>
    <row r="1130" hidden="1" ht="15" customHeight="1" s="99">
      <c r="A1130" t="inlineStr">
        <is>
          <t>ZKAD10</t>
        </is>
      </c>
      <c r="B1130" t="inlineStr">
        <is>
          <t>ZKAD10_GUL00_GONAHENA_IP_Kd</t>
        </is>
      </c>
      <c r="F1130" t="n">
        <v>7.00338</v>
      </c>
      <c r="G1130" t="n">
        <v>79.9789</v>
      </c>
      <c r="H1130" t="inlineStr">
        <is>
          <t>ZKAD10-M-L85-A1</t>
        </is>
      </c>
      <c r="K1130" t="inlineStr">
        <is>
          <t>S1</t>
        </is>
      </c>
      <c r="L1130" t="inlineStr">
        <is>
          <t>4G</t>
        </is>
      </c>
      <c r="M1130" t="inlineStr">
        <is>
          <t>850</t>
        </is>
      </c>
      <c r="N1130" t="inlineStr">
        <is>
          <t>AQU4518R9v06</t>
        </is>
      </c>
      <c r="O1130" t="n">
        <v>60</v>
      </c>
      <c r="P1130" t="n">
        <v>0</v>
      </c>
      <c r="Q1130" t="n">
        <v>0</v>
      </c>
      <c r="Y1130" t="inlineStr">
        <is>
          <t>2T2R</t>
        </is>
      </c>
      <c r="AB1130" t="inlineStr">
        <is>
          <t>R9254E S8500</t>
        </is>
      </c>
      <c r="AC1130" t="inlineStr">
        <is>
          <t>A9652 S35*3+R9264H M901821*3+R9254E S8500*2+R9264 M1821N*2</t>
        </is>
      </c>
    </row>
    <row r="1131" hidden="1" ht="15" customHeight="1" s="99">
      <c r="A1131" t="inlineStr">
        <is>
          <t>ZKAD10</t>
        </is>
      </c>
      <c r="B1131" t="inlineStr">
        <is>
          <t>ZKAD10_GUL00_GONAHENA_IP_Kd</t>
        </is>
      </c>
      <c r="F1131" t="n">
        <v>7.00338</v>
      </c>
      <c r="G1131" t="n">
        <v>79.9789</v>
      </c>
      <c r="H1131" t="inlineStr">
        <is>
          <t>ZKAD10-M-L23-A1</t>
        </is>
      </c>
      <c r="K1131" t="inlineStr">
        <is>
          <t>S1</t>
        </is>
      </c>
      <c r="L1131" t="inlineStr">
        <is>
          <t>4G</t>
        </is>
      </c>
      <c r="M1131" t="inlineStr">
        <is>
          <t>2300</t>
        </is>
      </c>
      <c r="N1131" t="inlineStr"/>
      <c r="O1131" t="n">
        <v>60</v>
      </c>
      <c r="P1131" t="n">
        <v>0</v>
      </c>
      <c r="Q1131" t="n">
        <v>0</v>
      </c>
      <c r="Y1131" t="inlineStr">
        <is>
          <t>4T4R</t>
        </is>
      </c>
      <c r="AC1131" t="inlineStr">
        <is>
          <t>A9652 S35*3+R9264H M901821*3+R9254E S8500*2+R9264 M1821N*2</t>
        </is>
      </c>
    </row>
    <row r="1132" hidden="1" ht="15" customHeight="1" s="99">
      <c r="A1132" t="inlineStr">
        <is>
          <t>ZKAD10</t>
        </is>
      </c>
      <c r="B1132" t="inlineStr">
        <is>
          <t>ZKAD10_GUL00_GONAHENA_IP_Kd</t>
        </is>
      </c>
      <c r="F1132" t="n">
        <v>7.00338</v>
      </c>
      <c r="G1132" t="n">
        <v>79.9789</v>
      </c>
      <c r="H1132" t="inlineStr">
        <is>
          <t>ZKAD10-M-L21-A2</t>
        </is>
      </c>
      <c r="K1132" t="inlineStr">
        <is>
          <t>S1</t>
        </is>
      </c>
      <c r="L1132" t="inlineStr">
        <is>
          <t>4G</t>
        </is>
      </c>
      <c r="M1132" t="inlineStr">
        <is>
          <t>2100</t>
        </is>
      </c>
      <c r="N1132" t="inlineStr">
        <is>
          <t>AQU4518R9v06</t>
        </is>
      </c>
      <c r="O1132" t="n">
        <v>60</v>
      </c>
      <c r="P1132" t="n">
        <v>0</v>
      </c>
      <c r="Q1132" t="n">
        <v>0</v>
      </c>
      <c r="Y1132" t="inlineStr">
        <is>
          <t>2T2R</t>
        </is>
      </c>
      <c r="AB1132" t="inlineStr">
        <is>
          <t>R9264H M901821</t>
        </is>
      </c>
      <c r="AC1132" t="inlineStr">
        <is>
          <t>A9652 S35*3+R9264H M901821*3+R9254E S8500*2+R9264 M1821N*2</t>
        </is>
      </c>
    </row>
    <row r="1133" hidden="1" ht="15" customHeight="1" s="99">
      <c r="AB1133" t="inlineStr">
        <is>
          <t>R9264 M1821N</t>
        </is>
      </c>
    </row>
    <row r="1134" hidden="1" ht="15" customHeight="1" s="99">
      <c r="A1134" t="inlineStr">
        <is>
          <t>ZKAD10</t>
        </is>
      </c>
      <c r="B1134" t="inlineStr">
        <is>
          <t>ZKAD10_GUL00_GONAHENA_IP_Kd</t>
        </is>
      </c>
      <c r="F1134" t="n">
        <v>7.00338</v>
      </c>
      <c r="G1134" t="n">
        <v>79.9789</v>
      </c>
      <c r="H1134" t="inlineStr">
        <is>
          <t>ZKAD10G</t>
        </is>
      </c>
      <c r="K1134" t="inlineStr">
        <is>
          <t>S1</t>
        </is>
      </c>
      <c r="L1134" t="inlineStr">
        <is>
          <t>4G</t>
        </is>
      </c>
      <c r="M1134" t="inlineStr">
        <is>
          <t>1800</t>
        </is>
      </c>
      <c r="N1134" t="inlineStr">
        <is>
          <t>AQU4518R9v06</t>
        </is>
      </c>
      <c r="O1134" t="n">
        <v>60</v>
      </c>
      <c r="P1134" t="n">
        <v>0</v>
      </c>
      <c r="Q1134" t="n">
        <v>0</v>
      </c>
      <c r="Y1134" t="inlineStr">
        <is>
          <t>2T2R</t>
        </is>
      </c>
      <c r="AB1134" t="inlineStr">
        <is>
          <t>R9264H M901821</t>
        </is>
      </c>
      <c r="AC1134" t="inlineStr">
        <is>
          <t>A9652 S35*3+R9264H M901821*3+R9254E S8500*2+R9264 M1821N*2</t>
        </is>
      </c>
    </row>
    <row r="1135" hidden="1" ht="15" customHeight="1" s="99">
      <c r="A1135" t="inlineStr">
        <is>
          <t>ZKAD10</t>
        </is>
      </c>
      <c r="B1135" t="inlineStr">
        <is>
          <t>ZKAD10_GUL00_GONAHENA_IP_Kd</t>
        </is>
      </c>
      <c r="F1135" t="n">
        <v>7.00338</v>
      </c>
      <c r="G1135" t="n">
        <v>79.9789</v>
      </c>
      <c r="H1135" t="inlineStr">
        <is>
          <t>ZKAD10-M-L18-A1</t>
        </is>
      </c>
      <c r="K1135" t="inlineStr">
        <is>
          <t>S1</t>
        </is>
      </c>
      <c r="L1135" t="inlineStr">
        <is>
          <t>4G</t>
        </is>
      </c>
      <c r="M1135" t="inlineStr">
        <is>
          <t>1800</t>
        </is>
      </c>
      <c r="N1135" t="inlineStr">
        <is>
          <t>AQU4518R9v06</t>
        </is>
      </c>
      <c r="O1135" t="n">
        <v>60</v>
      </c>
      <c r="P1135" t="n">
        <v>0</v>
      </c>
      <c r="Q1135" t="n">
        <v>0</v>
      </c>
      <c r="Y1135" t="inlineStr">
        <is>
          <t>2T2R</t>
        </is>
      </c>
      <c r="AB1135" t="inlineStr">
        <is>
          <t>R9264 M1821N</t>
        </is>
      </c>
      <c r="AC1135" t="inlineStr">
        <is>
          <t>A9652 S35*3+R9264H M901821*3+R9254E S8500*2+R9264 M1821N*2</t>
        </is>
      </c>
    </row>
    <row r="1136" hidden="1" ht="15" customHeight="1" s="99">
      <c r="A1136" t="inlineStr">
        <is>
          <t>ZKAD10</t>
        </is>
      </c>
      <c r="B1136" t="inlineStr"/>
      <c r="F1136">
        <f>_xlfn.XLOOKUP(A1136,'[1]4G Parameters'!$E:$E,'[1]4G Parameters'!$J:$J)</f>
        <v/>
      </c>
      <c r="G1136">
        <f>_xlfn.XLOOKUP(A1136,'[1]4G Parameters'!$E:$E,'[1]4G Parameters'!$I:$I)</f>
        <v/>
      </c>
      <c r="H1136" t="inlineStr">
        <is>
          <t>ZKAD10B</t>
        </is>
      </c>
      <c r="K1136" t="inlineStr">
        <is>
          <t>S2</t>
        </is>
      </c>
      <c r="L1136" t="inlineStr">
        <is>
          <t>2G</t>
        </is>
      </c>
      <c r="M1136" t="inlineStr">
        <is>
          <t>900</t>
        </is>
      </c>
      <c r="N1136" t="inlineStr"/>
      <c r="O1136" t="n">
        <v>60</v>
      </c>
      <c r="P1136" t="n">
        <v>120</v>
      </c>
      <c r="Q1136" t="n">
        <v>2</v>
      </c>
      <c r="Y1136" t="inlineStr"/>
      <c r="AB1136" t="inlineStr">
        <is>
          <t>R9264H M901821</t>
        </is>
      </c>
      <c r="AC1136" t="inlineStr">
        <is>
          <t>A9652 S35*3+R9264H M901821*3+R9254E S8500*2+R9264 M1821N*2</t>
        </is>
      </c>
    </row>
    <row r="1137" hidden="1" ht="15" customHeight="1" s="99">
      <c r="A1137" t="inlineStr">
        <is>
          <t>ZKAD10</t>
        </is>
      </c>
      <c r="B1137" t="inlineStr"/>
      <c r="F1137">
        <f>_xlfn.XLOOKUP(A1137,'[1]4G Parameters'!$E:$E,'[1]4G Parameters'!$J:$J)</f>
        <v/>
      </c>
      <c r="G1137">
        <f>_xlfn.XLOOKUP(A1137,'[1]4G Parameters'!$E:$E,'[1]4G Parameters'!$I:$I)</f>
        <v/>
      </c>
      <c r="H1137" t="inlineStr">
        <is>
          <t>ZKAD10Q</t>
        </is>
      </c>
      <c r="K1137" t="inlineStr">
        <is>
          <t>S2</t>
        </is>
      </c>
      <c r="L1137" t="inlineStr">
        <is>
          <t>2G</t>
        </is>
      </c>
      <c r="M1137" t="inlineStr">
        <is>
          <t>900</t>
        </is>
      </c>
      <c r="N1137" t="inlineStr"/>
      <c r="O1137" t="n">
        <v>60</v>
      </c>
      <c r="P1137" t="n">
        <v>120</v>
      </c>
      <c r="Q1137" t="n">
        <v>2</v>
      </c>
      <c r="Y1137" t="inlineStr"/>
      <c r="AB1137" t="inlineStr">
        <is>
          <t>R9264H M901821</t>
        </is>
      </c>
      <c r="AC1137" t="inlineStr">
        <is>
          <t>A9652 S35*3+R9264H M901821*3+R9254E S8500*2+R9264 M1821N*2</t>
        </is>
      </c>
    </row>
    <row r="1138" hidden="1" ht="15" customHeight="1" s="99">
      <c r="A1138" t="inlineStr">
        <is>
          <t>ZKAD10</t>
        </is>
      </c>
      <c r="B1138" t="inlineStr">
        <is>
          <t>ZKAD10_GUL00_GONAHENA_IP_Kd</t>
        </is>
      </c>
      <c r="F1138" t="n">
        <v>7.00338</v>
      </c>
      <c r="G1138" t="n">
        <v>79.9789</v>
      </c>
      <c r="H1138" t="inlineStr">
        <is>
          <t>ZKAD10-M-L85-B1</t>
        </is>
      </c>
      <c r="K1138" t="inlineStr">
        <is>
          <t>S2</t>
        </is>
      </c>
      <c r="L1138" t="inlineStr">
        <is>
          <t>4G</t>
        </is>
      </c>
      <c r="M1138" t="inlineStr">
        <is>
          <t>850</t>
        </is>
      </c>
      <c r="N1138" t="inlineStr">
        <is>
          <t>AQU4518R9v06</t>
        </is>
      </c>
      <c r="O1138" t="n">
        <v>60</v>
      </c>
      <c r="P1138" t="n">
        <v>120</v>
      </c>
      <c r="Q1138" t="n">
        <v>0</v>
      </c>
      <c r="Y1138" t="inlineStr">
        <is>
          <t>2T2R</t>
        </is>
      </c>
      <c r="AB1138" t="inlineStr">
        <is>
          <t>R9254E S8500</t>
        </is>
      </c>
      <c r="AC1138" t="inlineStr">
        <is>
          <t>A9652 S35*3+R9264H M901821*3+R9254E S8500*2+R9264 M1821N*2</t>
        </is>
      </c>
    </row>
    <row r="1139" hidden="1" ht="15" customHeight="1" s="99">
      <c r="A1139" t="inlineStr">
        <is>
          <t>ZKAD10</t>
        </is>
      </c>
      <c r="B1139" t="inlineStr">
        <is>
          <t>ZKAD10_GUL00_GONAHENA_IP_Kd</t>
        </is>
      </c>
      <c r="F1139" t="n">
        <v>7.00338</v>
      </c>
      <c r="G1139" t="n">
        <v>79.9789</v>
      </c>
      <c r="H1139" t="inlineStr">
        <is>
          <t>ZKAD10-M-L23-B1</t>
        </is>
      </c>
      <c r="K1139" t="inlineStr">
        <is>
          <t>S2</t>
        </is>
      </c>
      <c r="L1139" t="inlineStr">
        <is>
          <t>4G</t>
        </is>
      </c>
      <c r="M1139" t="inlineStr">
        <is>
          <t>2300</t>
        </is>
      </c>
      <c r="N1139" t="inlineStr"/>
      <c r="O1139" t="n">
        <v>60</v>
      </c>
      <c r="P1139" t="n">
        <v>120</v>
      </c>
      <c r="Q1139" t="n">
        <v>0</v>
      </c>
      <c r="Y1139" t="inlineStr">
        <is>
          <t>4T4R</t>
        </is>
      </c>
      <c r="AC1139" t="inlineStr">
        <is>
          <t>A9652 S35*3+R9264H M901821*3+R9254E S8500*2+R9264 M1821N*2</t>
        </is>
      </c>
    </row>
    <row r="1140" hidden="1" ht="15" customHeight="1" s="99">
      <c r="A1140" t="inlineStr">
        <is>
          <t>ZKAD10</t>
        </is>
      </c>
      <c r="B1140" t="inlineStr">
        <is>
          <t>ZKAD10_GUL00_GONAHENA_IP_Kd</t>
        </is>
      </c>
      <c r="F1140" t="n">
        <v>7.00338</v>
      </c>
      <c r="G1140" t="n">
        <v>79.9789</v>
      </c>
      <c r="H1140" t="inlineStr">
        <is>
          <t>ZKAD10-M-L21-B2</t>
        </is>
      </c>
      <c r="K1140" t="inlineStr">
        <is>
          <t>S2</t>
        </is>
      </c>
      <c r="L1140" t="inlineStr">
        <is>
          <t>4G</t>
        </is>
      </c>
      <c r="M1140" t="inlineStr">
        <is>
          <t>2100</t>
        </is>
      </c>
      <c r="N1140" t="inlineStr">
        <is>
          <t>AQU4518R9v06</t>
        </is>
      </c>
      <c r="O1140" t="n">
        <v>60</v>
      </c>
      <c r="P1140" t="n">
        <v>120</v>
      </c>
      <c r="Q1140" t="n">
        <v>0</v>
      </c>
      <c r="Y1140" t="inlineStr">
        <is>
          <t>2T2R</t>
        </is>
      </c>
      <c r="AB1140" t="inlineStr">
        <is>
          <t>R9264H M901821</t>
        </is>
      </c>
      <c r="AC1140" t="inlineStr">
        <is>
          <t>A9652 S35*3+R9264H M901821*3+R9254E S8500*2+R9264 M1821N*2</t>
        </is>
      </c>
    </row>
    <row r="1141" hidden="1" ht="15" customHeight="1" s="99">
      <c r="A1141" t="inlineStr">
        <is>
          <t>ZKAD10</t>
        </is>
      </c>
      <c r="B1141" t="inlineStr">
        <is>
          <t>ZKAD10_GUL00_GONAHENA_IP_Kd</t>
        </is>
      </c>
      <c r="F1141" t="n">
        <v>7.00338</v>
      </c>
      <c r="G1141" t="n">
        <v>79.9789</v>
      </c>
      <c r="H1141" t="inlineStr">
        <is>
          <t>ZKAD10H</t>
        </is>
      </c>
      <c r="K1141" t="inlineStr">
        <is>
          <t>S2</t>
        </is>
      </c>
      <c r="L1141" t="inlineStr">
        <is>
          <t>4G</t>
        </is>
      </c>
      <c r="M1141" t="inlineStr">
        <is>
          <t>1800</t>
        </is>
      </c>
      <c r="N1141" t="inlineStr">
        <is>
          <t>AQU4518R9v06</t>
        </is>
      </c>
      <c r="O1141" t="n">
        <v>60</v>
      </c>
      <c r="P1141" t="n">
        <v>120</v>
      </c>
      <c r="Q1141" t="n">
        <v>0</v>
      </c>
      <c r="Y1141" t="inlineStr">
        <is>
          <t>2T2R</t>
        </is>
      </c>
      <c r="AB1141" t="inlineStr">
        <is>
          <t>R9264H M901821</t>
        </is>
      </c>
      <c r="AC1141" t="inlineStr">
        <is>
          <t>A9652 S35*3+R9264H M901821*3+R9254E S8500*2+R9264 M1821N*2</t>
        </is>
      </c>
    </row>
    <row r="1142" hidden="1" ht="15" customHeight="1" s="99">
      <c r="A1142" t="inlineStr">
        <is>
          <t>ZKAD10</t>
        </is>
      </c>
      <c r="B1142" t="inlineStr"/>
      <c r="F1142">
        <f>_xlfn.XLOOKUP(A1142,'[1]4G Parameters'!$E:$E,'[1]4G Parameters'!$J:$J)</f>
        <v/>
      </c>
      <c r="G1142">
        <f>_xlfn.XLOOKUP(A1142,'[1]4G Parameters'!$E:$E,'[1]4G Parameters'!$I:$I)</f>
        <v/>
      </c>
      <c r="H1142" t="inlineStr">
        <is>
          <t>ZKAD10C</t>
        </is>
      </c>
      <c r="K1142" t="inlineStr">
        <is>
          <t>S3</t>
        </is>
      </c>
      <c r="L1142" t="inlineStr">
        <is>
          <t>2G</t>
        </is>
      </c>
      <c r="M1142" t="inlineStr">
        <is>
          <t>900</t>
        </is>
      </c>
      <c r="N1142" t="inlineStr"/>
      <c r="O1142" t="n">
        <v>60</v>
      </c>
      <c r="P1142" t="n">
        <v>240</v>
      </c>
      <c r="Q1142" t="n">
        <v>2</v>
      </c>
      <c r="Y1142" t="inlineStr"/>
      <c r="AB1142" t="inlineStr">
        <is>
          <t>R9264H M901821</t>
        </is>
      </c>
      <c r="AC1142" t="inlineStr">
        <is>
          <t>A9652 S35*3+R9264H M901821*3+R9254E S8500*2+R9264 M1821N*2</t>
        </is>
      </c>
    </row>
    <row r="1143" hidden="1" ht="15" customHeight="1" s="99">
      <c r="A1143" t="inlineStr">
        <is>
          <t>ZKAD10</t>
        </is>
      </c>
      <c r="B1143" t="inlineStr"/>
      <c r="F1143">
        <f>_xlfn.XLOOKUP(A1143,'[1]4G Parameters'!$E:$E,'[1]4G Parameters'!$J:$J)</f>
        <v/>
      </c>
      <c r="G1143">
        <f>_xlfn.XLOOKUP(A1143,'[1]4G Parameters'!$E:$E,'[1]4G Parameters'!$I:$I)</f>
        <v/>
      </c>
      <c r="H1143" t="inlineStr">
        <is>
          <t>ZKAD10R</t>
        </is>
      </c>
      <c r="K1143" t="inlineStr">
        <is>
          <t>S3</t>
        </is>
      </c>
      <c r="L1143" t="inlineStr">
        <is>
          <t>2G</t>
        </is>
      </c>
      <c r="M1143" t="inlineStr">
        <is>
          <t>900</t>
        </is>
      </c>
      <c r="N1143" t="inlineStr"/>
      <c r="O1143" t="n">
        <v>60</v>
      </c>
      <c r="P1143" t="n">
        <v>240</v>
      </c>
      <c r="Q1143" t="n">
        <v>2</v>
      </c>
      <c r="Y1143" t="inlineStr"/>
      <c r="AB1143" t="inlineStr">
        <is>
          <t>R9264H M901821</t>
        </is>
      </c>
      <c r="AC1143" t="inlineStr">
        <is>
          <t>A9652 S35*3+R9264H M901821*3+R9254E S8500*2+R9264 M1821N*2</t>
        </is>
      </c>
    </row>
    <row r="1144" hidden="1" ht="15" customHeight="1" s="99">
      <c r="A1144" t="inlineStr">
        <is>
          <t>ZKAD10</t>
        </is>
      </c>
      <c r="B1144" t="inlineStr">
        <is>
          <t>ZKAD10_GUL00_GONAHENA_IP_Kd</t>
        </is>
      </c>
      <c r="F1144" t="n">
        <v>7.00338</v>
      </c>
      <c r="G1144" t="n">
        <v>79.9789</v>
      </c>
      <c r="H1144" t="inlineStr">
        <is>
          <t>ZKAD10-M-L85-C1</t>
        </is>
      </c>
      <c r="K1144" t="inlineStr">
        <is>
          <t>S3</t>
        </is>
      </c>
      <c r="L1144" t="inlineStr">
        <is>
          <t>4G</t>
        </is>
      </c>
      <c r="M1144" t="inlineStr">
        <is>
          <t>850</t>
        </is>
      </c>
      <c r="N1144" t="inlineStr">
        <is>
          <t>AQU4518R9v06</t>
        </is>
      </c>
      <c r="O1144" t="n">
        <v>60</v>
      </c>
      <c r="P1144" t="n">
        <v>240</v>
      </c>
      <c r="Q1144" t="n">
        <v>0</v>
      </c>
      <c r="Y1144" t="inlineStr">
        <is>
          <t>2T2R</t>
        </is>
      </c>
      <c r="AB1144" t="inlineStr">
        <is>
          <t>R9254E S8500</t>
        </is>
      </c>
      <c r="AC1144" t="inlineStr">
        <is>
          <t>A9652 S35*3+R9264H M901821*3+R9254E S8500*2+R9264 M1821N*2</t>
        </is>
      </c>
    </row>
    <row r="1145" hidden="1" ht="15" customHeight="1" s="99">
      <c r="A1145" t="inlineStr">
        <is>
          <t>ZKAD10</t>
        </is>
      </c>
      <c r="B1145" t="inlineStr">
        <is>
          <t>ZKAD10_GUL00_GONAHENA_IP_Kd</t>
        </is>
      </c>
      <c r="F1145" t="n">
        <v>7.00338</v>
      </c>
      <c r="G1145" t="n">
        <v>79.9789</v>
      </c>
      <c r="H1145" t="inlineStr">
        <is>
          <t>ZKAD10-M-L23-C1</t>
        </is>
      </c>
      <c r="K1145" t="inlineStr">
        <is>
          <t>S3</t>
        </is>
      </c>
      <c r="L1145" t="inlineStr">
        <is>
          <t>4G</t>
        </is>
      </c>
      <c r="M1145" t="inlineStr">
        <is>
          <t>2300</t>
        </is>
      </c>
      <c r="N1145" t="inlineStr"/>
      <c r="O1145" t="n">
        <v>60</v>
      </c>
      <c r="P1145" t="n">
        <v>240</v>
      </c>
      <c r="Q1145" t="n">
        <v>0</v>
      </c>
      <c r="Y1145" t="inlineStr">
        <is>
          <t>4T4R</t>
        </is>
      </c>
      <c r="AC1145" t="inlineStr">
        <is>
          <t>A9652 S35*3+R9264H M901821*3+R9254E S8500*2+R9264 M1821N*2</t>
        </is>
      </c>
    </row>
    <row r="1146" hidden="1" ht="15" customHeight="1" s="99">
      <c r="A1146" t="inlineStr">
        <is>
          <t>ZKAD10</t>
        </is>
      </c>
      <c r="B1146" t="inlineStr">
        <is>
          <t>ZKAD10_GUL00_GONAHENA_IP_Kd</t>
        </is>
      </c>
      <c r="F1146" t="n">
        <v>7.00338</v>
      </c>
      <c r="G1146" t="n">
        <v>79.9789</v>
      </c>
      <c r="H1146" t="inlineStr">
        <is>
          <t>ZKAD10-M-L21-C2</t>
        </is>
      </c>
      <c r="K1146" t="inlineStr">
        <is>
          <t>S3</t>
        </is>
      </c>
      <c r="L1146" t="inlineStr">
        <is>
          <t>4G</t>
        </is>
      </c>
      <c r="M1146" t="inlineStr">
        <is>
          <t>2100</t>
        </is>
      </c>
      <c r="N1146" t="inlineStr">
        <is>
          <t>AQU4518R9v06</t>
        </is>
      </c>
      <c r="O1146" t="n">
        <v>60</v>
      </c>
      <c r="P1146" t="n">
        <v>240</v>
      </c>
      <c r="Q1146" t="n">
        <v>0</v>
      </c>
      <c r="Y1146" t="inlineStr">
        <is>
          <t>2T2R</t>
        </is>
      </c>
      <c r="AB1146" t="inlineStr">
        <is>
          <t>R9264H M901821</t>
        </is>
      </c>
      <c r="AC1146" t="inlineStr">
        <is>
          <t>A9652 S35*3+R9264H M901821*3+R9254E S8500*2+R9264 M1821N*2</t>
        </is>
      </c>
    </row>
    <row r="1147" hidden="1" ht="15" customHeight="1" s="99">
      <c r="AB1147" t="inlineStr">
        <is>
          <t>R9264 M1821N</t>
        </is>
      </c>
    </row>
    <row r="1148" hidden="1" ht="15" customHeight="1" s="99">
      <c r="A1148" t="inlineStr">
        <is>
          <t>ZKAD10</t>
        </is>
      </c>
      <c r="B1148" t="inlineStr">
        <is>
          <t>ZKAD10_GUL00_GONAHENA_IP_Kd</t>
        </is>
      </c>
      <c r="F1148" t="n">
        <v>7.00338</v>
      </c>
      <c r="G1148" t="n">
        <v>79.9789</v>
      </c>
      <c r="H1148" t="inlineStr">
        <is>
          <t>ZKAD10-M-L18-I1</t>
        </is>
      </c>
      <c r="K1148" t="inlineStr">
        <is>
          <t>S3</t>
        </is>
      </c>
      <c r="L1148" t="inlineStr">
        <is>
          <t>4G</t>
        </is>
      </c>
      <c r="M1148" t="inlineStr">
        <is>
          <t>1800</t>
        </is>
      </c>
      <c r="N1148" t="inlineStr">
        <is>
          <t>AMB4519R6v06</t>
        </is>
      </c>
      <c r="O1148" t="n">
        <v>60</v>
      </c>
      <c r="P1148" t="n">
        <v>240</v>
      </c>
      <c r="Q1148" t="n">
        <v>0</v>
      </c>
      <c r="Y1148" t="inlineStr">
        <is>
          <t>2T2R</t>
        </is>
      </c>
      <c r="AB1148" t="inlineStr">
        <is>
          <t>R9264H M901821</t>
        </is>
      </c>
      <c r="AC1148" t="inlineStr">
        <is>
          <t>A9652 S35*3+R9264H M901821*3+R9254E S8500*2+R9264 M1821N*2</t>
        </is>
      </c>
    </row>
    <row r="1149" hidden="1" ht="15" customHeight="1" s="99">
      <c r="A1149" t="inlineStr">
        <is>
          <t>ZKAD10</t>
        </is>
      </c>
      <c r="B1149" t="inlineStr">
        <is>
          <t>ZKAD10_GUL00_GONAHENA_IP_Kd</t>
        </is>
      </c>
      <c r="F1149" t="n">
        <v>7.00338</v>
      </c>
      <c r="G1149" t="n">
        <v>79.9789</v>
      </c>
      <c r="H1149" t="inlineStr">
        <is>
          <t>ZKAD10I</t>
        </is>
      </c>
      <c r="K1149" t="inlineStr">
        <is>
          <t>S3</t>
        </is>
      </c>
      <c r="L1149" t="inlineStr">
        <is>
          <t>4G</t>
        </is>
      </c>
      <c r="M1149" t="inlineStr">
        <is>
          <t>1800</t>
        </is>
      </c>
      <c r="N1149" t="inlineStr">
        <is>
          <t>AMB4519R6v06</t>
        </is>
      </c>
      <c r="O1149" t="n">
        <v>60</v>
      </c>
      <c r="P1149" t="n">
        <v>240</v>
      </c>
      <c r="Q1149" t="n">
        <v>0</v>
      </c>
      <c r="Y1149" t="inlineStr">
        <is>
          <t>2T2R</t>
        </is>
      </c>
      <c r="AB1149" t="inlineStr">
        <is>
          <t>R9264 M1821N</t>
        </is>
      </c>
      <c r="AC1149" t="inlineStr">
        <is>
          <t>A9652 S35*3+R9264H M901821*3+R9254E S8500*2+R9264 M1821N*2</t>
        </is>
      </c>
    </row>
    <row r="1150" hidden="1" ht="15" customHeight="1" s="99">
      <c r="A1150" t="inlineStr">
        <is>
          <t>ZKAD11</t>
        </is>
      </c>
      <c r="B1150" t="inlineStr"/>
      <c r="D1150" t="inlineStr">
        <is>
          <t>无900</t>
        </is>
      </c>
      <c r="F1150">
        <f>_xlfn.XLOOKUP(A1150,'[1]4G Parameters'!$E:$E,'[1]4G Parameters'!$J:$J)</f>
        <v/>
      </c>
      <c r="G1150">
        <f>_xlfn.XLOOKUP(A1150,'[1]4G Parameters'!$E:$E,'[1]4G Parameters'!$I:$I)</f>
        <v/>
      </c>
      <c r="H1150" t="inlineStr">
        <is>
          <t>ZKAD11P</t>
        </is>
      </c>
      <c r="K1150" t="inlineStr">
        <is>
          <t>S1</t>
        </is>
      </c>
      <c r="L1150" t="inlineStr">
        <is>
          <t>2G</t>
        </is>
      </c>
      <c r="M1150" t="inlineStr">
        <is>
          <t>1800</t>
        </is>
      </c>
      <c r="N1150" t="inlineStr"/>
      <c r="O1150" t="n">
        <v>18</v>
      </c>
      <c r="P1150" t="n">
        <v>0</v>
      </c>
      <c r="Q1150" t="n">
        <v>2</v>
      </c>
      <c r="Y1150" t="inlineStr"/>
      <c r="AB1150" t="inlineStr">
        <is>
          <t>R9264H M901821</t>
        </is>
      </c>
      <c r="AC1150" t="inlineStr">
        <is>
          <t>A9652 S35*3+R9264H M901821*3</t>
        </is>
      </c>
    </row>
    <row r="1151" hidden="1" ht="15" customHeight="1" s="99">
      <c r="A1151" t="inlineStr">
        <is>
          <t>ZKAD11</t>
        </is>
      </c>
      <c r="B1151" t="inlineStr">
        <is>
          <t>ZKAD11_0UL00_Mahara_Kd</t>
        </is>
      </c>
      <c r="D1151" t="inlineStr">
        <is>
          <t>无900</t>
        </is>
      </c>
      <c r="F1151" t="n">
        <v>6.989</v>
      </c>
      <c r="G1151" t="n">
        <v>79.9376</v>
      </c>
      <c r="H1151" t="inlineStr">
        <is>
          <t>ZKAD11-M-L21-A2</t>
        </is>
      </c>
      <c r="K1151" t="inlineStr">
        <is>
          <t>S1</t>
        </is>
      </c>
      <c r="L1151" t="inlineStr">
        <is>
          <t>4G</t>
        </is>
      </c>
      <c r="M1151" t="inlineStr">
        <is>
          <t>2100</t>
        </is>
      </c>
      <c r="N1151" t="inlineStr">
        <is>
          <t>AQU4518R9v06</t>
        </is>
      </c>
      <c r="O1151" t="n">
        <v>6</v>
      </c>
      <c r="P1151" t="n">
        <v>0</v>
      </c>
      <c r="Q1151" t="n">
        <v>0</v>
      </c>
      <c r="Y1151" t="inlineStr">
        <is>
          <t>2T2R</t>
        </is>
      </c>
      <c r="AB1151" t="inlineStr">
        <is>
          <t>R9264H M901821</t>
        </is>
      </c>
      <c r="AC1151" t="inlineStr">
        <is>
          <t>A9652 S35*3+R9264H M901821*3</t>
        </is>
      </c>
    </row>
    <row r="1152" hidden="1" ht="15" customHeight="1" s="99">
      <c r="A1152" t="inlineStr">
        <is>
          <t>ZKAD11</t>
        </is>
      </c>
      <c r="B1152" t="inlineStr">
        <is>
          <t>ZKAD11_0UL00_Mahara_Kd</t>
        </is>
      </c>
      <c r="D1152" t="inlineStr">
        <is>
          <t>无900</t>
        </is>
      </c>
      <c r="F1152" t="n">
        <v>6.989</v>
      </c>
      <c r="G1152" t="n">
        <v>79.9376</v>
      </c>
      <c r="H1152" t="inlineStr">
        <is>
          <t>ZKAD11G</t>
        </is>
      </c>
      <c r="K1152" t="inlineStr">
        <is>
          <t>S1</t>
        </is>
      </c>
      <c r="L1152" t="inlineStr">
        <is>
          <t>4G</t>
        </is>
      </c>
      <c r="M1152" t="inlineStr">
        <is>
          <t>1800</t>
        </is>
      </c>
      <c r="N1152" t="inlineStr">
        <is>
          <t>AQU4518R9v06</t>
        </is>
      </c>
      <c r="O1152" t="n">
        <v>6</v>
      </c>
      <c r="P1152" t="n">
        <v>0</v>
      </c>
      <c r="Q1152" t="n">
        <v>0</v>
      </c>
      <c r="Y1152" t="inlineStr">
        <is>
          <t>4T4R</t>
        </is>
      </c>
      <c r="AB1152" t="inlineStr">
        <is>
          <t>R9264H M901821</t>
        </is>
      </c>
      <c r="AC1152" t="inlineStr">
        <is>
          <t>A9652 S35*3+R9264H M901821*3</t>
        </is>
      </c>
    </row>
    <row r="1153" hidden="1" ht="15" customHeight="1" s="99">
      <c r="A1153" t="inlineStr">
        <is>
          <t>ZKAD11</t>
        </is>
      </c>
      <c r="B1153" t="inlineStr"/>
      <c r="D1153" t="inlineStr">
        <is>
          <t>无900</t>
        </is>
      </c>
      <c r="F1153">
        <f>_xlfn.XLOOKUP(A1153,'[1]4G Parameters'!$E:$E,'[1]4G Parameters'!$J:$J)</f>
        <v/>
      </c>
      <c r="G1153">
        <f>_xlfn.XLOOKUP(A1153,'[1]4G Parameters'!$E:$E,'[1]4G Parameters'!$I:$I)</f>
        <v/>
      </c>
      <c r="H1153" t="inlineStr">
        <is>
          <t>ZKAD11Q</t>
        </is>
      </c>
      <c r="K1153" t="inlineStr">
        <is>
          <t>S2</t>
        </is>
      </c>
      <c r="L1153" t="inlineStr">
        <is>
          <t>2G</t>
        </is>
      </c>
      <c r="M1153" t="inlineStr">
        <is>
          <t>1800</t>
        </is>
      </c>
      <c r="N1153" t="inlineStr"/>
      <c r="O1153" t="n">
        <v>18</v>
      </c>
      <c r="P1153" t="n">
        <v>120</v>
      </c>
      <c r="Q1153" t="n">
        <v>2</v>
      </c>
      <c r="Y1153" t="inlineStr"/>
      <c r="AB1153" t="inlineStr">
        <is>
          <t>R9264H M901821</t>
        </is>
      </c>
      <c r="AC1153" t="inlineStr">
        <is>
          <t>A9652 S35*3+R9264H M901821*3</t>
        </is>
      </c>
    </row>
    <row r="1154" hidden="1" ht="15" customHeight="1" s="99">
      <c r="A1154" t="inlineStr">
        <is>
          <t>ZKAD11</t>
        </is>
      </c>
      <c r="B1154" t="inlineStr">
        <is>
          <t>ZKAD11_0UL00_Mahara_Kd</t>
        </is>
      </c>
      <c r="D1154" t="inlineStr">
        <is>
          <t>无900</t>
        </is>
      </c>
      <c r="F1154" t="n">
        <v>6.989</v>
      </c>
      <c r="G1154" t="n">
        <v>79.9376</v>
      </c>
      <c r="H1154" t="inlineStr">
        <is>
          <t>ZKAD11-M-L21-B2</t>
        </is>
      </c>
      <c r="K1154" t="inlineStr">
        <is>
          <t>S2</t>
        </is>
      </c>
      <c r="L1154" t="inlineStr">
        <is>
          <t>4G</t>
        </is>
      </c>
      <c r="M1154" t="inlineStr">
        <is>
          <t>2100</t>
        </is>
      </c>
      <c r="N1154" t="inlineStr">
        <is>
          <t>AQU4518R9v06</t>
        </is>
      </c>
      <c r="O1154" t="n">
        <v>6</v>
      </c>
      <c r="P1154" t="n">
        <v>120</v>
      </c>
      <c r="Q1154" t="n">
        <v>0</v>
      </c>
      <c r="Y1154" t="inlineStr">
        <is>
          <t>2T2R</t>
        </is>
      </c>
      <c r="AB1154" t="inlineStr">
        <is>
          <t>R9264H M901821</t>
        </is>
      </c>
      <c r="AC1154" t="inlineStr">
        <is>
          <t>A9652 S35*3+R9264H M901821*3</t>
        </is>
      </c>
    </row>
    <row r="1155" hidden="1" ht="15" customHeight="1" s="99">
      <c r="A1155" t="inlineStr">
        <is>
          <t>ZKAD11</t>
        </is>
      </c>
      <c r="B1155" t="inlineStr">
        <is>
          <t>ZKAD11_0UL00_Mahara_Kd</t>
        </is>
      </c>
      <c r="D1155" t="inlineStr">
        <is>
          <t>无900</t>
        </is>
      </c>
      <c r="F1155" t="n">
        <v>6.989</v>
      </c>
      <c r="G1155" t="n">
        <v>79.9376</v>
      </c>
      <c r="H1155" t="inlineStr">
        <is>
          <t>ZKAD11H</t>
        </is>
      </c>
      <c r="K1155" t="inlineStr">
        <is>
          <t>S2</t>
        </is>
      </c>
      <c r="L1155" t="inlineStr">
        <is>
          <t>4G</t>
        </is>
      </c>
      <c r="M1155" t="inlineStr">
        <is>
          <t>1800</t>
        </is>
      </c>
      <c r="N1155" t="inlineStr">
        <is>
          <t>AQU4518R9v06</t>
        </is>
      </c>
      <c r="O1155" t="n">
        <v>6</v>
      </c>
      <c r="P1155" t="n">
        <v>120</v>
      </c>
      <c r="Q1155" t="n">
        <v>0</v>
      </c>
      <c r="Y1155" t="inlineStr">
        <is>
          <t>4T4R</t>
        </is>
      </c>
      <c r="AB1155" t="inlineStr">
        <is>
          <t>R9264H M901821</t>
        </is>
      </c>
      <c r="AC1155" t="inlineStr">
        <is>
          <t>A9652 S35*3+R9264H M901821*3</t>
        </is>
      </c>
    </row>
    <row r="1156" hidden="1" ht="15" customHeight="1" s="99">
      <c r="A1156" t="inlineStr">
        <is>
          <t>ZKAD11</t>
        </is>
      </c>
      <c r="B1156" t="inlineStr"/>
      <c r="D1156" t="inlineStr">
        <is>
          <t>无900</t>
        </is>
      </c>
      <c r="F1156">
        <f>_xlfn.XLOOKUP(A1156,'[1]4G Parameters'!$E:$E,'[1]4G Parameters'!$J:$J)</f>
        <v/>
      </c>
      <c r="G1156">
        <f>_xlfn.XLOOKUP(A1156,'[1]4G Parameters'!$E:$E,'[1]4G Parameters'!$I:$I)</f>
        <v/>
      </c>
      <c r="H1156" t="inlineStr">
        <is>
          <t>ZKAD11R</t>
        </is>
      </c>
      <c r="K1156" t="inlineStr">
        <is>
          <t>S3</t>
        </is>
      </c>
      <c r="L1156" t="inlineStr">
        <is>
          <t>2G</t>
        </is>
      </c>
      <c r="M1156" t="inlineStr">
        <is>
          <t>1800</t>
        </is>
      </c>
      <c r="N1156" t="inlineStr"/>
      <c r="O1156" t="n">
        <v>18</v>
      </c>
      <c r="P1156" t="n">
        <v>240</v>
      </c>
      <c r="Q1156" t="n">
        <v>2</v>
      </c>
      <c r="Y1156" t="inlineStr"/>
      <c r="AB1156" t="inlineStr">
        <is>
          <t>R9264H M901821</t>
        </is>
      </c>
      <c r="AC1156" t="inlineStr">
        <is>
          <t>A9652 S35*3+R9264H M901821*3</t>
        </is>
      </c>
    </row>
    <row r="1157" hidden="1" ht="15" customHeight="1" s="99">
      <c r="A1157" t="inlineStr">
        <is>
          <t>ZKAD11</t>
        </is>
      </c>
      <c r="B1157" t="inlineStr">
        <is>
          <t>ZKAD11_0UL00_Mahara_Kd</t>
        </is>
      </c>
      <c r="D1157" t="inlineStr">
        <is>
          <t>无900</t>
        </is>
      </c>
      <c r="F1157" t="n">
        <v>6.989</v>
      </c>
      <c r="G1157" t="n">
        <v>79.9376</v>
      </c>
      <c r="H1157" t="inlineStr">
        <is>
          <t>ZKAD11-M-L21-C2</t>
        </is>
      </c>
      <c r="K1157" t="inlineStr">
        <is>
          <t>S3</t>
        </is>
      </c>
      <c r="L1157" t="inlineStr">
        <is>
          <t>4G</t>
        </is>
      </c>
      <c r="M1157" t="inlineStr">
        <is>
          <t>2100</t>
        </is>
      </c>
      <c r="N1157" t="inlineStr">
        <is>
          <t>AQU4518R9v06</t>
        </is>
      </c>
      <c r="O1157" t="n">
        <v>6</v>
      </c>
      <c r="P1157" t="n">
        <v>240</v>
      </c>
      <c r="Q1157" t="n">
        <v>0</v>
      </c>
      <c r="Y1157" t="inlineStr">
        <is>
          <t>2T2R</t>
        </is>
      </c>
      <c r="AB1157" t="inlineStr">
        <is>
          <t>R9264H M901821</t>
        </is>
      </c>
      <c r="AC1157" t="inlineStr">
        <is>
          <t>A9652 S35*3+R9264H M901821*3</t>
        </is>
      </c>
    </row>
    <row r="1158" hidden="1" ht="15" customHeight="1" s="99">
      <c r="A1158" t="inlineStr">
        <is>
          <t>ZKAD11</t>
        </is>
      </c>
      <c r="B1158" t="inlineStr">
        <is>
          <t>ZKAD11_0UL00_Mahara_Kd</t>
        </is>
      </c>
      <c r="D1158" t="inlineStr">
        <is>
          <t>无900</t>
        </is>
      </c>
      <c r="F1158" t="n">
        <v>6.989</v>
      </c>
      <c r="G1158" t="n">
        <v>79.9376</v>
      </c>
      <c r="H1158" t="inlineStr">
        <is>
          <t>ZKAD11I</t>
        </is>
      </c>
      <c r="K1158" t="inlineStr">
        <is>
          <t>S3</t>
        </is>
      </c>
      <c r="L1158" t="inlineStr">
        <is>
          <t>4G</t>
        </is>
      </c>
      <c r="M1158" t="inlineStr">
        <is>
          <t>1800</t>
        </is>
      </c>
      <c r="N1158" t="inlineStr">
        <is>
          <t>AQU4518R9v06</t>
        </is>
      </c>
      <c r="O1158" t="n">
        <v>6</v>
      </c>
      <c r="P1158" t="n">
        <v>240</v>
      </c>
      <c r="Q1158" t="n">
        <v>0</v>
      </c>
      <c r="Y1158" t="inlineStr">
        <is>
          <t>4T4R</t>
        </is>
      </c>
      <c r="AB1158" t="inlineStr">
        <is>
          <t>R9264H M901821</t>
        </is>
      </c>
      <c r="AC1158" t="inlineStr">
        <is>
          <t>A9652 S35*3+R9264H M901821*3</t>
        </is>
      </c>
    </row>
    <row r="1159" hidden="1" ht="15" customHeight="1" s="99">
      <c r="A1159" t="inlineStr">
        <is>
          <t>ZKAD12</t>
        </is>
      </c>
      <c r="B1159" t="inlineStr"/>
      <c r="F1159">
        <f>_xlfn.XLOOKUP(A1159,'[1]4G Parameters'!$E:$E,'[1]4G Parameters'!$J:$J)</f>
        <v/>
      </c>
      <c r="G1159">
        <f>_xlfn.XLOOKUP(A1159,'[1]4G Parameters'!$E:$E,'[1]4G Parameters'!$I:$I)</f>
        <v/>
      </c>
      <c r="H1159" t="inlineStr">
        <is>
          <t>ZKAD12A</t>
        </is>
      </c>
      <c r="K1159" t="inlineStr">
        <is>
          <t>S1</t>
        </is>
      </c>
      <c r="L1159" t="inlineStr">
        <is>
          <t>2G</t>
        </is>
      </c>
      <c r="M1159" t="inlineStr">
        <is>
          <t>900</t>
        </is>
      </c>
      <c r="N1159" t="inlineStr"/>
      <c r="O1159" t="n">
        <v>50</v>
      </c>
      <c r="P1159" t="n">
        <v>0</v>
      </c>
      <c r="Q1159" t="n">
        <v>2</v>
      </c>
      <c r="Y1159" t="inlineStr"/>
      <c r="AB1159" t="inlineStr">
        <is>
          <t>R9264H M901821</t>
        </is>
      </c>
      <c r="AC1159" t="inlineStr">
        <is>
          <t>A9652 S35*3+R9264H M901821*3+R9254E S8500*2+R9264 M1821N*1</t>
        </is>
      </c>
    </row>
    <row r="1160" hidden="1" ht="15" customHeight="1" s="99">
      <c r="A1160" t="inlineStr">
        <is>
          <t>ZKAD12</t>
        </is>
      </c>
      <c r="B1160" t="inlineStr"/>
      <c r="F1160">
        <f>_xlfn.XLOOKUP(A1160,'[1]4G Parameters'!$E:$E,'[1]4G Parameters'!$J:$J)</f>
        <v/>
      </c>
      <c r="G1160">
        <f>_xlfn.XLOOKUP(A1160,'[1]4G Parameters'!$E:$E,'[1]4G Parameters'!$I:$I)</f>
        <v/>
      </c>
      <c r="H1160" t="inlineStr">
        <is>
          <t>ZKAD12P</t>
        </is>
      </c>
      <c r="K1160" t="inlineStr">
        <is>
          <t>S1</t>
        </is>
      </c>
      <c r="L1160" t="inlineStr">
        <is>
          <t>2G</t>
        </is>
      </c>
      <c r="M1160" t="inlineStr">
        <is>
          <t>1800</t>
        </is>
      </c>
      <c r="N1160" t="inlineStr"/>
      <c r="O1160" t="n">
        <v>50</v>
      </c>
      <c r="P1160" t="n">
        <v>0</v>
      </c>
      <c r="Q1160" t="n">
        <v>2</v>
      </c>
      <c r="Y1160" t="inlineStr"/>
      <c r="AB1160" t="inlineStr">
        <is>
          <t>R9264H M901821</t>
        </is>
      </c>
      <c r="AC1160" t="inlineStr">
        <is>
          <t>A9652 S35*3+R9264H M901821*3+R9254E S8500*2+R9264 M1821N*1</t>
        </is>
      </c>
    </row>
    <row r="1161" hidden="1" ht="15" customHeight="1" s="99">
      <c r="AB1161" t="inlineStr">
        <is>
          <t>R9264 M1821N</t>
        </is>
      </c>
    </row>
    <row r="1162" hidden="1" ht="15" customHeight="1" s="99">
      <c r="A1162" t="inlineStr">
        <is>
          <t>ZKAD12</t>
        </is>
      </c>
      <c r="B1162" t="inlineStr">
        <is>
          <t>ZKAD12_GUL00_KadawathaSouth_IP_Kd</t>
        </is>
      </c>
      <c r="F1162" t="n">
        <v>6.98696</v>
      </c>
      <c r="G1162" t="n">
        <v>79.95869999999999</v>
      </c>
      <c r="H1162" t="inlineStr">
        <is>
          <t>ZKAD12-M-L85-A1</t>
        </is>
      </c>
      <c r="K1162" t="inlineStr">
        <is>
          <t>S1</t>
        </is>
      </c>
      <c r="L1162" t="inlineStr">
        <is>
          <t>4G</t>
        </is>
      </c>
      <c r="M1162" t="inlineStr">
        <is>
          <t>850</t>
        </is>
      </c>
      <c r="N1162" t="inlineStr">
        <is>
          <t>AQU4518R9v06</t>
        </is>
      </c>
      <c r="O1162" t="n">
        <v>100</v>
      </c>
      <c r="P1162" t="n">
        <v>0</v>
      </c>
      <c r="Q1162" t="n">
        <v>0</v>
      </c>
      <c r="Y1162" t="inlineStr">
        <is>
          <t>2T2R</t>
        </is>
      </c>
      <c r="AB1162" t="inlineStr">
        <is>
          <t>R9254E S8500</t>
        </is>
      </c>
      <c r="AC1162" t="inlineStr">
        <is>
          <t>A9652 S35*3+R9264H M901821*3+R9254E S8500*2+R9264 M1821N*1</t>
        </is>
      </c>
    </row>
    <row r="1163" hidden="1" ht="15" customHeight="1" s="99">
      <c r="A1163" t="inlineStr">
        <is>
          <t>ZKAD12</t>
        </is>
      </c>
      <c r="B1163" t="inlineStr">
        <is>
          <t>ZKAD12_GUL00_KadawathaSouth_IP_Kd</t>
        </is>
      </c>
      <c r="F1163" t="n">
        <v>6.98696</v>
      </c>
      <c r="G1163" t="n">
        <v>79.95869999999999</v>
      </c>
      <c r="H1163" t="inlineStr">
        <is>
          <t>ZKAD12-M-L21-A2</t>
        </is>
      </c>
      <c r="K1163" t="inlineStr">
        <is>
          <t>S1</t>
        </is>
      </c>
      <c r="L1163" t="inlineStr">
        <is>
          <t>4G</t>
        </is>
      </c>
      <c r="M1163" t="inlineStr">
        <is>
          <t>2100</t>
        </is>
      </c>
      <c r="N1163" t="inlineStr">
        <is>
          <t>A10244PD00v06</t>
        </is>
      </c>
      <c r="O1163" t="n">
        <v>100</v>
      </c>
      <c r="P1163" t="n">
        <v>0</v>
      </c>
      <c r="Q1163" t="n">
        <v>0</v>
      </c>
      <c r="Y1163" t="inlineStr">
        <is>
          <t>8T8R</t>
        </is>
      </c>
      <c r="AB1163" t="inlineStr">
        <is>
          <t>R9264H M901821</t>
        </is>
      </c>
      <c r="AC1163" t="inlineStr">
        <is>
          <t>A9652 S35*3+R9264H M901821*3+R9254E S8500*2+R9264 M1821N*1</t>
        </is>
      </c>
    </row>
    <row r="1164" hidden="1" ht="15" customHeight="1" s="99">
      <c r="A1164" t="inlineStr">
        <is>
          <t>ZKAD12</t>
        </is>
      </c>
      <c r="B1164" t="inlineStr">
        <is>
          <t>ZKAD12_GUL00_KadawathaSouth_IP_Kd</t>
        </is>
      </c>
      <c r="F1164" t="n">
        <v>6.98696</v>
      </c>
      <c r="G1164" t="n">
        <v>79.95869999999999</v>
      </c>
      <c r="H1164" t="inlineStr">
        <is>
          <t>ZKAD12-M-L21-A1</t>
        </is>
      </c>
      <c r="K1164" t="inlineStr">
        <is>
          <t>S1</t>
        </is>
      </c>
      <c r="L1164" t="inlineStr">
        <is>
          <t>4G</t>
        </is>
      </c>
      <c r="M1164" t="inlineStr">
        <is>
          <t>2100</t>
        </is>
      </c>
      <c r="N1164" t="inlineStr">
        <is>
          <t>A10244PD00v06</t>
        </is>
      </c>
      <c r="O1164" t="n">
        <v>100</v>
      </c>
      <c r="P1164" t="n">
        <v>0</v>
      </c>
      <c r="Q1164" t="n">
        <v>0</v>
      </c>
      <c r="Y1164" t="inlineStr">
        <is>
          <t>8T8R</t>
        </is>
      </c>
      <c r="AB1164" t="inlineStr">
        <is>
          <t>R9264 M1821N</t>
        </is>
      </c>
      <c r="AC1164" t="inlineStr">
        <is>
          <t>A9652 S35*3+R9264H M901821*3+R9254E S8500*2+R9264 M1821N*1</t>
        </is>
      </c>
    </row>
    <row r="1165" hidden="1" ht="15" customHeight="1" s="99">
      <c r="A1165" t="inlineStr">
        <is>
          <t>ZKAD12</t>
        </is>
      </c>
      <c r="B1165" t="inlineStr">
        <is>
          <t>ZKAD12_GUL00_KadawathaSouth_IP_Kd</t>
        </is>
      </c>
      <c r="F1165" t="n">
        <v>6.98696</v>
      </c>
      <c r="G1165" t="n">
        <v>79.95869999999999</v>
      </c>
      <c r="H1165" t="inlineStr">
        <is>
          <t>ZKAD12G</t>
        </is>
      </c>
      <c r="K1165" t="inlineStr">
        <is>
          <t>S1</t>
        </is>
      </c>
      <c r="L1165" t="inlineStr">
        <is>
          <t>4G</t>
        </is>
      </c>
      <c r="M1165" t="inlineStr">
        <is>
          <t>1800</t>
        </is>
      </c>
      <c r="N1165" t="inlineStr">
        <is>
          <t>A10244PD00v06</t>
        </is>
      </c>
      <c r="O1165" t="n">
        <v>100</v>
      </c>
      <c r="P1165" t="n">
        <v>0</v>
      </c>
      <c r="Q1165" t="n">
        <v>0</v>
      </c>
      <c r="Y1165" t="inlineStr">
        <is>
          <t>8T8R</t>
        </is>
      </c>
      <c r="AB1165" t="inlineStr">
        <is>
          <t>R9264H M901821</t>
        </is>
      </c>
      <c r="AC1165" t="inlineStr">
        <is>
          <t>A9652 S35*3+R9264H M901821*3+R9254E S8500*2+R9264 M1821N*1</t>
        </is>
      </c>
    </row>
    <row r="1166" hidden="1" ht="15" customHeight="1" s="99">
      <c r="A1166" t="inlineStr">
        <is>
          <t>ZKAD12</t>
        </is>
      </c>
      <c r="B1166" t="inlineStr">
        <is>
          <t>ZKAD12_GUL00_KadawathaSouth_IP_Kd</t>
        </is>
      </c>
      <c r="F1166" t="n">
        <v>6.98696</v>
      </c>
      <c r="G1166" t="n">
        <v>79.95869999999999</v>
      </c>
      <c r="H1166" t="inlineStr">
        <is>
          <t>ZKAD12-M-L18-A1</t>
        </is>
      </c>
      <c r="K1166" t="inlineStr">
        <is>
          <t>S1</t>
        </is>
      </c>
      <c r="L1166" t="inlineStr">
        <is>
          <t>4G</t>
        </is>
      </c>
      <c r="M1166" t="inlineStr">
        <is>
          <t>1800</t>
        </is>
      </c>
      <c r="N1166" t="inlineStr">
        <is>
          <t>A10244PD00v06</t>
        </is>
      </c>
      <c r="O1166" t="n">
        <v>100</v>
      </c>
      <c r="P1166" t="n">
        <v>0</v>
      </c>
      <c r="Q1166" t="n">
        <v>0</v>
      </c>
      <c r="Y1166" t="inlineStr">
        <is>
          <t>8T8R</t>
        </is>
      </c>
      <c r="AB1166" t="inlineStr">
        <is>
          <t>R9264 M1821N</t>
        </is>
      </c>
      <c r="AC1166" t="inlineStr">
        <is>
          <t>A9652 S35*3+R9264H M901821*3+R9254E S8500*2+R9264 M1821N*1</t>
        </is>
      </c>
    </row>
    <row r="1167" hidden="1" ht="15" customHeight="1" s="99">
      <c r="A1167" t="inlineStr">
        <is>
          <t>ZKAD12</t>
        </is>
      </c>
      <c r="B1167" t="inlineStr"/>
      <c r="F1167">
        <f>_xlfn.XLOOKUP(A1167,'[1]4G Parameters'!$E:$E,'[1]4G Parameters'!$J:$J)</f>
        <v/>
      </c>
      <c r="G1167">
        <f>_xlfn.XLOOKUP(A1167,'[1]4G Parameters'!$E:$E,'[1]4G Parameters'!$I:$I)</f>
        <v/>
      </c>
      <c r="H1167" t="inlineStr">
        <is>
          <t>ZKAD12B</t>
        </is>
      </c>
      <c r="K1167" t="inlineStr">
        <is>
          <t>S2</t>
        </is>
      </c>
      <c r="L1167" t="inlineStr">
        <is>
          <t>2G</t>
        </is>
      </c>
      <c r="M1167" t="inlineStr">
        <is>
          <t>900</t>
        </is>
      </c>
      <c r="N1167" t="inlineStr"/>
      <c r="O1167" t="n">
        <v>50</v>
      </c>
      <c r="P1167" t="n">
        <v>120</v>
      </c>
      <c r="Q1167" t="n">
        <v>2</v>
      </c>
      <c r="Y1167" t="inlineStr"/>
      <c r="AB1167" t="inlineStr">
        <is>
          <t>R9264H M901821</t>
        </is>
      </c>
      <c r="AC1167" t="inlineStr">
        <is>
          <t>A9652 S35*3+R9264H M901821*3+R9254E S8500*2+R9264 M1821N*1</t>
        </is>
      </c>
    </row>
    <row r="1168" hidden="1" ht="15" customHeight="1" s="99">
      <c r="A1168" t="inlineStr">
        <is>
          <t>ZKAD12</t>
        </is>
      </c>
      <c r="B1168" t="inlineStr"/>
      <c r="F1168">
        <f>_xlfn.XLOOKUP(A1168,'[1]4G Parameters'!$E:$E,'[1]4G Parameters'!$J:$J)</f>
        <v/>
      </c>
      <c r="G1168">
        <f>_xlfn.XLOOKUP(A1168,'[1]4G Parameters'!$E:$E,'[1]4G Parameters'!$I:$I)</f>
        <v/>
      </c>
      <c r="H1168" t="inlineStr">
        <is>
          <t>ZKAD12Q</t>
        </is>
      </c>
      <c r="K1168" t="inlineStr">
        <is>
          <t>S2</t>
        </is>
      </c>
      <c r="L1168" t="inlineStr">
        <is>
          <t>2G</t>
        </is>
      </c>
      <c r="M1168" t="inlineStr">
        <is>
          <t>1800</t>
        </is>
      </c>
      <c r="N1168" t="inlineStr"/>
      <c r="O1168" t="n">
        <v>50</v>
      </c>
      <c r="P1168" t="n">
        <v>120</v>
      </c>
      <c r="Q1168" t="n">
        <v>2</v>
      </c>
      <c r="Y1168" t="inlineStr"/>
      <c r="AB1168" t="inlineStr">
        <is>
          <t>R9264H M901821</t>
        </is>
      </c>
      <c r="AC1168" t="inlineStr">
        <is>
          <t>A9652 S35*3+R9264H M901821*3+R9254E S8500*2+R9264 M1821N*1</t>
        </is>
      </c>
    </row>
    <row r="1169" hidden="1" ht="15" customHeight="1" s="99">
      <c r="A1169" t="inlineStr">
        <is>
          <t>ZKAD12</t>
        </is>
      </c>
      <c r="B1169" t="inlineStr">
        <is>
          <t>ZKAD12_GUL00_KadawathaSouth_IP_Kd</t>
        </is>
      </c>
      <c r="F1169" t="n">
        <v>6.98696</v>
      </c>
      <c r="G1169" t="n">
        <v>79.95869999999999</v>
      </c>
      <c r="H1169" t="inlineStr">
        <is>
          <t>ZKAD12-M-L85-B1</t>
        </is>
      </c>
      <c r="K1169" t="inlineStr">
        <is>
          <t>S2</t>
        </is>
      </c>
      <c r="L1169" t="inlineStr">
        <is>
          <t>4G</t>
        </is>
      </c>
      <c r="M1169" t="inlineStr">
        <is>
          <t>850</t>
        </is>
      </c>
      <c r="N1169" t="inlineStr">
        <is>
          <t>AQU4518R9v06</t>
        </is>
      </c>
      <c r="O1169" t="n">
        <v>100</v>
      </c>
      <c r="P1169" t="n">
        <v>120</v>
      </c>
      <c r="Q1169" t="n">
        <v>0</v>
      </c>
      <c r="Y1169" t="inlineStr">
        <is>
          <t>2T2R</t>
        </is>
      </c>
      <c r="AB1169" t="inlineStr">
        <is>
          <t>R9254E S8500</t>
        </is>
      </c>
      <c r="AC1169" t="inlineStr">
        <is>
          <t>A9652 S35*3+R9264H M901821*3+R9254E S8500*2+R9264 M1821N*1</t>
        </is>
      </c>
    </row>
    <row r="1170" hidden="1" ht="15" customHeight="1" s="99">
      <c r="A1170" t="inlineStr">
        <is>
          <t>ZKAD12</t>
        </is>
      </c>
      <c r="B1170" t="inlineStr">
        <is>
          <t>ZKAD12_GUL00_KadawathaSouth_IP_Kd</t>
        </is>
      </c>
      <c r="F1170" t="n">
        <v>6.98696</v>
      </c>
      <c r="G1170" t="n">
        <v>79.95869999999999</v>
      </c>
      <c r="H1170" t="inlineStr">
        <is>
          <t>ZKAD12-M-L21-B2</t>
        </is>
      </c>
      <c r="K1170" t="inlineStr">
        <is>
          <t>S2</t>
        </is>
      </c>
      <c r="L1170" t="inlineStr">
        <is>
          <t>4G</t>
        </is>
      </c>
      <c r="M1170" t="inlineStr">
        <is>
          <t>2100</t>
        </is>
      </c>
      <c r="N1170" t="inlineStr">
        <is>
          <t>AQU4518R9v06</t>
        </is>
      </c>
      <c r="O1170" t="n">
        <v>100</v>
      </c>
      <c r="P1170" t="n">
        <v>120</v>
      </c>
      <c r="Q1170" t="n">
        <v>0</v>
      </c>
      <c r="Y1170" t="inlineStr">
        <is>
          <t>2T2R</t>
        </is>
      </c>
      <c r="AB1170" t="inlineStr">
        <is>
          <t>R9264H M901821</t>
        </is>
      </c>
      <c r="AC1170" t="inlineStr">
        <is>
          <t>A9652 S35*3+R9264H M901821*3+R9254E S8500*2+R9264 M1821N*1</t>
        </is>
      </c>
    </row>
    <row r="1171" hidden="1" ht="15" customHeight="1" s="99">
      <c r="A1171" t="inlineStr">
        <is>
          <t>ZKAD12</t>
        </is>
      </c>
      <c r="B1171" t="inlineStr">
        <is>
          <t>ZKAD12_GUL00_KadawathaSouth_IP_Kd</t>
        </is>
      </c>
      <c r="F1171" t="n">
        <v>6.98696</v>
      </c>
      <c r="G1171" t="n">
        <v>79.95869999999999</v>
      </c>
      <c r="H1171" t="inlineStr">
        <is>
          <t>ZKAD12H</t>
        </is>
      </c>
      <c r="K1171" t="inlineStr">
        <is>
          <t>S2</t>
        </is>
      </c>
      <c r="L1171" t="inlineStr">
        <is>
          <t>4G</t>
        </is>
      </c>
      <c r="M1171" t="inlineStr">
        <is>
          <t>1800</t>
        </is>
      </c>
      <c r="N1171" t="inlineStr">
        <is>
          <t>AQU4518R9v06</t>
        </is>
      </c>
      <c r="O1171" t="n">
        <v>100</v>
      </c>
      <c r="P1171" t="n">
        <v>120</v>
      </c>
      <c r="Q1171" t="n">
        <v>0</v>
      </c>
      <c r="Y1171" t="inlineStr">
        <is>
          <t>4T4R</t>
        </is>
      </c>
      <c r="AB1171" t="inlineStr">
        <is>
          <t>R9264H M901821</t>
        </is>
      </c>
      <c r="AC1171" t="inlineStr">
        <is>
          <t>A9652 S35*3+R9264H M901821*3+R9254E S8500*2+R9264 M1821N*1</t>
        </is>
      </c>
    </row>
    <row r="1172" hidden="1" ht="15" customHeight="1" s="99">
      <c r="A1172" t="inlineStr">
        <is>
          <t>ZKAD12</t>
        </is>
      </c>
      <c r="B1172" t="inlineStr"/>
      <c r="F1172">
        <f>_xlfn.XLOOKUP(A1172,'[1]4G Parameters'!$E:$E,'[1]4G Parameters'!$J:$J)</f>
        <v/>
      </c>
      <c r="G1172">
        <f>_xlfn.XLOOKUP(A1172,'[1]4G Parameters'!$E:$E,'[1]4G Parameters'!$I:$I)</f>
        <v/>
      </c>
      <c r="H1172" t="inlineStr">
        <is>
          <t>ZKAD12C</t>
        </is>
      </c>
      <c r="K1172" t="inlineStr">
        <is>
          <t>S3</t>
        </is>
      </c>
      <c r="L1172" t="inlineStr">
        <is>
          <t>2G</t>
        </is>
      </c>
      <c r="M1172" t="inlineStr">
        <is>
          <t>900</t>
        </is>
      </c>
      <c r="N1172" t="inlineStr"/>
      <c r="O1172" t="n">
        <v>50</v>
      </c>
      <c r="P1172" t="n">
        <v>240</v>
      </c>
      <c r="Q1172" t="n">
        <v>2</v>
      </c>
      <c r="Y1172" t="inlineStr"/>
      <c r="AB1172" t="inlineStr">
        <is>
          <t>R9264H M901821</t>
        </is>
      </c>
      <c r="AC1172" t="inlineStr">
        <is>
          <t>A9652 S35*3+R9264H M901821*3+R9254E S8500*2+R9264 M1821N*1</t>
        </is>
      </c>
    </row>
    <row r="1173" hidden="1" ht="15" customHeight="1" s="99">
      <c r="A1173" t="inlineStr">
        <is>
          <t>ZKAD12</t>
        </is>
      </c>
      <c r="B1173" t="inlineStr"/>
      <c r="F1173">
        <f>_xlfn.XLOOKUP(A1173,'[1]4G Parameters'!$E:$E,'[1]4G Parameters'!$J:$J)</f>
        <v/>
      </c>
      <c r="G1173">
        <f>_xlfn.XLOOKUP(A1173,'[1]4G Parameters'!$E:$E,'[1]4G Parameters'!$I:$I)</f>
        <v/>
      </c>
      <c r="H1173" t="inlineStr">
        <is>
          <t>ZKAD12R</t>
        </is>
      </c>
      <c r="K1173" t="inlineStr">
        <is>
          <t>S3</t>
        </is>
      </c>
      <c r="L1173" t="inlineStr">
        <is>
          <t>2G</t>
        </is>
      </c>
      <c r="M1173" t="inlineStr">
        <is>
          <t>1800</t>
        </is>
      </c>
      <c r="N1173" t="inlineStr"/>
      <c r="O1173" t="n">
        <v>50</v>
      </c>
      <c r="P1173" t="n">
        <v>240</v>
      </c>
      <c r="Q1173" t="n">
        <v>2</v>
      </c>
      <c r="Y1173" t="inlineStr"/>
      <c r="AB1173" t="inlineStr">
        <is>
          <t>R9264H M901821</t>
        </is>
      </c>
      <c r="AC1173" t="inlineStr">
        <is>
          <t>A9652 S35*3+R9264H M901821*3+R9254E S8500*2+R9264 M1821N*1</t>
        </is>
      </c>
    </row>
    <row r="1174" hidden="1" ht="15" customHeight="1" s="99">
      <c r="A1174" t="inlineStr">
        <is>
          <t>ZKAD12</t>
        </is>
      </c>
      <c r="B1174" t="inlineStr">
        <is>
          <t>ZKAD12_GUL00_KadawathaSouth_IP_Kd</t>
        </is>
      </c>
      <c r="F1174" t="n">
        <v>6.98696</v>
      </c>
      <c r="G1174" t="n">
        <v>79.95869999999999</v>
      </c>
      <c r="H1174" t="inlineStr">
        <is>
          <t>ZKAD12-M-L85-C1</t>
        </is>
      </c>
      <c r="K1174" t="inlineStr">
        <is>
          <t>S3</t>
        </is>
      </c>
      <c r="L1174" t="inlineStr">
        <is>
          <t>4G</t>
        </is>
      </c>
      <c r="M1174" t="inlineStr">
        <is>
          <t>850</t>
        </is>
      </c>
      <c r="N1174" t="inlineStr">
        <is>
          <t>AQU4518R9v06</t>
        </is>
      </c>
      <c r="O1174" t="n">
        <v>100</v>
      </c>
      <c r="P1174" t="n">
        <v>240</v>
      </c>
      <c r="Q1174" t="n">
        <v>0</v>
      </c>
      <c r="Y1174" t="inlineStr">
        <is>
          <t>2T2R</t>
        </is>
      </c>
      <c r="AB1174" t="inlineStr">
        <is>
          <t>R9254E S8500</t>
        </is>
      </c>
      <c r="AC1174" t="inlineStr">
        <is>
          <t>A9652 S35*3+R9264H M901821*3+R9254E S8500*2+R9264 M1821N*1</t>
        </is>
      </c>
    </row>
    <row r="1175" hidden="1" ht="15" customHeight="1" s="99">
      <c r="A1175" t="inlineStr">
        <is>
          <t>ZKAD12</t>
        </is>
      </c>
      <c r="B1175" t="inlineStr">
        <is>
          <t>ZKAD12_GUL00_KadawathaSouth_IP_Kd</t>
        </is>
      </c>
      <c r="F1175" t="n">
        <v>6.98696</v>
      </c>
      <c r="G1175" t="n">
        <v>79.95869999999999</v>
      </c>
      <c r="H1175" t="inlineStr">
        <is>
          <t>ZKAD12-M-L21-C2</t>
        </is>
      </c>
      <c r="K1175" t="inlineStr">
        <is>
          <t>S3</t>
        </is>
      </c>
      <c r="L1175" t="inlineStr">
        <is>
          <t>4G</t>
        </is>
      </c>
      <c r="M1175" t="inlineStr">
        <is>
          <t>2100</t>
        </is>
      </c>
      <c r="N1175" t="inlineStr">
        <is>
          <t>AQU4518R9v06</t>
        </is>
      </c>
      <c r="O1175" t="n">
        <v>100</v>
      </c>
      <c r="P1175" t="n">
        <v>240</v>
      </c>
      <c r="Q1175" t="n">
        <v>0</v>
      </c>
      <c r="Y1175" t="inlineStr">
        <is>
          <t>2T2R</t>
        </is>
      </c>
      <c r="AB1175" t="inlineStr">
        <is>
          <t>R9264H M901821</t>
        </is>
      </c>
      <c r="AC1175" t="inlineStr">
        <is>
          <t>A9652 S35*3+R9264H M901821*3+R9254E S8500*2+R9264 M1821N*1</t>
        </is>
      </c>
    </row>
    <row r="1176" hidden="1" ht="15" customHeight="1" s="99">
      <c r="A1176" t="inlineStr">
        <is>
          <t>ZKAD12</t>
        </is>
      </c>
      <c r="B1176" t="inlineStr">
        <is>
          <t>ZKAD12_GUL00_KadawathaSouth_IP_Kd</t>
        </is>
      </c>
      <c r="F1176" t="n">
        <v>6.98696</v>
      </c>
      <c r="G1176" t="n">
        <v>79.95869999999999</v>
      </c>
      <c r="H1176" t="inlineStr">
        <is>
          <t>ZKAD12I</t>
        </is>
      </c>
      <c r="K1176" t="inlineStr">
        <is>
          <t>S3</t>
        </is>
      </c>
      <c r="L1176" t="inlineStr">
        <is>
          <t>4G</t>
        </is>
      </c>
      <c r="M1176" t="inlineStr">
        <is>
          <t>1800</t>
        </is>
      </c>
      <c r="N1176" t="inlineStr">
        <is>
          <t>AQU4518R9v06</t>
        </is>
      </c>
      <c r="O1176" t="n">
        <v>100</v>
      </c>
      <c r="P1176" t="n">
        <v>240</v>
      </c>
      <c r="Q1176" t="n">
        <v>0</v>
      </c>
      <c r="Y1176" t="inlineStr">
        <is>
          <t>4T4R</t>
        </is>
      </c>
      <c r="AB1176" t="inlineStr">
        <is>
          <t>R9264H M901821</t>
        </is>
      </c>
      <c r="AC1176" t="inlineStr">
        <is>
          <t>A9652 S35*3+R9264H M901821*3+R9254E S8500*2+R9264 M1821N*1</t>
        </is>
      </c>
    </row>
    <row r="1177" hidden="1" ht="15" customHeight="1" s="99">
      <c r="A1177" t="inlineStr">
        <is>
          <t>ZKAD15</t>
        </is>
      </c>
      <c r="B1177" t="inlineStr"/>
      <c r="F1177">
        <f>_xlfn.XLOOKUP(A1177,'[1]4G Parameters'!$E:$E,'[1]4G Parameters'!$J:$J)</f>
        <v/>
      </c>
      <c r="G1177">
        <f>_xlfn.XLOOKUP(A1177,'[1]4G Parameters'!$E:$E,'[1]4G Parameters'!$I:$I)</f>
        <v/>
      </c>
      <c r="H1177" t="inlineStr">
        <is>
          <t>ZKAD15A</t>
        </is>
      </c>
      <c r="K1177" t="inlineStr">
        <is>
          <t>S1</t>
        </is>
      </c>
      <c r="L1177" t="inlineStr">
        <is>
          <t>2G</t>
        </is>
      </c>
      <c r="M1177" t="inlineStr">
        <is>
          <t>900</t>
        </is>
      </c>
      <c r="N1177" t="inlineStr"/>
      <c r="O1177" t="n">
        <v>40</v>
      </c>
      <c r="P1177" t="n">
        <v>0</v>
      </c>
      <c r="Q1177" t="n">
        <v>2</v>
      </c>
      <c r="Y1177" t="inlineStr"/>
      <c r="AB1177" t="inlineStr">
        <is>
          <t>R9264H M901821</t>
        </is>
      </c>
      <c r="AC1177" t="inlineStr">
        <is>
          <t>A9652 S35*3+R9264H M901821*3+R9254E S8500*2</t>
        </is>
      </c>
    </row>
    <row r="1178" hidden="1" ht="15" customHeight="1" s="99">
      <c r="A1178" t="inlineStr">
        <is>
          <t>ZKAD15</t>
        </is>
      </c>
      <c r="B1178" t="inlineStr"/>
      <c r="F1178">
        <f>_xlfn.XLOOKUP(A1178,'[1]4G Parameters'!$E:$E,'[1]4G Parameters'!$J:$J)</f>
        <v/>
      </c>
      <c r="G1178">
        <f>_xlfn.XLOOKUP(A1178,'[1]4G Parameters'!$E:$E,'[1]4G Parameters'!$I:$I)</f>
        <v/>
      </c>
      <c r="H1178" t="inlineStr">
        <is>
          <t>ZKAD15P</t>
        </is>
      </c>
      <c r="K1178" t="inlineStr">
        <is>
          <t>S1</t>
        </is>
      </c>
      <c r="L1178" t="inlineStr">
        <is>
          <t>2G</t>
        </is>
      </c>
      <c r="M1178" t="inlineStr">
        <is>
          <t>1800</t>
        </is>
      </c>
      <c r="N1178" t="inlineStr"/>
      <c r="O1178" t="n">
        <v>40</v>
      </c>
      <c r="P1178" t="n">
        <v>0</v>
      </c>
      <c r="Q1178" t="n">
        <v>2</v>
      </c>
      <c r="Y1178" t="inlineStr"/>
      <c r="AB1178" t="inlineStr">
        <is>
          <t>R9264H M901821</t>
        </is>
      </c>
      <c r="AC1178" t="inlineStr">
        <is>
          <t>A9652 S35*3+R9264H M901821*3+R9254E S8500*2</t>
        </is>
      </c>
    </row>
    <row r="1179" hidden="1" ht="15" customHeight="1" s="99">
      <c r="A1179" t="inlineStr">
        <is>
          <t>ZKAD15</t>
        </is>
      </c>
      <c r="B1179" t="inlineStr">
        <is>
          <t>ZKAD15_GUL00_Eldeniya_IP_Kd</t>
        </is>
      </c>
      <c r="F1179" t="n">
        <v>7.00512</v>
      </c>
      <c r="G1179" t="n">
        <v>79.96850000000001</v>
      </c>
      <c r="H1179" t="inlineStr">
        <is>
          <t>ZKAD15-M-L85-A1</t>
        </is>
      </c>
      <c r="K1179" t="inlineStr">
        <is>
          <t>S1</t>
        </is>
      </c>
      <c r="L1179" t="inlineStr">
        <is>
          <t>4G</t>
        </is>
      </c>
      <c r="M1179" t="inlineStr">
        <is>
          <t>850</t>
        </is>
      </c>
      <c r="N1179" t="inlineStr">
        <is>
          <t>AQU4518R9v06</t>
        </is>
      </c>
      <c r="O1179" t="n">
        <v>40</v>
      </c>
      <c r="P1179" t="n">
        <v>0</v>
      </c>
      <c r="Q1179" t="n">
        <v>0</v>
      </c>
      <c r="Y1179" t="inlineStr">
        <is>
          <t>2T2R</t>
        </is>
      </c>
      <c r="AB1179" t="inlineStr">
        <is>
          <t>R9254E S8500</t>
        </is>
      </c>
      <c r="AC1179" t="inlineStr">
        <is>
          <t>A9652 S35*3+R9264H M901821*3+R9254E S8500*2</t>
        </is>
      </c>
    </row>
    <row r="1180" hidden="1" ht="15" customHeight="1" s="99">
      <c r="A1180" t="inlineStr">
        <is>
          <t>ZKAD15</t>
        </is>
      </c>
      <c r="B1180" t="inlineStr">
        <is>
          <t>ZKAD15_GUL00_Eldeniya_IP_Kd</t>
        </is>
      </c>
      <c r="F1180" t="n">
        <v>7.00512</v>
      </c>
      <c r="G1180" t="n">
        <v>79.96850000000001</v>
      </c>
      <c r="H1180" t="inlineStr">
        <is>
          <t>ZKAD15-M-L21-A2</t>
        </is>
      </c>
      <c r="K1180" t="inlineStr">
        <is>
          <t>S1</t>
        </is>
      </c>
      <c r="L1180" t="inlineStr">
        <is>
          <t>4G</t>
        </is>
      </c>
      <c r="M1180" t="inlineStr">
        <is>
          <t>2100</t>
        </is>
      </c>
      <c r="N1180" t="inlineStr">
        <is>
          <t>AQU4518R9v06</t>
        </is>
      </c>
      <c r="O1180" t="n">
        <v>40</v>
      </c>
      <c r="P1180" t="n">
        <v>0</v>
      </c>
      <c r="Q1180" t="n">
        <v>0</v>
      </c>
      <c r="Y1180" t="inlineStr">
        <is>
          <t>2T2R</t>
        </is>
      </c>
      <c r="AB1180" t="inlineStr">
        <is>
          <t>R9264H M901821</t>
        </is>
      </c>
      <c r="AC1180" t="inlineStr">
        <is>
          <t>A9652 S35*3+R9264H M901821*3+R9254E S8500*2</t>
        </is>
      </c>
    </row>
    <row r="1181" hidden="1" ht="15" customHeight="1" s="99">
      <c r="A1181" t="inlineStr">
        <is>
          <t>ZKAD15</t>
        </is>
      </c>
      <c r="B1181" t="inlineStr">
        <is>
          <t>ZKAD15_GUL00_Eldeniya_IP_Kd</t>
        </is>
      </c>
      <c r="F1181" t="n">
        <v>7.00512</v>
      </c>
      <c r="G1181" t="n">
        <v>79.96850000000001</v>
      </c>
      <c r="H1181" t="inlineStr">
        <is>
          <t>ZKAD15G</t>
        </is>
      </c>
      <c r="K1181" t="inlineStr">
        <is>
          <t>S1</t>
        </is>
      </c>
      <c r="L1181" t="inlineStr">
        <is>
          <t>4G</t>
        </is>
      </c>
      <c r="M1181" t="inlineStr">
        <is>
          <t>1800</t>
        </is>
      </c>
      <c r="N1181" t="inlineStr">
        <is>
          <t>AQU4518R9v06</t>
        </is>
      </c>
      <c r="O1181" t="n">
        <v>40</v>
      </c>
      <c r="P1181" t="n">
        <v>0</v>
      </c>
      <c r="Q1181" t="n">
        <v>0</v>
      </c>
      <c r="Y1181" t="inlineStr">
        <is>
          <t>4T4R</t>
        </is>
      </c>
      <c r="AB1181" t="inlineStr">
        <is>
          <t>R9264H M901821</t>
        </is>
      </c>
      <c r="AC1181" t="inlineStr">
        <is>
          <t>A9652 S35*3+R9264H M901821*3+R9254E S8500*2</t>
        </is>
      </c>
    </row>
    <row r="1182" hidden="1" ht="15" customHeight="1" s="99">
      <c r="A1182" t="inlineStr">
        <is>
          <t>ZKAD15</t>
        </is>
      </c>
      <c r="B1182" t="inlineStr"/>
      <c r="F1182">
        <f>_xlfn.XLOOKUP(A1182,'[1]4G Parameters'!$E:$E,'[1]4G Parameters'!$J:$J)</f>
        <v/>
      </c>
      <c r="G1182">
        <f>_xlfn.XLOOKUP(A1182,'[1]4G Parameters'!$E:$E,'[1]4G Parameters'!$I:$I)</f>
        <v/>
      </c>
      <c r="H1182" t="inlineStr">
        <is>
          <t>ZKAD15B</t>
        </is>
      </c>
      <c r="K1182" t="inlineStr">
        <is>
          <t>S2</t>
        </is>
      </c>
      <c r="L1182" t="inlineStr">
        <is>
          <t>2G</t>
        </is>
      </c>
      <c r="M1182" t="inlineStr">
        <is>
          <t>900</t>
        </is>
      </c>
      <c r="N1182" t="inlineStr"/>
      <c r="O1182" t="n">
        <v>40</v>
      </c>
      <c r="P1182" t="n">
        <v>120</v>
      </c>
      <c r="Q1182" t="n">
        <v>2</v>
      </c>
      <c r="Y1182" t="inlineStr"/>
      <c r="AB1182" t="inlineStr">
        <is>
          <t>R9264H M901821</t>
        </is>
      </c>
      <c r="AC1182" t="inlineStr">
        <is>
          <t>A9652 S35*3+R9264H M901821*3+R9254E S8500*2</t>
        </is>
      </c>
    </row>
    <row r="1183" hidden="1" ht="15" customHeight="1" s="99">
      <c r="A1183" t="inlineStr">
        <is>
          <t>ZKAD15</t>
        </is>
      </c>
      <c r="B1183" t="inlineStr"/>
      <c r="F1183">
        <f>_xlfn.XLOOKUP(A1183,'[1]4G Parameters'!$E:$E,'[1]4G Parameters'!$J:$J)</f>
        <v/>
      </c>
      <c r="G1183">
        <f>_xlfn.XLOOKUP(A1183,'[1]4G Parameters'!$E:$E,'[1]4G Parameters'!$I:$I)</f>
        <v/>
      </c>
      <c r="H1183" t="inlineStr">
        <is>
          <t>ZKAD15Q</t>
        </is>
      </c>
      <c r="K1183" t="inlineStr">
        <is>
          <t>S2</t>
        </is>
      </c>
      <c r="L1183" t="inlineStr">
        <is>
          <t>2G</t>
        </is>
      </c>
      <c r="M1183" t="inlineStr">
        <is>
          <t>1800</t>
        </is>
      </c>
      <c r="N1183" t="inlineStr"/>
      <c r="O1183" t="n">
        <v>40</v>
      </c>
      <c r="P1183" t="n">
        <v>120</v>
      </c>
      <c r="Q1183" t="n">
        <v>2</v>
      </c>
      <c r="Y1183" t="inlineStr"/>
      <c r="AB1183" t="inlineStr">
        <is>
          <t>R9264H M901821</t>
        </is>
      </c>
      <c r="AC1183" t="inlineStr">
        <is>
          <t>A9652 S35*3+R9264H M901821*3+R9254E S8500*2</t>
        </is>
      </c>
    </row>
    <row r="1184" hidden="1" ht="15" customHeight="1" s="99">
      <c r="A1184" t="inlineStr">
        <is>
          <t>ZKAD15</t>
        </is>
      </c>
      <c r="B1184" t="inlineStr">
        <is>
          <t>ZKAD15_GUL00_Eldeniya_IP_Kd</t>
        </is>
      </c>
      <c r="F1184" t="n">
        <v>7.00512</v>
      </c>
      <c r="G1184" t="n">
        <v>79.96850000000001</v>
      </c>
      <c r="H1184" t="inlineStr">
        <is>
          <t>ZKAD15-M-L85-B1</t>
        </is>
      </c>
      <c r="K1184" t="inlineStr">
        <is>
          <t>S2</t>
        </is>
      </c>
      <c r="L1184" t="inlineStr">
        <is>
          <t>4G</t>
        </is>
      </c>
      <c r="M1184" t="inlineStr">
        <is>
          <t>850</t>
        </is>
      </c>
      <c r="N1184" t="inlineStr">
        <is>
          <t>AQU4518R9v06</t>
        </is>
      </c>
      <c r="O1184" t="n">
        <v>40</v>
      </c>
      <c r="P1184" t="n">
        <v>120</v>
      </c>
      <c r="Q1184" t="n">
        <v>0</v>
      </c>
      <c r="Y1184" t="inlineStr">
        <is>
          <t>2T2R</t>
        </is>
      </c>
      <c r="AB1184" t="inlineStr">
        <is>
          <t>R9254E S8500</t>
        </is>
      </c>
      <c r="AC1184" t="inlineStr">
        <is>
          <t>A9652 S35*3+R9264H M901821*3+R9254E S8500*2</t>
        </is>
      </c>
    </row>
    <row r="1185" hidden="1" ht="15" customHeight="1" s="99">
      <c r="A1185" t="inlineStr">
        <is>
          <t>ZKAD15</t>
        </is>
      </c>
      <c r="B1185" t="inlineStr">
        <is>
          <t>ZKAD15_GUL00_Eldeniya_IP_Kd</t>
        </is>
      </c>
      <c r="F1185" t="n">
        <v>7.00512</v>
      </c>
      <c r="G1185" t="n">
        <v>79.96850000000001</v>
      </c>
      <c r="H1185" t="inlineStr">
        <is>
          <t>ZKAD15-M-L21-B2</t>
        </is>
      </c>
      <c r="K1185" t="inlineStr">
        <is>
          <t>S2</t>
        </is>
      </c>
      <c r="L1185" t="inlineStr">
        <is>
          <t>4G</t>
        </is>
      </c>
      <c r="M1185" t="inlineStr">
        <is>
          <t>2100</t>
        </is>
      </c>
      <c r="N1185" t="inlineStr">
        <is>
          <t>AQU4518R9v06</t>
        </is>
      </c>
      <c r="O1185" t="n">
        <v>40</v>
      </c>
      <c r="P1185" t="n">
        <v>120</v>
      </c>
      <c r="Q1185" t="n">
        <v>0</v>
      </c>
      <c r="Y1185" t="inlineStr">
        <is>
          <t>2T2R</t>
        </is>
      </c>
      <c r="AB1185" t="inlineStr">
        <is>
          <t>R9264H M901821</t>
        </is>
      </c>
      <c r="AC1185" t="inlineStr">
        <is>
          <t>A9652 S35*3+R9264H M901821*3+R9254E S8500*2</t>
        </is>
      </c>
    </row>
    <row r="1186" hidden="1" ht="15" customHeight="1" s="99">
      <c r="A1186" t="inlineStr">
        <is>
          <t>ZKAD15</t>
        </is>
      </c>
      <c r="B1186" t="inlineStr">
        <is>
          <t>ZKAD15_GUL00_Eldeniya_IP_Kd</t>
        </is>
      </c>
      <c r="F1186" t="n">
        <v>7.00512</v>
      </c>
      <c r="G1186" t="n">
        <v>79.96850000000001</v>
      </c>
      <c r="H1186" t="inlineStr">
        <is>
          <t>ZKAD15H</t>
        </is>
      </c>
      <c r="K1186" t="inlineStr">
        <is>
          <t>S2</t>
        </is>
      </c>
      <c r="L1186" t="inlineStr">
        <is>
          <t>4G</t>
        </is>
      </c>
      <c r="M1186" t="inlineStr">
        <is>
          <t>1800</t>
        </is>
      </c>
      <c r="N1186" t="inlineStr">
        <is>
          <t>AQU4518R9v06</t>
        </is>
      </c>
      <c r="O1186" t="n">
        <v>40</v>
      </c>
      <c r="P1186" t="n">
        <v>120</v>
      </c>
      <c r="Q1186" t="n">
        <v>0</v>
      </c>
      <c r="Y1186" t="inlineStr">
        <is>
          <t>4T4R</t>
        </is>
      </c>
      <c r="AB1186" t="inlineStr">
        <is>
          <t>R9264H M901821</t>
        </is>
      </c>
      <c r="AC1186" t="inlineStr">
        <is>
          <t>A9652 S35*3+R9264H M901821*3+R9254E S8500*2</t>
        </is>
      </c>
    </row>
    <row r="1187" hidden="1" ht="15" customHeight="1" s="99">
      <c r="A1187" t="inlineStr">
        <is>
          <t>ZKAD15</t>
        </is>
      </c>
      <c r="B1187" t="inlineStr"/>
      <c r="F1187">
        <f>_xlfn.XLOOKUP(A1187,'[1]4G Parameters'!$E:$E,'[1]4G Parameters'!$J:$J)</f>
        <v/>
      </c>
      <c r="G1187">
        <f>_xlfn.XLOOKUP(A1187,'[1]4G Parameters'!$E:$E,'[1]4G Parameters'!$I:$I)</f>
        <v/>
      </c>
      <c r="H1187" t="inlineStr">
        <is>
          <t>ZKAD15C</t>
        </is>
      </c>
      <c r="K1187" t="inlineStr">
        <is>
          <t>S3</t>
        </is>
      </c>
      <c r="L1187" t="inlineStr">
        <is>
          <t>2G</t>
        </is>
      </c>
      <c r="M1187" t="inlineStr">
        <is>
          <t>900</t>
        </is>
      </c>
      <c r="N1187" t="inlineStr"/>
      <c r="O1187" t="n">
        <v>40</v>
      </c>
      <c r="P1187" t="n">
        <v>240</v>
      </c>
      <c r="Q1187" t="n">
        <v>2</v>
      </c>
      <c r="Y1187" t="inlineStr"/>
      <c r="AB1187" t="inlineStr">
        <is>
          <t>R9264H M901821</t>
        </is>
      </c>
      <c r="AC1187" t="inlineStr">
        <is>
          <t>A9652 S35*3+R9264H M901821*3+R9254E S8500*2</t>
        </is>
      </c>
    </row>
    <row r="1188" hidden="1" ht="15" customHeight="1" s="99">
      <c r="A1188" t="inlineStr">
        <is>
          <t>ZKAD15</t>
        </is>
      </c>
      <c r="B1188" t="inlineStr"/>
      <c r="F1188">
        <f>_xlfn.XLOOKUP(A1188,'[1]4G Parameters'!$E:$E,'[1]4G Parameters'!$J:$J)</f>
        <v/>
      </c>
      <c r="G1188">
        <f>_xlfn.XLOOKUP(A1188,'[1]4G Parameters'!$E:$E,'[1]4G Parameters'!$I:$I)</f>
        <v/>
      </c>
      <c r="H1188" t="inlineStr">
        <is>
          <t>ZKAD15R</t>
        </is>
      </c>
      <c r="K1188" t="inlineStr">
        <is>
          <t>S3</t>
        </is>
      </c>
      <c r="L1188" t="inlineStr">
        <is>
          <t>2G</t>
        </is>
      </c>
      <c r="M1188" t="inlineStr">
        <is>
          <t>1800</t>
        </is>
      </c>
      <c r="N1188" t="inlineStr"/>
      <c r="O1188" t="n">
        <v>40</v>
      </c>
      <c r="P1188" t="n">
        <v>240</v>
      </c>
      <c r="Q1188" t="n">
        <v>2</v>
      </c>
      <c r="Y1188" t="inlineStr"/>
      <c r="AB1188" t="inlineStr">
        <is>
          <t>R9264H M901821</t>
        </is>
      </c>
      <c r="AC1188" t="inlineStr">
        <is>
          <t>A9652 S35*3+R9264H M901821*3+R9254E S8500*2</t>
        </is>
      </c>
    </row>
    <row r="1189" hidden="1" ht="15" customHeight="1" s="99">
      <c r="A1189" t="inlineStr">
        <is>
          <t>ZKAD15</t>
        </is>
      </c>
      <c r="B1189" t="inlineStr">
        <is>
          <t>ZKAD15_GUL00_Eldeniya_IP_Kd</t>
        </is>
      </c>
      <c r="F1189" t="n">
        <v>7.00512</v>
      </c>
      <c r="G1189" t="n">
        <v>79.96850000000001</v>
      </c>
      <c r="H1189" t="inlineStr">
        <is>
          <t>ZKAD15-M-L85-C1</t>
        </is>
      </c>
      <c r="K1189" t="inlineStr">
        <is>
          <t>S3</t>
        </is>
      </c>
      <c r="L1189" t="inlineStr">
        <is>
          <t>4G</t>
        </is>
      </c>
      <c r="M1189" t="inlineStr">
        <is>
          <t>850</t>
        </is>
      </c>
      <c r="N1189" t="inlineStr">
        <is>
          <t>AQU4518R9v06</t>
        </is>
      </c>
      <c r="O1189" t="n">
        <v>40</v>
      </c>
      <c r="P1189" t="n">
        <v>240</v>
      </c>
      <c r="Q1189" t="n">
        <v>0</v>
      </c>
      <c r="Y1189" t="inlineStr">
        <is>
          <t>2T2R</t>
        </is>
      </c>
      <c r="AB1189" t="inlineStr">
        <is>
          <t>R9254E S8500</t>
        </is>
      </c>
      <c r="AC1189" t="inlineStr">
        <is>
          <t>A9652 S35*3+R9264H M901821*3+R9254E S8500*2</t>
        </is>
      </c>
    </row>
    <row r="1190" hidden="1" ht="15" customHeight="1" s="99">
      <c r="A1190" t="inlineStr">
        <is>
          <t>ZKAD15</t>
        </is>
      </c>
      <c r="B1190" t="inlineStr">
        <is>
          <t>ZKAD15_GUL00_Eldeniya_IP_Kd</t>
        </is>
      </c>
      <c r="F1190" t="n">
        <v>7.00512</v>
      </c>
      <c r="G1190" t="n">
        <v>79.96850000000001</v>
      </c>
      <c r="H1190" t="inlineStr">
        <is>
          <t>ZKAD15-M-L21-C2</t>
        </is>
      </c>
      <c r="K1190" t="inlineStr">
        <is>
          <t>S3</t>
        </is>
      </c>
      <c r="L1190" t="inlineStr">
        <is>
          <t>4G</t>
        </is>
      </c>
      <c r="M1190" t="inlineStr">
        <is>
          <t>2100</t>
        </is>
      </c>
      <c r="N1190" t="inlineStr">
        <is>
          <t>AQU4518R9v06</t>
        </is>
      </c>
      <c r="O1190" t="n">
        <v>40</v>
      </c>
      <c r="P1190" t="n">
        <v>240</v>
      </c>
      <c r="Q1190" t="n">
        <v>0</v>
      </c>
      <c r="Y1190" t="inlineStr">
        <is>
          <t>2T2R</t>
        </is>
      </c>
      <c r="AB1190" t="inlineStr">
        <is>
          <t>R9264H M901821</t>
        </is>
      </c>
      <c r="AC1190" t="inlineStr">
        <is>
          <t>A9652 S35*3+R9264H M901821*3+R9254E S8500*2</t>
        </is>
      </c>
    </row>
    <row r="1191" hidden="1" ht="15" customHeight="1" s="99">
      <c r="A1191" t="inlineStr">
        <is>
          <t>ZKAD15</t>
        </is>
      </c>
      <c r="B1191" t="inlineStr">
        <is>
          <t>ZKAD15_GUL00_Eldeniya_IP_Kd</t>
        </is>
      </c>
      <c r="F1191" t="n">
        <v>7.00512</v>
      </c>
      <c r="G1191" t="n">
        <v>79.96850000000001</v>
      </c>
      <c r="H1191" t="inlineStr">
        <is>
          <t>ZKAD15I</t>
        </is>
      </c>
      <c r="K1191" t="inlineStr">
        <is>
          <t>S3</t>
        </is>
      </c>
      <c r="L1191" t="inlineStr">
        <is>
          <t>4G</t>
        </is>
      </c>
      <c r="M1191" t="inlineStr">
        <is>
          <t>1800</t>
        </is>
      </c>
      <c r="N1191" t="inlineStr">
        <is>
          <t>AQU4518R9v06</t>
        </is>
      </c>
      <c r="O1191" t="n">
        <v>40</v>
      </c>
      <c r="P1191" t="n">
        <v>240</v>
      </c>
      <c r="Q1191" t="n">
        <v>0</v>
      </c>
      <c r="Y1191" t="inlineStr">
        <is>
          <t>4T4R</t>
        </is>
      </c>
      <c r="AB1191" t="inlineStr">
        <is>
          <t>R9264H M901821</t>
        </is>
      </c>
      <c r="AC1191" t="inlineStr">
        <is>
          <t>A9652 S35*3+R9264H M901821*3+R9254E S8500*2</t>
        </is>
      </c>
    </row>
    <row r="1192" hidden="1" ht="15" customHeight="1" s="99">
      <c r="A1192" t="inlineStr">
        <is>
          <t>ZKAD22</t>
        </is>
      </c>
      <c r="B1192" t="inlineStr"/>
      <c r="F1192">
        <f>_xlfn.XLOOKUP(A1192,'[1]4G Parameters'!$E:$E,'[1]4G Parameters'!$J:$J)</f>
        <v/>
      </c>
      <c r="G1192">
        <f>_xlfn.XLOOKUP(A1192,'[1]4G Parameters'!$E:$E,'[1]4G Parameters'!$I:$I)</f>
        <v/>
      </c>
      <c r="H1192" t="inlineStr">
        <is>
          <t>ZKAD22A</t>
        </is>
      </c>
      <c r="K1192" t="inlineStr">
        <is>
          <t>S1</t>
        </is>
      </c>
      <c r="L1192" t="inlineStr">
        <is>
          <t>2G</t>
        </is>
      </c>
      <c r="M1192" t="inlineStr">
        <is>
          <t>900</t>
        </is>
      </c>
      <c r="N1192" t="inlineStr"/>
      <c r="O1192" t="n">
        <v>30</v>
      </c>
      <c r="P1192" t="n">
        <v>0</v>
      </c>
      <c r="Q1192" t="n">
        <v>2</v>
      </c>
      <c r="Y1192" t="inlineStr"/>
      <c r="AB1192" t="inlineStr">
        <is>
          <t>R9264H M901821</t>
        </is>
      </c>
      <c r="AC1192" t="inlineStr">
        <is>
          <t>A9652 S35*3+R9264H M901821*3+R9254E S8500*2</t>
        </is>
      </c>
    </row>
    <row r="1193" hidden="1" ht="15" customHeight="1" s="99">
      <c r="A1193" t="inlineStr">
        <is>
          <t>ZKAD22</t>
        </is>
      </c>
      <c r="B1193" t="inlineStr"/>
      <c r="F1193">
        <f>_xlfn.XLOOKUP(A1193,'[1]4G Parameters'!$E:$E,'[1]4G Parameters'!$J:$J)</f>
        <v/>
      </c>
      <c r="G1193">
        <f>_xlfn.XLOOKUP(A1193,'[1]4G Parameters'!$E:$E,'[1]4G Parameters'!$I:$I)</f>
        <v/>
      </c>
      <c r="H1193" t="inlineStr">
        <is>
          <t>ZKAD22P</t>
        </is>
      </c>
      <c r="K1193" t="inlineStr">
        <is>
          <t>S1</t>
        </is>
      </c>
      <c r="L1193" t="inlineStr">
        <is>
          <t>2G</t>
        </is>
      </c>
      <c r="M1193" t="inlineStr">
        <is>
          <t>1800</t>
        </is>
      </c>
      <c r="N1193" t="inlineStr"/>
      <c r="O1193" t="n">
        <v>30</v>
      </c>
      <c r="P1193" t="n">
        <v>0</v>
      </c>
      <c r="Q1193" t="n">
        <v>2</v>
      </c>
      <c r="Y1193" t="inlineStr"/>
      <c r="AB1193" t="inlineStr">
        <is>
          <t>R9264H M901821</t>
        </is>
      </c>
      <c r="AC1193" t="inlineStr">
        <is>
          <t>A9652 S35*3+R9264H M901821*3+R9254E S8500*2</t>
        </is>
      </c>
    </row>
    <row r="1194" hidden="1" ht="15" customHeight="1" s="99">
      <c r="A1194" t="inlineStr">
        <is>
          <t>ZKAD22</t>
        </is>
      </c>
      <c r="B1194" t="inlineStr">
        <is>
          <t>ZKAD22_GUL00_Ranmuthugala_89_Kd</t>
        </is>
      </c>
      <c r="F1194" t="n">
        <v>7.02692</v>
      </c>
      <c r="G1194" t="n">
        <v>79.97150000000001</v>
      </c>
      <c r="H1194" t="inlineStr">
        <is>
          <t>ZKAD22-M-L85-A1</t>
        </is>
      </c>
      <c r="K1194" t="inlineStr">
        <is>
          <t>S1</t>
        </is>
      </c>
      <c r="L1194" t="inlineStr">
        <is>
          <t>4G</t>
        </is>
      </c>
      <c r="M1194" t="inlineStr">
        <is>
          <t>850</t>
        </is>
      </c>
      <c r="N1194" t="inlineStr">
        <is>
          <t>AQU4518R9v06</t>
        </is>
      </c>
      <c r="O1194" t="n">
        <v>30</v>
      </c>
      <c r="P1194" t="n">
        <v>0</v>
      </c>
      <c r="Q1194" t="n">
        <v>0</v>
      </c>
      <c r="Y1194" t="inlineStr">
        <is>
          <t>2T2R</t>
        </is>
      </c>
      <c r="AB1194" t="inlineStr">
        <is>
          <t>R9254E S8500</t>
        </is>
      </c>
      <c r="AC1194" t="inlineStr">
        <is>
          <t>A9652 S35*3+R9264H M901821*3+R9254E S8500*2</t>
        </is>
      </c>
    </row>
    <row r="1195" hidden="1" ht="15" customHeight="1" s="99">
      <c r="A1195" t="inlineStr">
        <is>
          <t>ZKAD22</t>
        </is>
      </c>
      <c r="B1195" t="inlineStr">
        <is>
          <t>ZKAD22_GUL00_Ranmuthugala_89_Kd</t>
        </is>
      </c>
      <c r="F1195" t="n">
        <v>7.02692</v>
      </c>
      <c r="G1195" t="n">
        <v>79.97150000000001</v>
      </c>
      <c r="H1195" t="inlineStr">
        <is>
          <t>ZKAD22-M-L21-A2</t>
        </is>
      </c>
      <c r="K1195" t="inlineStr">
        <is>
          <t>S1</t>
        </is>
      </c>
      <c r="L1195" t="inlineStr">
        <is>
          <t>4G</t>
        </is>
      </c>
      <c r="M1195" t="inlineStr">
        <is>
          <t>2100</t>
        </is>
      </c>
      <c r="N1195" t="inlineStr">
        <is>
          <t>AQU4518R9v06</t>
        </is>
      </c>
      <c r="O1195" t="n">
        <v>30</v>
      </c>
      <c r="P1195" t="n">
        <v>0</v>
      </c>
      <c r="Q1195" t="n">
        <v>0</v>
      </c>
      <c r="Y1195" t="inlineStr">
        <is>
          <t>2T2R</t>
        </is>
      </c>
      <c r="AB1195" t="inlineStr">
        <is>
          <t>R9264H M901821</t>
        </is>
      </c>
      <c r="AC1195" t="inlineStr">
        <is>
          <t>A9652 S35*3+R9264H M901821*3+R9254E S8500*2</t>
        </is>
      </c>
    </row>
    <row r="1196" hidden="1" ht="15" customHeight="1" s="99">
      <c r="A1196" t="inlineStr">
        <is>
          <t>ZKAD22</t>
        </is>
      </c>
      <c r="B1196" t="inlineStr">
        <is>
          <t>ZKAD22_GUL00_Ranmuthugala_89_Kd</t>
        </is>
      </c>
      <c r="F1196" t="n">
        <v>7.02692</v>
      </c>
      <c r="G1196" t="n">
        <v>79.97150000000001</v>
      </c>
      <c r="H1196" t="inlineStr">
        <is>
          <t>ZKAD22G</t>
        </is>
      </c>
      <c r="K1196" t="inlineStr">
        <is>
          <t>S1</t>
        </is>
      </c>
      <c r="L1196" t="inlineStr">
        <is>
          <t>4G</t>
        </is>
      </c>
      <c r="M1196" t="inlineStr">
        <is>
          <t>1800</t>
        </is>
      </c>
      <c r="N1196" t="inlineStr">
        <is>
          <t>AQU4518R9v06</t>
        </is>
      </c>
      <c r="O1196" t="n">
        <v>30</v>
      </c>
      <c r="P1196" t="n">
        <v>0</v>
      </c>
      <c r="Q1196" t="n">
        <v>0</v>
      </c>
      <c r="Y1196" t="inlineStr">
        <is>
          <t>4T4R</t>
        </is>
      </c>
      <c r="AB1196" t="inlineStr">
        <is>
          <t>R9264H M901821</t>
        </is>
      </c>
      <c r="AC1196" t="inlineStr">
        <is>
          <t>A9652 S35*3+R9264H M901821*3+R9254E S8500*2</t>
        </is>
      </c>
    </row>
    <row r="1197" hidden="1" ht="15" customHeight="1" s="99">
      <c r="A1197" t="inlineStr">
        <is>
          <t>ZKAD22</t>
        </is>
      </c>
      <c r="B1197" t="inlineStr"/>
      <c r="F1197">
        <f>_xlfn.XLOOKUP(A1197,'[1]4G Parameters'!$E:$E,'[1]4G Parameters'!$J:$J)</f>
        <v/>
      </c>
      <c r="G1197">
        <f>_xlfn.XLOOKUP(A1197,'[1]4G Parameters'!$E:$E,'[1]4G Parameters'!$I:$I)</f>
        <v/>
      </c>
      <c r="H1197" t="inlineStr">
        <is>
          <t>ZKAD22B</t>
        </is>
      </c>
      <c r="K1197" t="inlineStr">
        <is>
          <t>S2</t>
        </is>
      </c>
      <c r="L1197" t="inlineStr">
        <is>
          <t>2G</t>
        </is>
      </c>
      <c r="M1197" t="inlineStr">
        <is>
          <t>900</t>
        </is>
      </c>
      <c r="N1197" t="inlineStr"/>
      <c r="O1197" t="n">
        <v>30</v>
      </c>
      <c r="P1197" t="n">
        <v>105</v>
      </c>
      <c r="Q1197" t="n">
        <v>2</v>
      </c>
      <c r="Y1197" t="inlineStr"/>
      <c r="AB1197" t="inlineStr">
        <is>
          <t>R9264H M901821</t>
        </is>
      </c>
      <c r="AC1197" t="inlineStr">
        <is>
          <t>A9652 S35*3+R9264H M901821*3+R9254E S8500*2</t>
        </is>
      </c>
    </row>
    <row r="1198" hidden="1" ht="15" customHeight="1" s="99">
      <c r="A1198" t="inlineStr">
        <is>
          <t>ZKAD22</t>
        </is>
      </c>
      <c r="B1198" t="inlineStr"/>
      <c r="F1198">
        <f>_xlfn.XLOOKUP(A1198,'[1]4G Parameters'!$E:$E,'[1]4G Parameters'!$J:$J)</f>
        <v/>
      </c>
      <c r="G1198">
        <f>_xlfn.XLOOKUP(A1198,'[1]4G Parameters'!$E:$E,'[1]4G Parameters'!$I:$I)</f>
        <v/>
      </c>
      <c r="H1198" t="inlineStr">
        <is>
          <t>ZKAD22Q</t>
        </is>
      </c>
      <c r="K1198" t="inlineStr">
        <is>
          <t>S2</t>
        </is>
      </c>
      <c r="L1198" t="inlineStr">
        <is>
          <t>2G</t>
        </is>
      </c>
      <c r="M1198" t="inlineStr">
        <is>
          <t>1800</t>
        </is>
      </c>
      <c r="N1198" t="inlineStr"/>
      <c r="O1198" t="n">
        <v>30</v>
      </c>
      <c r="P1198" t="n">
        <v>105</v>
      </c>
      <c r="Q1198" t="n">
        <v>2</v>
      </c>
      <c r="Y1198" t="inlineStr"/>
      <c r="AB1198" t="inlineStr">
        <is>
          <t>R9264H M901821</t>
        </is>
      </c>
      <c r="AC1198" t="inlineStr">
        <is>
          <t>A9652 S35*3+R9264H M901821*3+R9254E S8500*2</t>
        </is>
      </c>
    </row>
    <row r="1199" hidden="1" ht="15" customHeight="1" s="99">
      <c r="A1199" t="inlineStr">
        <is>
          <t>ZKAD22</t>
        </is>
      </c>
      <c r="B1199" t="inlineStr">
        <is>
          <t>ZKAD22_GUL00_Ranmuthugala_89_Kd</t>
        </is>
      </c>
      <c r="F1199" t="n">
        <v>7.02692</v>
      </c>
      <c r="G1199" t="n">
        <v>79.97150000000001</v>
      </c>
      <c r="H1199" t="inlineStr">
        <is>
          <t>ZKAD22-M-L85-B1</t>
        </is>
      </c>
      <c r="K1199" t="inlineStr">
        <is>
          <t>S2</t>
        </is>
      </c>
      <c r="L1199" t="inlineStr">
        <is>
          <t>4G</t>
        </is>
      </c>
      <c r="M1199" t="inlineStr">
        <is>
          <t>850</t>
        </is>
      </c>
      <c r="N1199" t="inlineStr">
        <is>
          <t>AQU4518R9v06</t>
        </is>
      </c>
      <c r="O1199" t="n">
        <v>30</v>
      </c>
      <c r="P1199" t="n">
        <v>105</v>
      </c>
      <c r="Q1199" t="n">
        <v>0</v>
      </c>
      <c r="Y1199" t="inlineStr">
        <is>
          <t>2T2R</t>
        </is>
      </c>
      <c r="AB1199" t="inlineStr">
        <is>
          <t>R9254E S8500</t>
        </is>
      </c>
      <c r="AC1199" t="inlineStr">
        <is>
          <t>A9652 S35*3+R9264H M901821*3+R9254E S8500*2</t>
        </is>
      </c>
    </row>
    <row r="1200" hidden="1" ht="15" customHeight="1" s="99">
      <c r="A1200" t="inlineStr">
        <is>
          <t>ZKAD22</t>
        </is>
      </c>
      <c r="B1200" t="inlineStr">
        <is>
          <t>ZKAD22_GUL00_Ranmuthugala_89_Kd</t>
        </is>
      </c>
      <c r="F1200" t="n">
        <v>7.02692</v>
      </c>
      <c r="G1200" t="n">
        <v>79.97150000000001</v>
      </c>
      <c r="H1200" t="inlineStr">
        <is>
          <t>ZKAD22-M-L21-B2</t>
        </is>
      </c>
      <c r="K1200" t="inlineStr">
        <is>
          <t>S2</t>
        </is>
      </c>
      <c r="L1200" t="inlineStr">
        <is>
          <t>4G</t>
        </is>
      </c>
      <c r="M1200" t="inlineStr">
        <is>
          <t>2100</t>
        </is>
      </c>
      <c r="N1200" t="inlineStr">
        <is>
          <t>AQU4518R9v06</t>
        </is>
      </c>
      <c r="O1200" t="n">
        <v>30</v>
      </c>
      <c r="P1200" t="n">
        <v>105</v>
      </c>
      <c r="Q1200" t="n">
        <v>0</v>
      </c>
      <c r="Y1200" t="inlineStr">
        <is>
          <t>2T2R</t>
        </is>
      </c>
      <c r="AB1200" t="inlineStr">
        <is>
          <t>R9264H M901821</t>
        </is>
      </c>
      <c r="AC1200" t="inlineStr">
        <is>
          <t>A9652 S35*3+R9264H M901821*3+R9254E S8500*2</t>
        </is>
      </c>
    </row>
    <row r="1201" hidden="1" ht="15" customHeight="1" s="99">
      <c r="A1201" t="inlineStr">
        <is>
          <t>ZKAD22</t>
        </is>
      </c>
      <c r="B1201" t="inlineStr">
        <is>
          <t>ZKAD22_GUL00_Ranmuthugala_89_Kd</t>
        </is>
      </c>
      <c r="F1201" t="n">
        <v>7.02692</v>
      </c>
      <c r="G1201" t="n">
        <v>79.97150000000001</v>
      </c>
      <c r="H1201" t="inlineStr">
        <is>
          <t>ZKAD22H</t>
        </is>
      </c>
      <c r="K1201" t="inlineStr">
        <is>
          <t>S2</t>
        </is>
      </c>
      <c r="L1201" t="inlineStr">
        <is>
          <t>4G</t>
        </is>
      </c>
      <c r="M1201" t="inlineStr">
        <is>
          <t>1800</t>
        </is>
      </c>
      <c r="N1201" t="inlineStr">
        <is>
          <t>AQU4518R9v06</t>
        </is>
      </c>
      <c r="O1201" t="n">
        <v>30</v>
      </c>
      <c r="P1201" t="n">
        <v>105</v>
      </c>
      <c r="Q1201" t="n">
        <v>0</v>
      </c>
      <c r="Y1201" t="inlineStr">
        <is>
          <t>4T4R</t>
        </is>
      </c>
      <c r="AB1201" t="inlineStr">
        <is>
          <t>R9264H M901821</t>
        </is>
      </c>
      <c r="AC1201" t="inlineStr">
        <is>
          <t>A9652 S35*3+R9264H M901821*3+R9254E S8500*2</t>
        </is>
      </c>
    </row>
    <row r="1202" hidden="1" ht="15" customHeight="1" s="99">
      <c r="A1202" t="inlineStr">
        <is>
          <t>ZKAD22</t>
        </is>
      </c>
      <c r="B1202" t="inlineStr"/>
      <c r="F1202">
        <f>_xlfn.XLOOKUP(A1202,'[1]4G Parameters'!$E:$E,'[1]4G Parameters'!$J:$J)</f>
        <v/>
      </c>
      <c r="G1202">
        <f>_xlfn.XLOOKUP(A1202,'[1]4G Parameters'!$E:$E,'[1]4G Parameters'!$I:$I)</f>
        <v/>
      </c>
      <c r="H1202" t="inlineStr">
        <is>
          <t>ZKAD22C</t>
        </is>
      </c>
      <c r="K1202" t="inlineStr">
        <is>
          <t>S3</t>
        </is>
      </c>
      <c r="L1202" t="inlineStr">
        <is>
          <t>2G</t>
        </is>
      </c>
      <c r="M1202" t="inlineStr">
        <is>
          <t>900</t>
        </is>
      </c>
      <c r="N1202" t="inlineStr"/>
      <c r="O1202" t="n">
        <v>0</v>
      </c>
      <c r="P1202" t="n">
        <v>150</v>
      </c>
      <c r="Q1202" t="n">
        <v>2</v>
      </c>
      <c r="Y1202" t="inlineStr"/>
      <c r="AB1202" t="inlineStr">
        <is>
          <t>R9264H M901821</t>
        </is>
      </c>
      <c r="AC1202" t="inlineStr">
        <is>
          <t>A9652 S35*3+R9264H M901821*3+R9254E S8500*2</t>
        </is>
      </c>
    </row>
    <row r="1203" hidden="1" ht="15" customHeight="1" s="99">
      <c r="A1203" t="inlineStr">
        <is>
          <t>ZKAD22</t>
        </is>
      </c>
      <c r="B1203" t="inlineStr"/>
      <c r="F1203">
        <f>_xlfn.XLOOKUP(A1203,'[1]4G Parameters'!$E:$E,'[1]4G Parameters'!$J:$J)</f>
        <v/>
      </c>
      <c r="G1203">
        <f>_xlfn.XLOOKUP(A1203,'[1]4G Parameters'!$E:$E,'[1]4G Parameters'!$I:$I)</f>
        <v/>
      </c>
      <c r="H1203" t="inlineStr">
        <is>
          <t>ZKAD22R</t>
        </is>
      </c>
      <c r="K1203" t="inlineStr">
        <is>
          <t>S3</t>
        </is>
      </c>
      <c r="L1203" t="inlineStr">
        <is>
          <t>2G</t>
        </is>
      </c>
      <c r="M1203" t="inlineStr">
        <is>
          <t>1800</t>
        </is>
      </c>
      <c r="N1203" t="inlineStr"/>
      <c r="O1203" t="n">
        <v>30</v>
      </c>
      <c r="P1203" t="n">
        <v>150</v>
      </c>
      <c r="Q1203" t="n">
        <v>2</v>
      </c>
      <c r="Y1203" t="inlineStr"/>
      <c r="AB1203" t="inlineStr">
        <is>
          <t>R9264H M901821</t>
        </is>
      </c>
      <c r="AC1203" t="inlineStr">
        <is>
          <t>A9652 S35*3+R9264H M901821*3+R9254E S8500*2</t>
        </is>
      </c>
    </row>
    <row r="1204" hidden="1" ht="15" customHeight="1" s="99">
      <c r="A1204" t="inlineStr">
        <is>
          <t>ZKAD22</t>
        </is>
      </c>
      <c r="B1204" t="inlineStr">
        <is>
          <t>ZKAD22_GUL00_Ranmuthugala_89_Kd</t>
        </is>
      </c>
      <c r="F1204" t="n">
        <v>7.02692</v>
      </c>
      <c r="G1204" t="n">
        <v>79.97150000000001</v>
      </c>
      <c r="H1204" t="inlineStr">
        <is>
          <t>ZKAD22-M-L85-C1</t>
        </is>
      </c>
      <c r="K1204" t="inlineStr">
        <is>
          <t>S3</t>
        </is>
      </c>
      <c r="L1204" t="inlineStr">
        <is>
          <t>4G</t>
        </is>
      </c>
      <c r="M1204" t="inlineStr">
        <is>
          <t>850</t>
        </is>
      </c>
      <c r="N1204" t="inlineStr">
        <is>
          <t>AQU4518R9v06</t>
        </is>
      </c>
      <c r="O1204" t="n">
        <v>30</v>
      </c>
      <c r="P1204" t="n">
        <v>150</v>
      </c>
      <c r="Q1204" t="n">
        <v>0</v>
      </c>
      <c r="Y1204" t="inlineStr">
        <is>
          <t>2T2R</t>
        </is>
      </c>
      <c r="AB1204" t="inlineStr">
        <is>
          <t>R9254E S8500</t>
        </is>
      </c>
      <c r="AC1204" t="inlineStr">
        <is>
          <t>A9652 S35*3+R9264H M901821*3+R9254E S8500*2</t>
        </is>
      </c>
    </row>
    <row r="1205" hidden="1" ht="15" customHeight="1" s="99">
      <c r="A1205" t="inlineStr">
        <is>
          <t>ZKAD22</t>
        </is>
      </c>
      <c r="B1205" t="inlineStr">
        <is>
          <t>ZKAD22_GUL00_Ranmuthugala_89_Kd</t>
        </is>
      </c>
      <c r="F1205" t="n">
        <v>7.02692</v>
      </c>
      <c r="G1205" t="n">
        <v>79.97150000000001</v>
      </c>
      <c r="H1205" t="inlineStr">
        <is>
          <t>ZKAD22-M-L21-C2</t>
        </is>
      </c>
      <c r="K1205" t="inlineStr">
        <is>
          <t>S3</t>
        </is>
      </c>
      <c r="L1205" t="inlineStr">
        <is>
          <t>4G</t>
        </is>
      </c>
      <c r="M1205" t="inlineStr">
        <is>
          <t>2100</t>
        </is>
      </c>
      <c r="N1205" t="inlineStr">
        <is>
          <t>AQU4518R9v06</t>
        </is>
      </c>
      <c r="O1205" t="n">
        <v>30</v>
      </c>
      <c r="P1205" t="n">
        <v>150</v>
      </c>
      <c r="Q1205" t="n">
        <v>0</v>
      </c>
      <c r="Y1205" t="inlineStr">
        <is>
          <t>2T2R</t>
        </is>
      </c>
      <c r="AB1205" t="inlineStr">
        <is>
          <t>R9264H M901821</t>
        </is>
      </c>
      <c r="AC1205" t="inlineStr">
        <is>
          <t>A9652 S35*3+R9264H M901821*3+R9254E S8500*2</t>
        </is>
      </c>
    </row>
    <row r="1206" hidden="1" ht="15" customHeight="1" s="99">
      <c r="A1206" t="inlineStr">
        <is>
          <t>ZKAD22</t>
        </is>
      </c>
      <c r="B1206" t="inlineStr">
        <is>
          <t>ZKAD22_GUL00_Ranmuthugala_89_Kd</t>
        </is>
      </c>
      <c r="F1206" t="n">
        <v>7.02692</v>
      </c>
      <c r="G1206" t="n">
        <v>79.97150000000001</v>
      </c>
      <c r="H1206" t="inlineStr">
        <is>
          <t>ZKAD22I</t>
        </is>
      </c>
      <c r="K1206" t="inlineStr">
        <is>
          <t>S3</t>
        </is>
      </c>
      <c r="L1206" t="inlineStr">
        <is>
          <t>4G</t>
        </is>
      </c>
      <c r="M1206" t="inlineStr">
        <is>
          <t>1800</t>
        </is>
      </c>
      <c r="N1206" t="inlineStr">
        <is>
          <t>AQU4518R9v06</t>
        </is>
      </c>
      <c r="O1206" t="n">
        <v>30</v>
      </c>
      <c r="P1206" t="n">
        <v>150</v>
      </c>
      <c r="Q1206" t="n">
        <v>0</v>
      </c>
      <c r="Y1206" t="inlineStr">
        <is>
          <t>4T4R</t>
        </is>
      </c>
      <c r="AB1206" t="inlineStr">
        <is>
          <t>R9264H M901821</t>
        </is>
      </c>
      <c r="AC1206" t="inlineStr">
        <is>
          <t>A9652 S35*3+R9264H M901821*3+R9254E S8500*2</t>
        </is>
      </c>
    </row>
    <row r="1207" hidden="1" ht="15" customHeight="1" s="99">
      <c r="A1207" t="inlineStr">
        <is>
          <t>ZKAD26</t>
        </is>
      </c>
      <c r="B1207" t="inlineStr"/>
      <c r="F1207">
        <f>_xlfn.XLOOKUP(A1207,'[1]4G Parameters'!$E:$E,'[1]4G Parameters'!$J:$J)</f>
        <v/>
      </c>
      <c r="G1207">
        <f>_xlfn.XLOOKUP(A1207,'[1]4G Parameters'!$E:$E,'[1]4G Parameters'!$I:$I)</f>
        <v/>
      </c>
      <c r="H1207" t="inlineStr">
        <is>
          <t>ZKAD26A</t>
        </is>
      </c>
      <c r="K1207" t="inlineStr">
        <is>
          <t>S1</t>
        </is>
      </c>
      <c r="L1207" t="inlineStr">
        <is>
          <t>2G</t>
        </is>
      </c>
      <c r="M1207" t="inlineStr">
        <is>
          <t>900</t>
        </is>
      </c>
      <c r="N1207" t="inlineStr"/>
      <c r="O1207" t="n">
        <v>30</v>
      </c>
      <c r="P1207" t="n">
        <v>0</v>
      </c>
      <c r="Q1207" t="n">
        <v>2</v>
      </c>
      <c r="Y1207" t="inlineStr"/>
      <c r="AB1207" t="inlineStr">
        <is>
          <t>R9264H M901821</t>
        </is>
      </c>
      <c r="AC1207" t="inlineStr">
        <is>
          <t>A9652 S35*3+R9264H M901821*3+R9254E S8500*2</t>
        </is>
      </c>
    </row>
    <row r="1208" hidden="1" ht="15" customHeight="1" s="99">
      <c r="A1208" t="inlineStr">
        <is>
          <t>ZKAD26</t>
        </is>
      </c>
      <c r="B1208" t="inlineStr"/>
      <c r="F1208">
        <f>_xlfn.XLOOKUP(A1208,'[1]4G Parameters'!$E:$E,'[1]4G Parameters'!$J:$J)</f>
        <v/>
      </c>
      <c r="G1208">
        <f>_xlfn.XLOOKUP(A1208,'[1]4G Parameters'!$E:$E,'[1]4G Parameters'!$I:$I)</f>
        <v/>
      </c>
      <c r="H1208" t="inlineStr">
        <is>
          <t>ZKAD26P</t>
        </is>
      </c>
      <c r="K1208" t="inlineStr">
        <is>
          <t>S1</t>
        </is>
      </c>
      <c r="L1208" t="inlineStr">
        <is>
          <t>2G</t>
        </is>
      </c>
      <c r="M1208" t="inlineStr">
        <is>
          <t>1800</t>
        </is>
      </c>
      <c r="N1208" t="inlineStr"/>
      <c r="O1208" t="n">
        <v>30</v>
      </c>
      <c r="P1208" t="n">
        <v>0</v>
      </c>
      <c r="Q1208" t="n">
        <v>2</v>
      </c>
      <c r="Y1208" t="inlineStr"/>
      <c r="AB1208" t="inlineStr">
        <is>
          <t>R9264H M901821</t>
        </is>
      </c>
      <c r="AC1208" t="inlineStr">
        <is>
          <t>A9652 S35*3+R9264H M901821*3+R9254E S8500*2</t>
        </is>
      </c>
    </row>
    <row r="1209" hidden="1" ht="15" customHeight="1" s="99">
      <c r="A1209" t="inlineStr">
        <is>
          <t>ZKAD26</t>
        </is>
      </c>
      <c r="B1209" t="inlineStr">
        <is>
          <t>ZKAD26_G0L00_Weboda2_Kd</t>
        </is>
      </c>
      <c r="F1209" t="n">
        <v>7.017806</v>
      </c>
      <c r="G1209" t="n">
        <v>79.979608</v>
      </c>
      <c r="H1209" t="inlineStr">
        <is>
          <t>ZKAD26-M-L85-A1</t>
        </is>
      </c>
      <c r="K1209" t="inlineStr">
        <is>
          <t>S1</t>
        </is>
      </c>
      <c r="L1209" t="inlineStr">
        <is>
          <t>4G</t>
        </is>
      </c>
      <c r="M1209" t="inlineStr">
        <is>
          <t>850</t>
        </is>
      </c>
      <c r="N1209" t="inlineStr">
        <is>
          <t>APE4517R0v06</t>
        </is>
      </c>
      <c r="O1209" t="n">
        <v>30</v>
      </c>
      <c r="P1209" t="n">
        <v>0</v>
      </c>
      <c r="Q1209" t="n">
        <v>0</v>
      </c>
      <c r="Y1209" t="inlineStr">
        <is>
          <t>2T2R</t>
        </is>
      </c>
      <c r="AB1209" t="inlineStr">
        <is>
          <t>R9254E S8500</t>
        </is>
      </c>
      <c r="AC1209" t="inlineStr">
        <is>
          <t>A9652 S35*3+R9264H M901821*3+R9254E S8500*2</t>
        </is>
      </c>
    </row>
    <row r="1210" hidden="1" ht="15" customHeight="1" s="99">
      <c r="A1210" t="inlineStr">
        <is>
          <t>ZKAD26</t>
        </is>
      </c>
      <c r="B1210" t="inlineStr">
        <is>
          <t>ZKAD26_G0L00_Weboda2_Kd</t>
        </is>
      </c>
      <c r="F1210" t="n">
        <v>7.017806</v>
      </c>
      <c r="G1210" t="n">
        <v>79.979608</v>
      </c>
      <c r="H1210" t="inlineStr">
        <is>
          <t>ZKAD26G</t>
        </is>
      </c>
      <c r="K1210" t="inlineStr">
        <is>
          <t>S1</t>
        </is>
      </c>
      <c r="L1210" t="inlineStr">
        <is>
          <t>4G</t>
        </is>
      </c>
      <c r="M1210" t="inlineStr">
        <is>
          <t>1800</t>
        </is>
      </c>
      <c r="N1210" t="inlineStr">
        <is>
          <t>APE4517R0v06</t>
        </is>
      </c>
      <c r="O1210" t="n">
        <v>30</v>
      </c>
      <c r="P1210" t="n">
        <v>0</v>
      </c>
      <c r="Q1210" t="n">
        <v>0</v>
      </c>
      <c r="Y1210" t="inlineStr">
        <is>
          <t>2T2R</t>
        </is>
      </c>
      <c r="AB1210" t="inlineStr">
        <is>
          <t>R9264H M901821</t>
        </is>
      </c>
      <c r="AC1210" t="inlineStr">
        <is>
          <t>A9652 S35*3+R9264H M901821*3+R9254E S8500*2</t>
        </is>
      </c>
    </row>
    <row r="1211" hidden="1" ht="15" customHeight="1" s="99">
      <c r="A1211" t="inlineStr">
        <is>
          <t>ZKAD26</t>
        </is>
      </c>
      <c r="B1211" t="inlineStr"/>
      <c r="F1211">
        <f>_xlfn.XLOOKUP(A1211,'[1]4G Parameters'!$E:$E,'[1]4G Parameters'!$J:$J)</f>
        <v/>
      </c>
      <c r="G1211">
        <f>_xlfn.XLOOKUP(A1211,'[1]4G Parameters'!$E:$E,'[1]4G Parameters'!$I:$I)</f>
        <v/>
      </c>
      <c r="H1211" t="inlineStr">
        <is>
          <t>ZKAD26B</t>
        </is>
      </c>
      <c r="K1211" t="inlineStr">
        <is>
          <t>S2</t>
        </is>
      </c>
      <c r="L1211" t="inlineStr">
        <is>
          <t>2G</t>
        </is>
      </c>
      <c r="M1211" t="inlineStr">
        <is>
          <t>900</t>
        </is>
      </c>
      <c r="N1211" t="inlineStr"/>
      <c r="O1211" t="n">
        <v>30</v>
      </c>
      <c r="P1211" t="n">
        <v>120</v>
      </c>
      <c r="Q1211" t="n">
        <v>2</v>
      </c>
      <c r="Y1211" t="inlineStr"/>
      <c r="AB1211" t="inlineStr">
        <is>
          <t>R9264H M901821</t>
        </is>
      </c>
      <c r="AC1211" t="inlineStr">
        <is>
          <t>A9652 S35*3+R9264H M901821*3+R9254E S8500*2</t>
        </is>
      </c>
    </row>
    <row r="1212" hidden="1" ht="15" customHeight="1" s="99">
      <c r="A1212" t="inlineStr">
        <is>
          <t>ZKAD26</t>
        </is>
      </c>
      <c r="B1212" t="inlineStr"/>
      <c r="F1212">
        <f>_xlfn.XLOOKUP(A1212,'[1]4G Parameters'!$E:$E,'[1]4G Parameters'!$J:$J)</f>
        <v/>
      </c>
      <c r="G1212">
        <f>_xlfn.XLOOKUP(A1212,'[1]4G Parameters'!$E:$E,'[1]4G Parameters'!$I:$I)</f>
        <v/>
      </c>
      <c r="H1212" t="inlineStr">
        <is>
          <t>ZKAD26Q</t>
        </is>
      </c>
      <c r="K1212" t="inlineStr">
        <is>
          <t>S2</t>
        </is>
      </c>
      <c r="L1212" t="inlineStr">
        <is>
          <t>2G</t>
        </is>
      </c>
      <c r="M1212" t="inlineStr">
        <is>
          <t>1800</t>
        </is>
      </c>
      <c r="N1212" t="inlineStr"/>
      <c r="O1212" t="n">
        <v>30</v>
      </c>
      <c r="P1212" t="n">
        <v>120</v>
      </c>
      <c r="Q1212" t="n">
        <v>2</v>
      </c>
      <c r="Y1212" t="inlineStr"/>
      <c r="AB1212" t="inlineStr">
        <is>
          <t>R9264H M901821</t>
        </is>
      </c>
      <c r="AC1212" t="inlineStr">
        <is>
          <t>A9652 S35*3+R9264H M901821*3+R9254E S8500*2</t>
        </is>
      </c>
    </row>
    <row r="1213" hidden="1" ht="15" customHeight="1" s="99">
      <c r="A1213" t="inlineStr">
        <is>
          <t>ZKAD26</t>
        </is>
      </c>
      <c r="B1213" t="inlineStr">
        <is>
          <t>ZKAD26_G0L00_Weboda2_Kd</t>
        </is>
      </c>
      <c r="F1213" t="n">
        <v>7.017806</v>
      </c>
      <c r="G1213" t="n">
        <v>79.979608</v>
      </c>
      <c r="H1213" t="inlineStr">
        <is>
          <t>ZKAD26-M-L85-B1</t>
        </is>
      </c>
      <c r="K1213" t="inlineStr">
        <is>
          <t>S2</t>
        </is>
      </c>
      <c r="L1213" t="inlineStr">
        <is>
          <t>4G</t>
        </is>
      </c>
      <c r="M1213" t="inlineStr">
        <is>
          <t>850</t>
        </is>
      </c>
      <c r="N1213" t="inlineStr">
        <is>
          <t>APE4517R0v06</t>
        </is>
      </c>
      <c r="O1213" t="n">
        <v>30</v>
      </c>
      <c r="P1213" t="n">
        <v>120</v>
      </c>
      <c r="Q1213" t="n">
        <v>0</v>
      </c>
      <c r="Y1213" t="inlineStr">
        <is>
          <t>2T2R</t>
        </is>
      </c>
      <c r="AB1213" t="inlineStr">
        <is>
          <t>R9254E S8500</t>
        </is>
      </c>
      <c r="AC1213" t="inlineStr">
        <is>
          <t>A9652 S35*3+R9264H M901821*3+R9254E S8500*2</t>
        </is>
      </c>
    </row>
    <row r="1214" hidden="1" ht="15" customHeight="1" s="99">
      <c r="A1214" t="inlineStr">
        <is>
          <t>ZKAD26</t>
        </is>
      </c>
      <c r="B1214" t="inlineStr">
        <is>
          <t>ZKAD26_G0L00_Weboda2_Kd</t>
        </is>
      </c>
      <c r="F1214" t="n">
        <v>7.017806</v>
      </c>
      <c r="G1214" t="n">
        <v>79.979608</v>
      </c>
      <c r="H1214" t="inlineStr">
        <is>
          <t>ZKAD26H</t>
        </is>
      </c>
      <c r="K1214" t="inlineStr">
        <is>
          <t>S2</t>
        </is>
      </c>
      <c r="L1214" t="inlineStr">
        <is>
          <t>4G</t>
        </is>
      </c>
      <c r="M1214" t="inlineStr">
        <is>
          <t>1800</t>
        </is>
      </c>
      <c r="N1214" t="inlineStr">
        <is>
          <t>APE4517R0v06</t>
        </is>
      </c>
      <c r="O1214" t="n">
        <v>30</v>
      </c>
      <c r="P1214" t="n">
        <v>120</v>
      </c>
      <c r="Q1214" t="n">
        <v>0</v>
      </c>
      <c r="Y1214" t="inlineStr">
        <is>
          <t>2T2R</t>
        </is>
      </c>
      <c r="AB1214" t="inlineStr">
        <is>
          <t>R9264H M901821</t>
        </is>
      </c>
      <c r="AC1214" t="inlineStr">
        <is>
          <t>A9652 S35*3+R9264H M901821*3+R9254E S8500*2</t>
        </is>
      </c>
    </row>
    <row r="1215" hidden="1" ht="15" customHeight="1" s="99">
      <c r="A1215" t="inlineStr">
        <is>
          <t>ZKAD26</t>
        </is>
      </c>
      <c r="B1215" t="inlineStr"/>
      <c r="F1215">
        <f>_xlfn.XLOOKUP(A1215,'[1]4G Parameters'!$E:$E,'[1]4G Parameters'!$J:$J)</f>
        <v/>
      </c>
      <c r="G1215">
        <f>_xlfn.XLOOKUP(A1215,'[1]4G Parameters'!$E:$E,'[1]4G Parameters'!$I:$I)</f>
        <v/>
      </c>
      <c r="H1215" t="inlineStr">
        <is>
          <t>ZKAD26C</t>
        </is>
      </c>
      <c r="K1215" t="inlineStr">
        <is>
          <t>S3</t>
        </is>
      </c>
      <c r="L1215" t="inlineStr">
        <is>
          <t>2G</t>
        </is>
      </c>
      <c r="M1215" t="inlineStr">
        <is>
          <t>900</t>
        </is>
      </c>
      <c r="N1215" t="inlineStr"/>
      <c r="O1215" t="n">
        <v>30</v>
      </c>
      <c r="P1215" t="n">
        <v>240</v>
      </c>
      <c r="Q1215" t="n">
        <v>2</v>
      </c>
      <c r="Y1215" t="inlineStr"/>
      <c r="AB1215" t="inlineStr">
        <is>
          <t>R9264H M901821</t>
        </is>
      </c>
      <c r="AC1215" t="inlineStr">
        <is>
          <t>A9652 S35*3+R9264H M901821*3+R9254E S8500*2</t>
        </is>
      </c>
    </row>
    <row r="1216" hidden="1" ht="15" customHeight="1" s="99">
      <c r="A1216" t="inlineStr">
        <is>
          <t>ZKAD26</t>
        </is>
      </c>
      <c r="B1216" t="inlineStr"/>
      <c r="F1216">
        <f>_xlfn.XLOOKUP(A1216,'[1]4G Parameters'!$E:$E,'[1]4G Parameters'!$J:$J)</f>
        <v/>
      </c>
      <c r="G1216">
        <f>_xlfn.XLOOKUP(A1216,'[1]4G Parameters'!$E:$E,'[1]4G Parameters'!$I:$I)</f>
        <v/>
      </c>
      <c r="H1216" t="inlineStr">
        <is>
          <t>ZKAD26R</t>
        </is>
      </c>
      <c r="K1216" t="inlineStr">
        <is>
          <t>S3</t>
        </is>
      </c>
      <c r="L1216" t="inlineStr">
        <is>
          <t>2G</t>
        </is>
      </c>
      <c r="M1216" t="inlineStr">
        <is>
          <t>1800</t>
        </is>
      </c>
      <c r="N1216" t="inlineStr"/>
      <c r="O1216" t="n">
        <v>30</v>
      </c>
      <c r="P1216" t="n">
        <v>240</v>
      </c>
      <c r="Q1216" t="n">
        <v>2</v>
      </c>
      <c r="Y1216" t="inlineStr"/>
      <c r="AB1216" t="inlineStr">
        <is>
          <t>R9264H M901821</t>
        </is>
      </c>
      <c r="AC1216" t="inlineStr">
        <is>
          <t>A9652 S35*3+R9264H M901821*3+R9254E S8500*2</t>
        </is>
      </c>
    </row>
    <row r="1217" hidden="1" ht="15" customHeight="1" s="99">
      <c r="A1217" t="inlineStr">
        <is>
          <t>ZKAD26</t>
        </is>
      </c>
      <c r="B1217" t="inlineStr">
        <is>
          <t>ZKAD26_G0L00_Weboda2_Kd</t>
        </is>
      </c>
      <c r="F1217" t="n">
        <v>7.017806</v>
      </c>
      <c r="G1217" t="n">
        <v>79.979608</v>
      </c>
      <c r="H1217" t="inlineStr">
        <is>
          <t>ZKAD26-M-L85-C1</t>
        </is>
      </c>
      <c r="K1217" t="inlineStr">
        <is>
          <t>S3</t>
        </is>
      </c>
      <c r="L1217" t="inlineStr">
        <is>
          <t>4G</t>
        </is>
      </c>
      <c r="M1217" t="inlineStr">
        <is>
          <t>850</t>
        </is>
      </c>
      <c r="N1217" t="inlineStr">
        <is>
          <t>APE4517R0v06</t>
        </is>
      </c>
      <c r="O1217" t="n">
        <v>30</v>
      </c>
      <c r="P1217" t="n">
        <v>240</v>
      </c>
      <c r="Q1217" t="n">
        <v>0</v>
      </c>
      <c r="Y1217" t="inlineStr">
        <is>
          <t>2T2R</t>
        </is>
      </c>
      <c r="AB1217" t="inlineStr">
        <is>
          <t>R9254E S8500</t>
        </is>
      </c>
      <c r="AC1217" t="inlineStr">
        <is>
          <t>A9652 S35*3+R9264H M901821*3+R9254E S8500*2</t>
        </is>
      </c>
    </row>
    <row r="1218" hidden="1" ht="15" customHeight="1" s="99">
      <c r="A1218" t="inlineStr">
        <is>
          <t>ZKAD26</t>
        </is>
      </c>
      <c r="B1218" t="inlineStr">
        <is>
          <t>ZKAD26_G0L00_Weboda2_Kd</t>
        </is>
      </c>
      <c r="F1218" t="n">
        <v>7.017806</v>
      </c>
      <c r="G1218" t="n">
        <v>79.979608</v>
      </c>
      <c r="H1218" t="inlineStr">
        <is>
          <t>ZKAD26I</t>
        </is>
      </c>
      <c r="K1218" t="inlineStr">
        <is>
          <t>S3</t>
        </is>
      </c>
      <c r="L1218" t="inlineStr">
        <is>
          <t>4G</t>
        </is>
      </c>
      <c r="M1218" t="inlineStr">
        <is>
          <t>1800</t>
        </is>
      </c>
      <c r="N1218" t="inlineStr">
        <is>
          <t>APE4517R0v06</t>
        </is>
      </c>
      <c r="O1218" t="n">
        <v>30</v>
      </c>
      <c r="P1218" t="n">
        <v>240</v>
      </c>
      <c r="Q1218" t="n">
        <v>0</v>
      </c>
      <c r="Y1218" t="inlineStr">
        <is>
          <t>2T2R</t>
        </is>
      </c>
      <c r="AB1218" t="inlineStr">
        <is>
          <t>R9264H M901821</t>
        </is>
      </c>
      <c r="AC1218" t="inlineStr">
        <is>
          <t>A9652 S35*3+R9264H M901821*3+R9254E S8500*2</t>
        </is>
      </c>
    </row>
    <row r="1219" hidden="1" ht="15" customHeight="1" s="99">
      <c r="A1219" t="inlineStr">
        <is>
          <t>ZKAD28</t>
        </is>
      </c>
      <c r="B1219" t="inlineStr"/>
      <c r="D1219" t="inlineStr">
        <is>
          <t>无900</t>
        </is>
      </c>
      <c r="F1219">
        <f>_xlfn.XLOOKUP(A1219,'[1]4G Parameters'!$E:$E,'[1]4G Parameters'!$J:$J)</f>
        <v/>
      </c>
      <c r="G1219">
        <f>_xlfn.XLOOKUP(A1219,'[1]4G Parameters'!$E:$E,'[1]4G Parameters'!$I:$I)</f>
        <v/>
      </c>
      <c r="H1219" t="inlineStr">
        <is>
          <t>ZKAD28P</t>
        </is>
      </c>
      <c r="K1219" t="inlineStr">
        <is>
          <t>S1</t>
        </is>
      </c>
      <c r="L1219" t="inlineStr">
        <is>
          <t>2G</t>
        </is>
      </c>
      <c r="M1219" t="inlineStr">
        <is>
          <t>1800</t>
        </is>
      </c>
      <c r="N1219" t="inlineStr"/>
      <c r="O1219" t="n">
        <v>0</v>
      </c>
      <c r="P1219" t="n">
        <v>30</v>
      </c>
      <c r="Q1219" t="n">
        <v>2</v>
      </c>
      <c r="Y1219" t="inlineStr"/>
      <c r="AB1219" t="inlineStr">
        <is>
          <t>R9264H M901821</t>
        </is>
      </c>
      <c r="AC1219" t="inlineStr">
        <is>
          <t>A9652 S35*3+R9264H M901821*3+R9254E S8500*2</t>
        </is>
      </c>
    </row>
    <row r="1220" hidden="1" ht="15" customHeight="1" s="99">
      <c r="A1220" t="inlineStr">
        <is>
          <t>ZKAD28</t>
        </is>
      </c>
      <c r="B1220" t="inlineStr">
        <is>
          <t>ZKAD28_G0L00_Eldeniya2_IP_Kd</t>
        </is>
      </c>
      <c r="D1220" t="inlineStr">
        <is>
          <t>无900</t>
        </is>
      </c>
      <c r="F1220" t="n">
        <v>7.01066</v>
      </c>
      <c r="G1220" t="n">
        <v>79.9577</v>
      </c>
      <c r="H1220" t="inlineStr">
        <is>
          <t>ZKAD28G</t>
        </is>
      </c>
      <c r="K1220" t="inlineStr">
        <is>
          <t>S1</t>
        </is>
      </c>
      <c r="L1220" t="inlineStr">
        <is>
          <t>4G</t>
        </is>
      </c>
      <c r="M1220" t="inlineStr">
        <is>
          <t>1800</t>
        </is>
      </c>
      <c r="N1220" t="inlineStr">
        <is>
          <t>ATR4518R7v07</t>
        </is>
      </c>
      <c r="O1220" t="n">
        <v>60</v>
      </c>
      <c r="P1220" t="n">
        <v>30</v>
      </c>
      <c r="Q1220" t="n">
        <v>0</v>
      </c>
      <c r="Y1220" t="inlineStr">
        <is>
          <t>4T4R</t>
        </is>
      </c>
      <c r="AB1220" t="inlineStr">
        <is>
          <t>R9264H M901821</t>
        </is>
      </c>
      <c r="AC1220" t="inlineStr">
        <is>
          <t>A9652 S35*3+R9264H M901821*3+R9254E S8500*2</t>
        </is>
      </c>
    </row>
    <row r="1221" hidden="1" ht="15" customHeight="1" s="99">
      <c r="A1221" t="inlineStr">
        <is>
          <t>ZKAD28</t>
        </is>
      </c>
      <c r="B1221" t="inlineStr"/>
      <c r="D1221" t="inlineStr">
        <is>
          <t>无900</t>
        </is>
      </c>
      <c r="F1221">
        <f>_xlfn.XLOOKUP(A1221,'[1]4G Parameters'!$E:$E,'[1]4G Parameters'!$J:$J)</f>
        <v/>
      </c>
      <c r="G1221">
        <f>_xlfn.XLOOKUP(A1221,'[1]4G Parameters'!$E:$E,'[1]4G Parameters'!$I:$I)</f>
        <v/>
      </c>
      <c r="H1221" t="inlineStr">
        <is>
          <t>ZKAD28Q</t>
        </is>
      </c>
      <c r="K1221" t="inlineStr">
        <is>
          <t>S2</t>
        </is>
      </c>
      <c r="L1221" t="inlineStr">
        <is>
          <t>2G</t>
        </is>
      </c>
      <c r="M1221" t="inlineStr">
        <is>
          <t>1800</t>
        </is>
      </c>
      <c r="N1221" t="inlineStr"/>
      <c r="O1221" t="n">
        <v>0</v>
      </c>
      <c r="P1221" t="n">
        <v>145</v>
      </c>
      <c r="Q1221" t="n">
        <v>2</v>
      </c>
      <c r="Y1221" t="inlineStr"/>
      <c r="AB1221" t="inlineStr">
        <is>
          <t>R9264H M901821</t>
        </is>
      </c>
      <c r="AC1221" t="inlineStr">
        <is>
          <t>A9652 S35*3+R9264H M901821*3+R9254E S8500*2</t>
        </is>
      </c>
    </row>
    <row r="1222" hidden="1" ht="15" customHeight="1" s="99">
      <c r="A1222" t="inlineStr">
        <is>
          <t>ZKAD28</t>
        </is>
      </c>
      <c r="B1222" t="inlineStr">
        <is>
          <t>ZKAD28_G0L00_Eldeniya2_IP_Kd</t>
        </is>
      </c>
      <c r="D1222" t="inlineStr">
        <is>
          <t>无900</t>
        </is>
      </c>
      <c r="F1222" t="n">
        <v>7.01066</v>
      </c>
      <c r="G1222" t="n">
        <v>79.9577</v>
      </c>
      <c r="H1222" t="inlineStr">
        <is>
          <t>ZKAD28H</t>
        </is>
      </c>
      <c r="K1222" t="inlineStr">
        <is>
          <t>S2</t>
        </is>
      </c>
      <c r="L1222" t="inlineStr">
        <is>
          <t>4G</t>
        </is>
      </c>
      <c r="M1222" t="inlineStr">
        <is>
          <t>1800</t>
        </is>
      </c>
      <c r="N1222" t="inlineStr">
        <is>
          <t>ATR4518R7v07</t>
        </is>
      </c>
      <c r="O1222" t="n">
        <v>60</v>
      </c>
      <c r="P1222" t="n">
        <v>145</v>
      </c>
      <c r="Q1222" t="n">
        <v>0</v>
      </c>
      <c r="Y1222" t="inlineStr">
        <is>
          <t>4T4R</t>
        </is>
      </c>
      <c r="AB1222" t="inlineStr">
        <is>
          <t>R9264H M901821</t>
        </is>
      </c>
      <c r="AC1222" t="inlineStr">
        <is>
          <t>A9652 S35*3+R9264H M901821*3+R9254E S8500*2</t>
        </is>
      </c>
    </row>
    <row r="1223" hidden="1" ht="15" customHeight="1" s="99">
      <c r="A1223" t="inlineStr">
        <is>
          <t>ZKAD28</t>
        </is>
      </c>
      <c r="B1223" t="inlineStr"/>
      <c r="D1223" t="inlineStr">
        <is>
          <t>无900</t>
        </is>
      </c>
      <c r="F1223">
        <f>_xlfn.XLOOKUP(A1223,'[1]4G Parameters'!$E:$E,'[1]4G Parameters'!$J:$J)</f>
        <v/>
      </c>
      <c r="G1223">
        <f>_xlfn.XLOOKUP(A1223,'[1]4G Parameters'!$E:$E,'[1]4G Parameters'!$I:$I)</f>
        <v/>
      </c>
      <c r="H1223" t="inlineStr">
        <is>
          <t>ZKAD28R</t>
        </is>
      </c>
      <c r="K1223" t="inlineStr">
        <is>
          <t>S3</t>
        </is>
      </c>
      <c r="L1223" t="inlineStr">
        <is>
          <t>2G</t>
        </is>
      </c>
      <c r="M1223" t="inlineStr">
        <is>
          <t>1800</t>
        </is>
      </c>
      <c r="N1223" t="inlineStr"/>
      <c r="O1223" t="n">
        <v>0</v>
      </c>
      <c r="P1223" t="n">
        <v>270</v>
      </c>
      <c r="Q1223" t="n">
        <v>2</v>
      </c>
      <c r="Y1223" t="inlineStr"/>
      <c r="AB1223" t="inlineStr">
        <is>
          <t>R9264H M901821</t>
        </is>
      </c>
      <c r="AC1223" t="inlineStr">
        <is>
          <t>A9652 S35*3+R9264H M901821*3+R9254E S8500*2</t>
        </is>
      </c>
    </row>
    <row r="1224" hidden="1" ht="15" customHeight="1" s="99">
      <c r="A1224" t="inlineStr">
        <is>
          <t>ZKAD28</t>
        </is>
      </c>
      <c r="B1224" t="inlineStr">
        <is>
          <t>ZKAD28_G0L00_Eldeniya2_IP_Kd</t>
        </is>
      </c>
      <c r="D1224" t="inlineStr">
        <is>
          <t>无900</t>
        </is>
      </c>
      <c r="F1224" t="n">
        <v>7.01066</v>
      </c>
      <c r="G1224" t="n">
        <v>79.9577</v>
      </c>
      <c r="H1224" t="inlineStr">
        <is>
          <t>ZKAD28I</t>
        </is>
      </c>
      <c r="K1224" t="inlineStr">
        <is>
          <t>S3</t>
        </is>
      </c>
      <c r="L1224" t="inlineStr">
        <is>
          <t>4G</t>
        </is>
      </c>
      <c r="M1224" t="inlineStr">
        <is>
          <t>1800</t>
        </is>
      </c>
      <c r="N1224" t="inlineStr">
        <is>
          <t>ATR4518R7v07</t>
        </is>
      </c>
      <c r="O1224" t="n">
        <v>60</v>
      </c>
      <c r="P1224" t="n">
        <v>270</v>
      </c>
      <c r="Q1224" t="n">
        <v>0</v>
      </c>
      <c r="Y1224" t="inlineStr">
        <is>
          <t>4T4R</t>
        </is>
      </c>
      <c r="AB1224" t="inlineStr">
        <is>
          <t>R9264H M901821</t>
        </is>
      </c>
      <c r="AC1224" t="inlineStr">
        <is>
          <t>A9652 S35*3+R9264H M901821*3+R9254E S8500*2</t>
        </is>
      </c>
    </row>
    <row r="1225" hidden="1" ht="15" customHeight="1" s="99">
      <c r="A1225" t="inlineStr">
        <is>
          <t>ZKAD39</t>
        </is>
      </c>
      <c r="B1225" t="inlineStr"/>
      <c r="F1225">
        <f>_xlfn.XLOOKUP(A1225,'[1]4G Parameters'!$E:$E,'[1]4G Parameters'!$J:$J)</f>
        <v/>
      </c>
      <c r="G1225">
        <f>_xlfn.XLOOKUP(A1225,'[1]4G Parameters'!$E:$E,'[1]4G Parameters'!$I:$I)</f>
        <v/>
      </c>
      <c r="H1225" t="inlineStr">
        <is>
          <t>ZKAD39P</t>
        </is>
      </c>
      <c r="K1225" t="inlineStr">
        <is>
          <t>S1</t>
        </is>
      </c>
      <c r="L1225" t="inlineStr">
        <is>
          <t>2G</t>
        </is>
      </c>
      <c r="M1225" t="inlineStr">
        <is>
          <t>1800</t>
        </is>
      </c>
      <c r="N1225" t="inlineStr"/>
      <c r="O1225" t="n">
        <v>27</v>
      </c>
      <c r="P1225" t="n">
        <v>0</v>
      </c>
      <c r="Q1225" t="n">
        <v>2</v>
      </c>
      <c r="Y1225" t="inlineStr"/>
      <c r="AB1225" t="inlineStr">
        <is>
          <t>R9254E S1800</t>
        </is>
      </c>
      <c r="AC1225" t="inlineStr">
        <is>
          <t>R9254E S1800*3</t>
        </is>
      </c>
    </row>
    <row r="1226" hidden="1" ht="15" customHeight="1" s="99">
      <c r="A1226" t="inlineStr">
        <is>
          <t>ZKAD39</t>
        </is>
      </c>
      <c r="B1226" t="inlineStr">
        <is>
          <t>ZKAD39_G0L00_Eldeniya3_Kd</t>
        </is>
      </c>
      <c r="F1226" t="n">
        <v>7.007694</v>
      </c>
      <c r="G1226" t="n">
        <v>79.962778</v>
      </c>
      <c r="H1226" t="inlineStr">
        <is>
          <t>ZKAD39G</t>
        </is>
      </c>
      <c r="K1226" t="inlineStr">
        <is>
          <t>S1</t>
        </is>
      </c>
      <c r="L1226" t="inlineStr">
        <is>
          <t>4G</t>
        </is>
      </c>
      <c r="M1226" t="inlineStr">
        <is>
          <t>1800</t>
        </is>
      </c>
      <c r="N1226" t="inlineStr">
        <is>
          <t>ATR4518R7v07</t>
        </is>
      </c>
      <c r="O1226" t="n">
        <v>27</v>
      </c>
      <c r="P1226" t="n">
        <v>0</v>
      </c>
      <c r="Q1226" t="n">
        <v>0</v>
      </c>
      <c r="Y1226" t="inlineStr">
        <is>
          <t>4T4R</t>
        </is>
      </c>
      <c r="AB1226" t="inlineStr">
        <is>
          <t>R9254E S1800</t>
        </is>
      </c>
      <c r="AC1226" t="inlineStr">
        <is>
          <t>R9254E S1800*3</t>
        </is>
      </c>
    </row>
    <row r="1227" hidden="1" ht="15" customHeight="1" s="99">
      <c r="A1227" t="inlineStr">
        <is>
          <t>ZKAD39</t>
        </is>
      </c>
      <c r="B1227" t="inlineStr"/>
      <c r="F1227">
        <f>_xlfn.XLOOKUP(A1227,'[1]4G Parameters'!$E:$E,'[1]4G Parameters'!$J:$J)</f>
        <v/>
      </c>
      <c r="G1227">
        <f>_xlfn.XLOOKUP(A1227,'[1]4G Parameters'!$E:$E,'[1]4G Parameters'!$I:$I)</f>
        <v/>
      </c>
      <c r="H1227" t="inlineStr">
        <is>
          <t>ZKAD39Q</t>
        </is>
      </c>
      <c r="K1227" t="inlineStr">
        <is>
          <t>S2</t>
        </is>
      </c>
      <c r="L1227" t="inlineStr">
        <is>
          <t>2G</t>
        </is>
      </c>
      <c r="M1227" t="inlineStr">
        <is>
          <t>1800</t>
        </is>
      </c>
      <c r="N1227" t="inlineStr"/>
      <c r="O1227" t="n">
        <v>27</v>
      </c>
      <c r="P1227" t="n">
        <v>120</v>
      </c>
      <c r="Q1227" t="n">
        <v>2</v>
      </c>
      <c r="Y1227" t="inlineStr"/>
      <c r="AB1227" t="inlineStr">
        <is>
          <t>R9254E S1800</t>
        </is>
      </c>
      <c r="AC1227" t="inlineStr">
        <is>
          <t>R9254E S1800*3</t>
        </is>
      </c>
    </row>
    <row r="1228" hidden="1" ht="15" customHeight="1" s="99">
      <c r="A1228" t="inlineStr">
        <is>
          <t>ZKAD39</t>
        </is>
      </c>
      <c r="B1228" t="inlineStr">
        <is>
          <t>ZKAD39_G0L00_Eldeniya3_Kd</t>
        </is>
      </c>
      <c r="F1228" t="n">
        <v>7.007694</v>
      </c>
      <c r="G1228" t="n">
        <v>79.962778</v>
      </c>
      <c r="H1228" t="inlineStr">
        <is>
          <t>ZKAD39H</t>
        </is>
      </c>
      <c r="K1228" t="inlineStr">
        <is>
          <t>S2</t>
        </is>
      </c>
      <c r="L1228" t="inlineStr">
        <is>
          <t>4G</t>
        </is>
      </c>
      <c r="M1228" t="inlineStr">
        <is>
          <t>1800</t>
        </is>
      </c>
      <c r="N1228" t="inlineStr">
        <is>
          <t>ATR4518R7v07</t>
        </is>
      </c>
      <c r="O1228" t="n">
        <v>27</v>
      </c>
      <c r="P1228" t="n">
        <v>120</v>
      </c>
      <c r="Q1228" t="n">
        <v>0</v>
      </c>
      <c r="Y1228" t="inlineStr">
        <is>
          <t>4T4R</t>
        </is>
      </c>
      <c r="AB1228" t="inlineStr">
        <is>
          <t>R9254E S1800</t>
        </is>
      </c>
      <c r="AC1228" t="inlineStr">
        <is>
          <t>R9254E S1800*3</t>
        </is>
      </c>
    </row>
    <row r="1229" hidden="1" ht="15" customHeight="1" s="99">
      <c r="A1229" t="inlineStr">
        <is>
          <t>ZKAD39</t>
        </is>
      </c>
      <c r="B1229" t="inlineStr"/>
      <c r="F1229">
        <f>_xlfn.XLOOKUP(A1229,'[1]4G Parameters'!$E:$E,'[1]4G Parameters'!$J:$J)</f>
        <v/>
      </c>
      <c r="G1229">
        <f>_xlfn.XLOOKUP(A1229,'[1]4G Parameters'!$E:$E,'[1]4G Parameters'!$I:$I)</f>
        <v/>
      </c>
      <c r="H1229" t="inlineStr">
        <is>
          <t>ZKAD39R</t>
        </is>
      </c>
      <c r="K1229" t="inlineStr">
        <is>
          <t>S3</t>
        </is>
      </c>
      <c r="L1229" t="inlineStr">
        <is>
          <t>2G</t>
        </is>
      </c>
      <c r="M1229" t="inlineStr">
        <is>
          <t>1800</t>
        </is>
      </c>
      <c r="N1229" t="inlineStr"/>
      <c r="O1229" t="n">
        <v>27</v>
      </c>
      <c r="P1229" t="n">
        <v>240</v>
      </c>
      <c r="Q1229" t="n">
        <v>2</v>
      </c>
      <c r="Y1229" t="inlineStr"/>
      <c r="AB1229" t="inlineStr">
        <is>
          <t>R9254E S1800</t>
        </is>
      </c>
      <c r="AC1229" t="inlineStr">
        <is>
          <t>R9254E S1800*3</t>
        </is>
      </c>
    </row>
    <row r="1230" hidden="1" ht="15" customHeight="1" s="99">
      <c r="A1230" t="inlineStr">
        <is>
          <t>ZKAD39</t>
        </is>
      </c>
      <c r="B1230" t="inlineStr">
        <is>
          <t>ZKAD39_G0L00_Eldeniya3_Kd</t>
        </is>
      </c>
      <c r="F1230" t="n">
        <v>7.007694</v>
      </c>
      <c r="G1230" t="n">
        <v>79.962778</v>
      </c>
      <c r="H1230" t="inlineStr">
        <is>
          <t>ZKAD39I</t>
        </is>
      </c>
      <c r="K1230" t="inlineStr">
        <is>
          <t>S3</t>
        </is>
      </c>
      <c r="L1230" t="inlineStr">
        <is>
          <t>4G</t>
        </is>
      </c>
      <c r="M1230" t="inlineStr">
        <is>
          <t>1800</t>
        </is>
      </c>
      <c r="N1230" t="inlineStr">
        <is>
          <t>ATR4518R7v07</t>
        </is>
      </c>
      <c r="O1230" t="n">
        <v>27</v>
      </c>
      <c r="P1230" t="n">
        <v>240</v>
      </c>
      <c r="Q1230" t="n">
        <v>0</v>
      </c>
      <c r="Y1230" t="inlineStr">
        <is>
          <t>4T4R</t>
        </is>
      </c>
      <c r="AB1230" t="inlineStr">
        <is>
          <t>R9254E S1800</t>
        </is>
      </c>
      <c r="AC1230" t="inlineStr">
        <is>
          <t>R9254E S1800*3</t>
        </is>
      </c>
    </row>
    <row r="1231" hidden="1" ht="15" customHeight="1" s="99">
      <c r="A1231" t="inlineStr">
        <is>
          <t>ZKAD40</t>
        </is>
      </c>
      <c r="B1231" t="inlineStr">
        <is>
          <t>ZKAD40_0UL00_Gonahena3_Kd</t>
        </is>
      </c>
      <c r="D1231" t="inlineStr">
        <is>
          <t>换成S2100</t>
        </is>
      </c>
      <c r="F1231" t="n">
        <v>6.9988</v>
      </c>
      <c r="G1231" t="n">
        <v>79.9709</v>
      </c>
      <c r="H1231" t="inlineStr">
        <is>
          <t>ZKAD40-M-L21-A2</t>
        </is>
      </c>
      <c r="K1231" t="inlineStr">
        <is>
          <t>S1</t>
        </is>
      </c>
      <c r="L1231" t="inlineStr">
        <is>
          <t>4G</t>
        </is>
      </c>
      <c r="M1231" t="inlineStr">
        <is>
          <t>2100</t>
        </is>
      </c>
      <c r="N1231" t="inlineStr"/>
      <c r="O1231" t="n">
        <v>40</v>
      </c>
      <c r="P1231" t="n">
        <v>0</v>
      </c>
      <c r="Q1231" t="n">
        <v>0</v>
      </c>
      <c r="Y1231" t="inlineStr">
        <is>
          <t>2T2R</t>
        </is>
      </c>
      <c r="AB1231" t="inlineStr">
        <is>
          <t>？</t>
        </is>
      </c>
      <c r="AC1231" t="inlineStr">
        <is>
          <t>R9254E S1800*3</t>
        </is>
      </c>
    </row>
    <row r="1232" hidden="1" ht="15" customHeight="1" s="99">
      <c r="A1232" t="inlineStr">
        <is>
          <t>ZKAD40</t>
        </is>
      </c>
      <c r="B1232" t="inlineStr">
        <is>
          <t>ZKAD40_0UL00_Gonahena3_Kd</t>
        </is>
      </c>
      <c r="D1232" t="inlineStr">
        <is>
          <t>换成S2100</t>
        </is>
      </c>
      <c r="F1232" t="n">
        <v>6.9988</v>
      </c>
      <c r="G1232" t="n">
        <v>79.9709</v>
      </c>
      <c r="H1232" t="inlineStr">
        <is>
          <t>ZKAD40-M-L21-B2</t>
        </is>
      </c>
      <c r="K1232" t="inlineStr">
        <is>
          <t>S2</t>
        </is>
      </c>
      <c r="L1232" t="inlineStr">
        <is>
          <t>4G</t>
        </is>
      </c>
      <c r="M1232" t="inlineStr">
        <is>
          <t>2100</t>
        </is>
      </c>
      <c r="N1232" t="inlineStr"/>
      <c r="O1232" t="n">
        <v>40</v>
      </c>
      <c r="P1232" t="n">
        <v>90</v>
      </c>
      <c r="Q1232" t="n">
        <v>0</v>
      </c>
      <c r="Y1232" t="inlineStr">
        <is>
          <t>2T2R</t>
        </is>
      </c>
      <c r="AB1232" t="inlineStr">
        <is>
          <t>？</t>
        </is>
      </c>
      <c r="AC1232" t="inlineStr">
        <is>
          <t>R9254E S1800*3</t>
        </is>
      </c>
    </row>
    <row r="1233" hidden="1" ht="15" customHeight="1" s="99">
      <c r="A1233" t="inlineStr">
        <is>
          <t>ZKAD40</t>
        </is>
      </c>
      <c r="B1233" t="inlineStr">
        <is>
          <t>ZKAD40_0UL00_Gonahena3_Kd</t>
        </is>
      </c>
      <c r="D1233" t="inlineStr">
        <is>
          <t>换成S2100</t>
        </is>
      </c>
      <c r="F1233" t="n">
        <v>6.9988</v>
      </c>
      <c r="G1233" t="n">
        <v>79.9709</v>
      </c>
      <c r="H1233" t="inlineStr">
        <is>
          <t>ZKAD40-M-L21-C2</t>
        </is>
      </c>
      <c r="K1233" t="inlineStr">
        <is>
          <t>S3</t>
        </is>
      </c>
      <c r="L1233" t="inlineStr">
        <is>
          <t>4G</t>
        </is>
      </c>
      <c r="M1233" t="inlineStr">
        <is>
          <t>2100</t>
        </is>
      </c>
      <c r="N1233" t="inlineStr"/>
      <c r="O1233" t="n">
        <v>40</v>
      </c>
      <c r="P1233" t="n">
        <v>180</v>
      </c>
      <c r="Q1233" t="n">
        <v>0</v>
      </c>
      <c r="Y1233" t="inlineStr">
        <is>
          <t>2T2R</t>
        </is>
      </c>
      <c r="AB1233" t="inlineStr">
        <is>
          <t>？</t>
        </is>
      </c>
      <c r="AC1233" t="inlineStr">
        <is>
          <t>R9254E S1800*3</t>
        </is>
      </c>
    </row>
    <row r="1234" hidden="1" ht="15" customHeight="1" s="99">
      <c r="A1234" t="inlineStr">
        <is>
          <t>ZKEL03</t>
        </is>
      </c>
      <c r="B1234" t="inlineStr">
        <is>
          <t>ZKEL03_GULM0_GUL_Kelaniya_Dialog_TXD_Kd</t>
        </is>
      </c>
      <c r="F1234" t="n">
        <v>6.95766</v>
      </c>
      <c r="G1234" t="n">
        <v>79.9156</v>
      </c>
      <c r="H1234" t="inlineStr">
        <is>
          <t>ZKEL03E</t>
        </is>
      </c>
      <c r="K1234" t="inlineStr">
        <is>
          <t>S2</t>
        </is>
      </c>
      <c r="L1234" t="inlineStr">
        <is>
          <t>4G</t>
        </is>
      </c>
      <c r="M1234" t="inlineStr">
        <is>
          <t>1800</t>
        </is>
      </c>
      <c r="N1234" t="inlineStr">
        <is>
          <t>AMB4519R6v06</t>
        </is>
      </c>
      <c r="O1234" t="n">
        <v>50</v>
      </c>
      <c r="P1234" t="n">
        <v>140</v>
      </c>
      <c r="Q1234" t="n">
        <v>0</v>
      </c>
      <c r="Y1234" t="inlineStr">
        <is>
          <t>4T4R</t>
        </is>
      </c>
      <c r="AB1234" t="inlineStr">
        <is>
          <t>R9264 M1821N</t>
        </is>
      </c>
      <c r="AC1234" t="inlineStr">
        <is>
          <t>A9652 S35*3+R9264H M901821*3+R9254E S8500*2+R9264 M1821N*3</t>
        </is>
      </c>
    </row>
    <row r="1235" hidden="1" ht="15" customHeight="1" s="99">
      <c r="A1235" t="inlineStr">
        <is>
          <t>ZKEL03</t>
        </is>
      </c>
      <c r="B1235" t="inlineStr"/>
      <c r="F1235">
        <f>_xlfn.XLOOKUP(A1235,'[1]4G Parameters'!$E:$E,'[1]4G Parameters'!$J:$J)</f>
        <v/>
      </c>
      <c r="G1235">
        <f>_xlfn.XLOOKUP(A1235,'[1]4G Parameters'!$E:$E,'[1]4G Parameters'!$I:$I)</f>
        <v/>
      </c>
      <c r="H1235" t="inlineStr">
        <is>
          <t>ZKEL03A</t>
        </is>
      </c>
      <c r="K1235" t="inlineStr">
        <is>
          <t>S1</t>
        </is>
      </c>
      <c r="L1235" t="inlineStr">
        <is>
          <t>2G</t>
        </is>
      </c>
      <c r="M1235" t="inlineStr">
        <is>
          <t>900</t>
        </is>
      </c>
      <c r="N1235" t="inlineStr"/>
      <c r="O1235" t="n">
        <v>50</v>
      </c>
      <c r="P1235" t="n">
        <v>0</v>
      </c>
      <c r="Q1235" t="n">
        <v>2</v>
      </c>
      <c r="Y1235" t="inlineStr"/>
      <c r="AB1235" t="inlineStr">
        <is>
          <t>R9264H M901821</t>
        </is>
      </c>
      <c r="AC1235" t="inlineStr">
        <is>
          <t>A9652 S35*3+R9264H M901821*3+R9254E S8500*2+R9264 M1821N*3</t>
        </is>
      </c>
    </row>
    <row r="1236" hidden="1" ht="15" customHeight="1" s="99">
      <c r="A1236" t="inlineStr">
        <is>
          <t>ZKEL03</t>
        </is>
      </c>
      <c r="B1236" t="inlineStr">
        <is>
          <t>ZKEL03_GULM0_GUL_Kelaniya_Dialog_TXD_Kd</t>
        </is>
      </c>
      <c r="F1236" t="n">
        <v>6.95766</v>
      </c>
      <c r="G1236" t="n">
        <v>79.9156</v>
      </c>
      <c r="H1236" t="inlineStr">
        <is>
          <t>ZKEL03-M-L85-A1</t>
        </is>
      </c>
      <c r="K1236" t="inlineStr">
        <is>
          <t>S1</t>
        </is>
      </c>
      <c r="L1236" t="inlineStr">
        <is>
          <t>4G</t>
        </is>
      </c>
      <c r="M1236" t="inlineStr">
        <is>
          <t>850</t>
        </is>
      </c>
      <c r="N1236" t="inlineStr">
        <is>
          <t>AQU4518R9v06</t>
        </is>
      </c>
      <c r="O1236" t="n">
        <v>50</v>
      </c>
      <c r="P1236" t="n">
        <v>0</v>
      </c>
      <c r="Q1236" t="n">
        <v>0</v>
      </c>
      <c r="Y1236" t="inlineStr">
        <is>
          <t>2T2R</t>
        </is>
      </c>
      <c r="AB1236" t="inlineStr">
        <is>
          <t>R9254E S1800</t>
        </is>
      </c>
      <c r="AC1236" t="inlineStr">
        <is>
          <t>A9652 S35*3+R9264H M901821*3+R9254E S8500*2+R9264 M1821N*3</t>
        </is>
      </c>
    </row>
    <row r="1237" hidden="1" ht="15" customHeight="1" s="99">
      <c r="A1237" t="inlineStr">
        <is>
          <t>ZKEL03</t>
        </is>
      </c>
      <c r="B1237" t="inlineStr">
        <is>
          <t>ZKEL03_GULM0_GUL_Kelaniya_Dialog_TXD_Kd</t>
        </is>
      </c>
      <c r="F1237" t="n">
        <v>6.95766</v>
      </c>
      <c r="G1237" t="n">
        <v>79.9156</v>
      </c>
      <c r="H1237" t="inlineStr">
        <is>
          <t>ZKEL03-M-L21-A2</t>
        </is>
      </c>
      <c r="K1237" t="inlineStr">
        <is>
          <t>S1</t>
        </is>
      </c>
      <c r="L1237" t="inlineStr">
        <is>
          <t>4G</t>
        </is>
      </c>
      <c r="M1237" t="inlineStr">
        <is>
          <t>2100</t>
        </is>
      </c>
      <c r="N1237" t="inlineStr">
        <is>
          <t>AQU4518R9v06</t>
        </is>
      </c>
      <c r="O1237" t="n">
        <v>50</v>
      </c>
      <c r="P1237" t="n">
        <v>0</v>
      </c>
      <c r="Q1237" t="n">
        <v>0</v>
      </c>
      <c r="Y1237" t="inlineStr">
        <is>
          <t>2T2R</t>
        </is>
      </c>
      <c r="AB1237" t="inlineStr">
        <is>
          <t>R9264H M901821</t>
        </is>
      </c>
      <c r="AC1237" t="inlineStr">
        <is>
          <t>A9652 S35*3+R9264H M901821*3+R9254E S8500*2+R9264 M1821N*3</t>
        </is>
      </c>
    </row>
    <row r="1238" hidden="1" ht="15" customHeight="1" s="99">
      <c r="AB1238" t="inlineStr">
        <is>
          <t>R9264 M1821N</t>
        </is>
      </c>
    </row>
    <row r="1239" hidden="1" ht="15" customHeight="1" s="99">
      <c r="A1239" t="inlineStr">
        <is>
          <t>ZKEL03</t>
        </is>
      </c>
      <c r="B1239" t="inlineStr">
        <is>
          <t>ZKEL03_GULM0_GUL_Kelaniya_Dialog_TXD_Kd</t>
        </is>
      </c>
      <c r="F1239" t="n">
        <v>6.95766</v>
      </c>
      <c r="G1239" t="n">
        <v>79.9156</v>
      </c>
      <c r="H1239" t="inlineStr">
        <is>
          <t>ZKEL03-M-L18-G1</t>
        </is>
      </c>
      <c r="K1239" t="inlineStr">
        <is>
          <t>S1</t>
        </is>
      </c>
      <c r="L1239" t="inlineStr">
        <is>
          <t>4G</t>
        </is>
      </c>
      <c r="M1239" t="inlineStr">
        <is>
          <t>1800</t>
        </is>
      </c>
      <c r="N1239" t="inlineStr">
        <is>
          <t>AMB4519R6v06</t>
        </is>
      </c>
      <c r="O1239" t="n">
        <v>50</v>
      </c>
      <c r="P1239" t="n">
        <v>0</v>
      </c>
      <c r="Q1239" t="n">
        <v>0</v>
      </c>
      <c r="Y1239" t="inlineStr">
        <is>
          <t>4T4R</t>
        </is>
      </c>
      <c r="AB1239" t="inlineStr">
        <is>
          <t>R9264H M901821</t>
        </is>
      </c>
      <c r="AC1239" t="inlineStr">
        <is>
          <t>A9652 S35*3+R9264H M901821*3+R9254E S8500*2+R9264 M1821N*3</t>
        </is>
      </c>
    </row>
    <row r="1240" hidden="1" ht="15" customHeight="1" s="99">
      <c r="A1240" t="inlineStr">
        <is>
          <t>ZKEL03</t>
        </is>
      </c>
      <c r="B1240" t="inlineStr">
        <is>
          <t>ZKEL03_GULM0_GUL_Kelaniya_Dialog_TXD_Kd</t>
        </is>
      </c>
      <c r="F1240" t="n">
        <v>6.95766</v>
      </c>
      <c r="G1240" t="n">
        <v>79.9156</v>
      </c>
      <c r="H1240" t="inlineStr">
        <is>
          <t>ZKEL03G</t>
        </is>
      </c>
      <c r="K1240" t="inlineStr">
        <is>
          <t>S1</t>
        </is>
      </c>
      <c r="L1240" t="inlineStr">
        <is>
          <t>4G</t>
        </is>
      </c>
      <c r="M1240" t="inlineStr">
        <is>
          <t>1800</t>
        </is>
      </c>
      <c r="N1240" t="inlineStr">
        <is>
          <t>AMB4519R6v06</t>
        </is>
      </c>
      <c r="O1240" t="n">
        <v>50</v>
      </c>
      <c r="P1240" t="n">
        <v>0</v>
      </c>
      <c r="Q1240" t="n">
        <v>0</v>
      </c>
      <c r="Y1240" t="inlineStr">
        <is>
          <t>4T4R</t>
        </is>
      </c>
      <c r="AB1240" t="inlineStr">
        <is>
          <t>R9264 M1821N</t>
        </is>
      </c>
      <c r="AC1240" t="inlineStr">
        <is>
          <t>A9652 S35*3+R9264H M901821*3+R9254E S8500*2+R9264 M1821N*3</t>
        </is>
      </c>
    </row>
    <row r="1241" hidden="1" ht="15" customHeight="1" s="99">
      <c r="A1241" t="inlineStr">
        <is>
          <t>ZKEL03</t>
        </is>
      </c>
      <c r="B1241" t="inlineStr"/>
      <c r="F1241">
        <f>_xlfn.XLOOKUP(A1241,'[1]4G Parameters'!$E:$E,'[1]4G Parameters'!$J:$J)</f>
        <v/>
      </c>
      <c r="G1241">
        <f>_xlfn.XLOOKUP(A1241,'[1]4G Parameters'!$E:$E,'[1]4G Parameters'!$I:$I)</f>
        <v/>
      </c>
      <c r="H1241" t="inlineStr">
        <is>
          <t>ZKEL03B</t>
        </is>
      </c>
      <c r="K1241" t="inlineStr">
        <is>
          <t>S2</t>
        </is>
      </c>
      <c r="L1241" t="inlineStr">
        <is>
          <t>2G</t>
        </is>
      </c>
      <c r="M1241" t="inlineStr">
        <is>
          <t>900</t>
        </is>
      </c>
      <c r="N1241" t="inlineStr"/>
      <c r="O1241" t="n">
        <v>50</v>
      </c>
      <c r="P1241" t="n">
        <v>140</v>
      </c>
      <c r="Q1241" t="n">
        <v>2</v>
      </c>
      <c r="Y1241" t="inlineStr"/>
      <c r="AB1241" t="inlineStr">
        <is>
          <t>R9264H M901821</t>
        </is>
      </c>
      <c r="AC1241" t="inlineStr">
        <is>
          <t>A9652 S35*3+R9264H M901821*3+R9254E S8500*2+R9264 M1821N*3</t>
        </is>
      </c>
    </row>
    <row r="1242" hidden="1" ht="15" customHeight="1" s="99">
      <c r="A1242" t="inlineStr">
        <is>
          <t>ZKEL03</t>
        </is>
      </c>
      <c r="B1242" t="inlineStr"/>
      <c r="F1242">
        <f>_xlfn.XLOOKUP(A1242,'[1]4G Parameters'!$E:$E,'[1]4G Parameters'!$J:$J)</f>
        <v/>
      </c>
      <c r="G1242">
        <f>_xlfn.XLOOKUP(A1242,'[1]4G Parameters'!$E:$E,'[1]4G Parameters'!$I:$I)</f>
        <v/>
      </c>
      <c r="H1242" t="inlineStr">
        <is>
          <t>ZKEL03S</t>
        </is>
      </c>
      <c r="K1242" t="inlineStr">
        <is>
          <t>S2</t>
        </is>
      </c>
      <c r="L1242" t="inlineStr">
        <is>
          <t>2G</t>
        </is>
      </c>
      <c r="M1242" t="inlineStr">
        <is>
          <t>1800</t>
        </is>
      </c>
      <c r="N1242" t="inlineStr"/>
      <c r="O1242" t="n">
        <v>50</v>
      </c>
      <c r="P1242" t="n">
        <v>140</v>
      </c>
      <c r="Q1242" t="n">
        <v>2</v>
      </c>
      <c r="Y1242" t="inlineStr"/>
      <c r="AB1242" t="inlineStr">
        <is>
          <t>R9264H M901821</t>
        </is>
      </c>
      <c r="AC1242" t="inlineStr">
        <is>
          <t>A9652 S35*3+R9264H M901821*3+R9254E S8500*2+R9264 M1821N*3</t>
        </is>
      </c>
    </row>
    <row r="1243" hidden="1" ht="15" customHeight="1" s="99">
      <c r="A1243" t="inlineStr">
        <is>
          <t>ZKEL03</t>
        </is>
      </c>
      <c r="B1243" t="inlineStr"/>
      <c r="F1243">
        <f>_xlfn.XLOOKUP(A1243,'[1]4G Parameters'!$E:$E,'[1]4G Parameters'!$J:$J)</f>
        <v/>
      </c>
      <c r="G1243">
        <f>_xlfn.XLOOKUP(A1243,'[1]4G Parameters'!$E:$E,'[1]4G Parameters'!$I:$I)</f>
        <v/>
      </c>
      <c r="H1243" t="inlineStr">
        <is>
          <t>ZKEL03T</t>
        </is>
      </c>
      <c r="K1243" t="inlineStr">
        <is>
          <t>S2</t>
        </is>
      </c>
      <c r="L1243" t="inlineStr">
        <is>
          <t>2G</t>
        </is>
      </c>
      <c r="M1243" t="inlineStr">
        <is>
          <t>1800</t>
        </is>
      </c>
      <c r="N1243" t="inlineStr"/>
      <c r="O1243" t="n">
        <v>50</v>
      </c>
      <c r="P1243" t="n">
        <v>140</v>
      </c>
      <c r="Q1243" t="n">
        <v>2</v>
      </c>
      <c r="Y1243" t="inlineStr"/>
      <c r="AB1243" t="inlineStr">
        <is>
          <t>R9264 M1821N</t>
        </is>
      </c>
      <c r="AC1243" t="inlineStr">
        <is>
          <t>A9652 S35*3+R9264H M901821*3+R9254E S8500*2+R9264 M1821N*3</t>
        </is>
      </c>
    </row>
    <row r="1244" hidden="1" ht="15" customHeight="1" s="99">
      <c r="A1244" t="inlineStr">
        <is>
          <t>ZKEL03</t>
        </is>
      </c>
      <c r="B1244" t="inlineStr">
        <is>
          <t>ZKEL03_GULM0_GUL_Kelaniya_Dialog_TXD_Kd</t>
        </is>
      </c>
      <c r="F1244" t="n">
        <v>6.95766</v>
      </c>
      <c r="G1244" t="n">
        <v>79.9156</v>
      </c>
      <c r="H1244" t="inlineStr">
        <is>
          <t>ZKEL03-M-L85-B1</t>
        </is>
      </c>
      <c r="K1244" t="inlineStr">
        <is>
          <t>S2</t>
        </is>
      </c>
      <c r="L1244" t="inlineStr">
        <is>
          <t>4G</t>
        </is>
      </c>
      <c r="M1244" t="inlineStr">
        <is>
          <t>850</t>
        </is>
      </c>
      <c r="N1244" t="inlineStr">
        <is>
          <t>AQU4518R9v06</t>
        </is>
      </c>
      <c r="O1244" t="n">
        <v>50</v>
      </c>
      <c r="P1244" t="n">
        <v>140</v>
      </c>
      <c r="Q1244" t="n">
        <v>0</v>
      </c>
      <c r="Y1244" t="inlineStr">
        <is>
          <t>2T2R</t>
        </is>
      </c>
      <c r="AB1244" t="inlineStr">
        <is>
          <t>R9254E S1800</t>
        </is>
      </c>
      <c r="AC1244" t="inlineStr">
        <is>
          <t>A9652 S35*3+R9264H M901821*3+R9254E S8500*2+R9264 M1821N*3</t>
        </is>
      </c>
    </row>
    <row r="1245" hidden="1" ht="15" customHeight="1" s="99">
      <c r="A1245" t="inlineStr">
        <is>
          <t>ZKEL03</t>
        </is>
      </c>
      <c r="B1245" t="inlineStr">
        <is>
          <t>ZKEL03_GULM0_GUL_Kelaniya_Dialog_TXD_Kd</t>
        </is>
      </c>
      <c r="F1245" t="n">
        <v>6.95766</v>
      </c>
      <c r="G1245" t="n">
        <v>79.9156</v>
      </c>
      <c r="H1245" t="inlineStr">
        <is>
          <t>ZKEL03-M-L21-B2</t>
        </is>
      </c>
      <c r="K1245" t="inlineStr">
        <is>
          <t>S2</t>
        </is>
      </c>
      <c r="L1245" t="inlineStr">
        <is>
          <t>4G</t>
        </is>
      </c>
      <c r="M1245" t="inlineStr">
        <is>
          <t>2100</t>
        </is>
      </c>
      <c r="N1245" t="inlineStr">
        <is>
          <t>AQU4518R9v06</t>
        </is>
      </c>
      <c r="O1245" t="n">
        <v>50</v>
      </c>
      <c r="P1245" t="n">
        <v>140</v>
      </c>
      <c r="Q1245" t="n">
        <v>0</v>
      </c>
      <c r="Y1245" t="inlineStr">
        <is>
          <t>4T4R</t>
        </is>
      </c>
      <c r="AB1245" t="inlineStr">
        <is>
          <t>R9264H M901821</t>
        </is>
      </c>
      <c r="AC1245" t="inlineStr">
        <is>
          <t>A9652 S35*3+R9264H M901821*3+R9254E S8500*2+R9264 M1821N*3</t>
        </is>
      </c>
    </row>
    <row r="1246" hidden="1" ht="15" customHeight="1" s="99">
      <c r="AB1246" t="inlineStr">
        <is>
          <t>R9264 M1821N</t>
        </is>
      </c>
    </row>
    <row r="1247" hidden="1" ht="15" customHeight="1" s="99">
      <c r="A1247" t="inlineStr">
        <is>
          <t>ZKEL03</t>
        </is>
      </c>
      <c r="B1247" t="inlineStr">
        <is>
          <t>ZKEL03_GULM0_GUL_Kelaniya_Dialog_TXD_Kd</t>
        </is>
      </c>
      <c r="F1247" t="n">
        <v>6.95766</v>
      </c>
      <c r="G1247" t="n">
        <v>79.9156</v>
      </c>
      <c r="H1247" t="inlineStr">
        <is>
          <t>ZKEL03H</t>
        </is>
      </c>
      <c r="K1247" t="inlineStr">
        <is>
          <t>S2</t>
        </is>
      </c>
      <c r="L1247" t="inlineStr">
        <is>
          <t>4G</t>
        </is>
      </c>
      <c r="M1247" t="inlineStr">
        <is>
          <t>1800</t>
        </is>
      </c>
      <c r="N1247" t="inlineStr">
        <is>
          <t>AQU4518R9v06</t>
        </is>
      </c>
      <c r="O1247" t="n">
        <v>50</v>
      </c>
      <c r="P1247" t="n">
        <v>140</v>
      </c>
      <c r="Q1247" t="n">
        <v>0</v>
      </c>
      <c r="Y1247" t="inlineStr">
        <is>
          <t>4T4R</t>
        </is>
      </c>
      <c r="AB1247" t="inlineStr">
        <is>
          <t>R9264H M901821</t>
        </is>
      </c>
      <c r="AC1247" t="inlineStr">
        <is>
          <t>A9652 S35*3+R9264H M901821*3+R9254E S8500*2+R9264 M1821N*3</t>
        </is>
      </c>
    </row>
    <row r="1248" hidden="1" ht="15" customHeight="1" s="99">
      <c r="AB1248" t="inlineStr">
        <is>
          <t>R9264 M1821N</t>
        </is>
      </c>
    </row>
    <row r="1249" hidden="1" ht="15" customHeight="1" s="99">
      <c r="A1249" t="inlineStr">
        <is>
          <t>ZKEL03</t>
        </is>
      </c>
      <c r="B1249" t="inlineStr"/>
      <c r="F1249">
        <f>_xlfn.XLOOKUP(A1249,'[1]4G Parameters'!$E:$E,'[1]4G Parameters'!$J:$J)</f>
        <v/>
      </c>
      <c r="G1249">
        <f>_xlfn.XLOOKUP(A1249,'[1]4G Parameters'!$E:$E,'[1]4G Parameters'!$I:$I)</f>
        <v/>
      </c>
      <c r="H1249" t="inlineStr">
        <is>
          <t>ZKEL03C</t>
        </is>
      </c>
      <c r="K1249" t="inlineStr">
        <is>
          <t>S3</t>
        </is>
      </c>
      <c r="L1249" t="inlineStr">
        <is>
          <t>2G</t>
        </is>
      </c>
      <c r="M1249" t="inlineStr">
        <is>
          <t>900</t>
        </is>
      </c>
      <c r="N1249" t="inlineStr"/>
      <c r="O1249" t="n">
        <v>0</v>
      </c>
      <c r="P1249" t="n">
        <v>240</v>
      </c>
      <c r="Q1249" t="n">
        <v>2</v>
      </c>
      <c r="Y1249" t="inlineStr"/>
      <c r="AB1249" t="inlineStr">
        <is>
          <t>R9264H M901821</t>
        </is>
      </c>
      <c r="AC1249" t="inlineStr">
        <is>
          <t>A9652 S35*3+R9264H M901821*3+R9254E S8500*2+R9264 M1821N*3</t>
        </is>
      </c>
    </row>
    <row r="1250" hidden="1" ht="15" customHeight="1" s="99">
      <c r="A1250" t="inlineStr">
        <is>
          <t>ZKEL03</t>
        </is>
      </c>
      <c r="B1250" t="inlineStr">
        <is>
          <t>ZKEL03_GULM0_GUL_Kelaniya_Dialog_TXD_Kd</t>
        </is>
      </c>
      <c r="F1250" t="n">
        <v>6.95766</v>
      </c>
      <c r="G1250" t="n">
        <v>79.9156</v>
      </c>
      <c r="H1250" t="inlineStr">
        <is>
          <t>ZKEL03-M-L85-C1</t>
        </is>
      </c>
      <c r="K1250" t="inlineStr">
        <is>
          <t>S3</t>
        </is>
      </c>
      <c r="L1250" t="inlineStr">
        <is>
          <t>4G</t>
        </is>
      </c>
      <c r="M1250" t="inlineStr">
        <is>
          <t>850</t>
        </is>
      </c>
      <c r="N1250" t="inlineStr">
        <is>
          <t>AQU4518R9v06</t>
        </is>
      </c>
      <c r="O1250" t="n">
        <v>50</v>
      </c>
      <c r="P1250" t="n">
        <v>240</v>
      </c>
      <c r="Q1250" t="n">
        <v>0</v>
      </c>
      <c r="Y1250" t="inlineStr">
        <is>
          <t>2T2R</t>
        </is>
      </c>
      <c r="AB1250" t="inlineStr">
        <is>
          <t>R9254E S1800</t>
        </is>
      </c>
      <c r="AC1250" t="inlineStr">
        <is>
          <t>A9652 S35*3+R9264H M901821*3+R9254E S8500*2+R9264 M1821N*3</t>
        </is>
      </c>
    </row>
    <row r="1251" hidden="1" ht="15" customHeight="1" s="99">
      <c r="A1251" t="inlineStr">
        <is>
          <t>ZKEL03</t>
        </is>
      </c>
      <c r="B1251" t="inlineStr">
        <is>
          <t>ZKEL03_GULM0_GUL_Kelaniya_Dialog_TXD_Kd</t>
        </is>
      </c>
      <c r="F1251" t="n">
        <v>6.95766</v>
      </c>
      <c r="G1251" t="n">
        <v>79.9156</v>
      </c>
      <c r="H1251" t="inlineStr">
        <is>
          <t>ZKEL03-M-L21-C2</t>
        </is>
      </c>
      <c r="K1251" t="inlineStr">
        <is>
          <t>S3</t>
        </is>
      </c>
      <c r="L1251" t="inlineStr">
        <is>
          <t>4G</t>
        </is>
      </c>
      <c r="M1251" t="inlineStr">
        <is>
          <t>2100</t>
        </is>
      </c>
      <c r="N1251" t="inlineStr">
        <is>
          <t>AQU4518R9v06</t>
        </is>
      </c>
      <c r="O1251" t="n">
        <v>50</v>
      </c>
      <c r="P1251" t="n">
        <v>240</v>
      </c>
      <c r="Q1251" t="n">
        <v>0</v>
      </c>
      <c r="Y1251" t="inlineStr">
        <is>
          <t>2T2R</t>
        </is>
      </c>
      <c r="AB1251" t="inlineStr">
        <is>
          <t>R9264H M901821</t>
        </is>
      </c>
      <c r="AC1251" t="inlineStr">
        <is>
          <t>A9652 S35*3+R9264H M901821*3+R9254E S8500*2+R9264 M1821N*3</t>
        </is>
      </c>
    </row>
    <row r="1252" hidden="1" ht="15" customHeight="1" s="99">
      <c r="A1252" t="inlineStr">
        <is>
          <t>ZKEL03</t>
        </is>
      </c>
      <c r="B1252" t="inlineStr">
        <is>
          <t>ZKEL03_GULM0_GUL_Kelaniya_Dialog_TXD_Kd</t>
        </is>
      </c>
      <c r="F1252" t="n">
        <v>6.95766</v>
      </c>
      <c r="G1252" t="n">
        <v>79.9156</v>
      </c>
      <c r="H1252" t="inlineStr">
        <is>
          <t>ZKEL03I</t>
        </is>
      </c>
      <c r="K1252" t="inlineStr">
        <is>
          <t>S3</t>
        </is>
      </c>
      <c r="L1252" t="inlineStr">
        <is>
          <t>4G</t>
        </is>
      </c>
      <c r="M1252" t="inlineStr">
        <is>
          <t>1800</t>
        </is>
      </c>
      <c r="N1252" t="inlineStr">
        <is>
          <t>AQU4518R9v06</t>
        </is>
      </c>
      <c r="O1252" t="n">
        <v>50</v>
      </c>
      <c r="P1252" t="n">
        <v>240</v>
      </c>
      <c r="Q1252" t="n">
        <v>0</v>
      </c>
      <c r="Y1252" t="inlineStr">
        <is>
          <t>4T4R</t>
        </is>
      </c>
      <c r="AB1252" t="inlineStr">
        <is>
          <t>R9264H M901821</t>
        </is>
      </c>
      <c r="AC1252" t="inlineStr">
        <is>
          <t>A9652 S35*3+R9264H M901821*3+R9254E S8500*2+R9264 M1821N*3</t>
        </is>
      </c>
    </row>
    <row r="1253" hidden="1" ht="15" customHeight="1" s="99">
      <c r="A1253" t="inlineStr">
        <is>
          <t>ZKEL03</t>
        </is>
      </c>
      <c r="B1253" t="inlineStr">
        <is>
          <t>ZKEL03_GULM0_GUL_Kelaniya_Dialog_TXD_Kd</t>
        </is>
      </c>
      <c r="F1253" t="n">
        <v>6.95766</v>
      </c>
      <c r="G1253" t="n">
        <v>79.9156</v>
      </c>
      <c r="H1253" t="inlineStr">
        <is>
          <t>ZKEL03F</t>
        </is>
      </c>
      <c r="K1253" t="inlineStr">
        <is>
          <t>S4</t>
        </is>
      </c>
      <c r="L1253" t="inlineStr">
        <is>
          <t>4G</t>
        </is>
      </c>
      <c r="M1253" t="inlineStr">
        <is>
          <t>1800</t>
        </is>
      </c>
      <c r="N1253" t="inlineStr">
        <is>
          <t>AMB4519R6v06</t>
        </is>
      </c>
      <c r="O1253" t="n">
        <v>50</v>
      </c>
      <c r="P1253" t="n">
        <v>140</v>
      </c>
      <c r="Q1253" t="n">
        <v>0</v>
      </c>
      <c r="Y1253" t="inlineStr">
        <is>
          <t>4T4R</t>
        </is>
      </c>
      <c r="AB1253" t="inlineStr">
        <is>
          <t>R9264H M901821</t>
        </is>
      </c>
      <c r="AC1253" t="inlineStr">
        <is>
          <t>A9652 S35*3+R9264H M901821*3+R9254E S8500*2+R9264 M1821N*3</t>
        </is>
      </c>
    </row>
    <row r="1254" hidden="1" ht="15" customHeight="1" s="99">
      <c r="A1254" t="inlineStr">
        <is>
          <t>ZKEL04</t>
        </is>
      </c>
      <c r="B1254" t="inlineStr"/>
      <c r="F1254">
        <f>_xlfn.XLOOKUP(A1254,'[1]4G Parameters'!$E:$E,'[1]4G Parameters'!$J:$J)</f>
        <v/>
      </c>
      <c r="G1254">
        <f>_xlfn.XLOOKUP(A1254,'[1]4G Parameters'!$E:$E,'[1]4G Parameters'!$I:$I)</f>
        <v/>
      </c>
      <c r="H1254" t="inlineStr">
        <is>
          <t>ZKEL04P</t>
        </is>
      </c>
      <c r="K1254" t="inlineStr">
        <is>
          <t>S1</t>
        </is>
      </c>
      <c r="L1254" t="inlineStr">
        <is>
          <t>2G</t>
        </is>
      </c>
      <c r="M1254" t="inlineStr">
        <is>
          <t>1800</t>
        </is>
      </c>
      <c r="N1254" t="inlineStr"/>
      <c r="O1254" t="n">
        <v>24</v>
      </c>
      <c r="P1254" t="n">
        <v>0</v>
      </c>
      <c r="Q1254" t="n">
        <v>2</v>
      </c>
      <c r="Y1254" t="inlineStr"/>
      <c r="AB1254" t="inlineStr">
        <is>
          <t>R9264 M1821N</t>
        </is>
      </c>
      <c r="AC1254" t="inlineStr">
        <is>
          <t>A9652 S35*3+R9264 M1821N*3</t>
        </is>
      </c>
    </row>
    <row r="1255" hidden="1" ht="15" customHeight="1" s="99">
      <c r="A1255" t="inlineStr">
        <is>
          <t>ZKEL04</t>
        </is>
      </c>
      <c r="B1255" t="inlineStr">
        <is>
          <t>ZKEL04_GUL00_Dalugama_Kelaniya_Kd</t>
        </is>
      </c>
      <c r="F1255" t="n">
        <v>6.96744</v>
      </c>
      <c r="G1255" t="n">
        <v>79.9083</v>
      </c>
      <c r="H1255" t="inlineStr">
        <is>
          <t>ZKEL04-M-L21-A2</t>
        </is>
      </c>
      <c r="K1255" t="inlineStr">
        <is>
          <t>S1</t>
        </is>
      </c>
      <c r="L1255" t="inlineStr">
        <is>
          <t>4G</t>
        </is>
      </c>
      <c r="M1255" t="inlineStr">
        <is>
          <t>2100</t>
        </is>
      </c>
      <c r="N1255" t="inlineStr">
        <is>
          <t>AQU4518R9v06</t>
        </is>
      </c>
      <c r="O1255" t="n">
        <v>10</v>
      </c>
      <c r="P1255" t="n">
        <v>0</v>
      </c>
      <c r="Q1255" t="n">
        <v>0</v>
      </c>
      <c r="Y1255" t="inlineStr">
        <is>
          <t>2T2R</t>
        </is>
      </c>
      <c r="AB1255" t="inlineStr">
        <is>
          <t>R9264 M1821N</t>
        </is>
      </c>
      <c r="AC1255" t="inlineStr">
        <is>
          <t>A9652 S35*3+R9264 M1821N*3</t>
        </is>
      </c>
    </row>
    <row r="1256" hidden="1" ht="15" customHeight="1" s="99">
      <c r="A1256" t="inlineStr">
        <is>
          <t>ZKEL04</t>
        </is>
      </c>
      <c r="B1256" t="inlineStr">
        <is>
          <t>ZKEL04_GUL00_Dalugama_Kelaniya_Kd</t>
        </is>
      </c>
      <c r="F1256" t="n">
        <v>6.96744</v>
      </c>
      <c r="G1256" t="n">
        <v>79.9083</v>
      </c>
      <c r="H1256" t="inlineStr">
        <is>
          <t>ZKEL04G</t>
        </is>
      </c>
      <c r="K1256" t="inlineStr">
        <is>
          <t>S1</t>
        </is>
      </c>
      <c r="L1256" t="inlineStr">
        <is>
          <t>4G</t>
        </is>
      </c>
      <c r="M1256" t="inlineStr">
        <is>
          <t>1800</t>
        </is>
      </c>
      <c r="N1256" t="inlineStr">
        <is>
          <t>AQU4518R9v06</t>
        </is>
      </c>
      <c r="O1256" t="n">
        <v>10</v>
      </c>
      <c r="P1256" t="n">
        <v>0</v>
      </c>
      <c r="Q1256" t="n">
        <v>0</v>
      </c>
      <c r="Y1256" t="inlineStr">
        <is>
          <t>4T4R</t>
        </is>
      </c>
      <c r="AB1256" t="inlineStr">
        <is>
          <t>R9264 M1821N</t>
        </is>
      </c>
      <c r="AC1256" t="inlineStr">
        <is>
          <t>A9652 S35*3+R9264 M1821N*3</t>
        </is>
      </c>
    </row>
    <row r="1257" hidden="1" ht="15" customHeight="1" s="99">
      <c r="A1257" t="inlineStr">
        <is>
          <t>ZKEL04</t>
        </is>
      </c>
      <c r="B1257" t="inlineStr"/>
      <c r="F1257">
        <f>_xlfn.XLOOKUP(A1257,'[1]4G Parameters'!$E:$E,'[1]4G Parameters'!$J:$J)</f>
        <v/>
      </c>
      <c r="G1257">
        <f>_xlfn.XLOOKUP(A1257,'[1]4G Parameters'!$E:$E,'[1]4G Parameters'!$I:$I)</f>
        <v/>
      </c>
      <c r="H1257" t="inlineStr">
        <is>
          <t>ZKEL04Q</t>
        </is>
      </c>
      <c r="K1257" t="inlineStr">
        <is>
          <t>S2</t>
        </is>
      </c>
      <c r="L1257" t="inlineStr">
        <is>
          <t>2G</t>
        </is>
      </c>
      <c r="M1257" t="inlineStr">
        <is>
          <t>1800</t>
        </is>
      </c>
      <c r="N1257" t="inlineStr"/>
      <c r="O1257" t="n">
        <v>0</v>
      </c>
      <c r="P1257" t="n">
        <v>130</v>
      </c>
      <c r="Q1257" t="n">
        <v>2</v>
      </c>
      <c r="Y1257" t="inlineStr"/>
      <c r="AB1257" t="inlineStr">
        <is>
          <t>R9264 M1821N</t>
        </is>
      </c>
      <c r="AC1257" t="inlineStr">
        <is>
          <t>A9652 S35*3+R9264 M1821N*3</t>
        </is>
      </c>
    </row>
    <row r="1258" hidden="1" ht="15" customHeight="1" s="99">
      <c r="A1258" t="inlineStr">
        <is>
          <t>ZKEL04</t>
        </is>
      </c>
      <c r="B1258" t="inlineStr">
        <is>
          <t>ZKEL04_GUL00_Dalugama_Kelaniya_Kd</t>
        </is>
      </c>
      <c r="F1258" t="n">
        <v>6.96744</v>
      </c>
      <c r="G1258" t="n">
        <v>79.9083</v>
      </c>
      <c r="H1258" t="inlineStr">
        <is>
          <t>ZKEL04-M-L21-B2</t>
        </is>
      </c>
      <c r="K1258" t="inlineStr">
        <is>
          <t>S2</t>
        </is>
      </c>
      <c r="L1258" t="inlineStr">
        <is>
          <t>4G</t>
        </is>
      </c>
      <c r="M1258" t="inlineStr">
        <is>
          <t>2100</t>
        </is>
      </c>
      <c r="N1258" t="inlineStr">
        <is>
          <t>AQU4518R9v06</t>
        </is>
      </c>
      <c r="O1258" t="n">
        <v>10</v>
      </c>
      <c r="P1258" t="n">
        <v>130</v>
      </c>
      <c r="Q1258" t="n">
        <v>0</v>
      </c>
      <c r="Y1258" t="inlineStr">
        <is>
          <t>2T2R</t>
        </is>
      </c>
      <c r="AB1258" t="inlineStr">
        <is>
          <t>R9264 M1821N</t>
        </is>
      </c>
      <c r="AC1258" t="inlineStr">
        <is>
          <t>A9652 S35*3+R9264 M1821N*3</t>
        </is>
      </c>
    </row>
    <row r="1259" hidden="1" ht="15" customHeight="1" s="99">
      <c r="A1259" t="inlineStr">
        <is>
          <t>ZKEL04</t>
        </is>
      </c>
      <c r="B1259" t="inlineStr">
        <is>
          <t>ZKEL04_GUL00_Dalugama_Kelaniya_Kd</t>
        </is>
      </c>
      <c r="F1259" t="n">
        <v>6.96744</v>
      </c>
      <c r="G1259" t="n">
        <v>79.9083</v>
      </c>
      <c r="H1259" t="inlineStr">
        <is>
          <t>ZKEL04H</t>
        </is>
      </c>
      <c r="K1259" t="inlineStr">
        <is>
          <t>S2</t>
        </is>
      </c>
      <c r="L1259" t="inlineStr">
        <is>
          <t>4G</t>
        </is>
      </c>
      <c r="M1259" t="inlineStr">
        <is>
          <t>1800</t>
        </is>
      </c>
      <c r="N1259" t="inlineStr">
        <is>
          <t>AQU4518R9v06</t>
        </is>
      </c>
      <c r="O1259" t="n">
        <v>10</v>
      </c>
      <c r="P1259" t="n">
        <v>130</v>
      </c>
      <c r="Q1259" t="n">
        <v>0</v>
      </c>
      <c r="Y1259" t="inlineStr">
        <is>
          <t>4T4R</t>
        </is>
      </c>
      <c r="AB1259" t="inlineStr">
        <is>
          <t>R9264 M1821N</t>
        </is>
      </c>
      <c r="AC1259" t="inlineStr">
        <is>
          <t>A9652 S35*3+R9264 M1821N*3</t>
        </is>
      </c>
    </row>
    <row r="1260" hidden="1" ht="15" customHeight="1" s="99">
      <c r="A1260" t="inlineStr">
        <is>
          <t>ZKEL04</t>
        </is>
      </c>
      <c r="B1260" t="inlineStr"/>
      <c r="F1260">
        <f>_xlfn.XLOOKUP(A1260,'[1]4G Parameters'!$E:$E,'[1]4G Parameters'!$J:$J)</f>
        <v/>
      </c>
      <c r="G1260">
        <f>_xlfn.XLOOKUP(A1260,'[1]4G Parameters'!$E:$E,'[1]4G Parameters'!$I:$I)</f>
        <v/>
      </c>
      <c r="H1260" t="inlineStr">
        <is>
          <t>ZKEL04R</t>
        </is>
      </c>
      <c r="K1260" t="inlineStr">
        <is>
          <t>S3</t>
        </is>
      </c>
      <c r="L1260" t="inlineStr">
        <is>
          <t>2G</t>
        </is>
      </c>
      <c r="M1260" t="inlineStr">
        <is>
          <t>1800</t>
        </is>
      </c>
      <c r="N1260" t="inlineStr"/>
      <c r="O1260" t="n">
        <v>24</v>
      </c>
      <c r="P1260" t="n">
        <v>240</v>
      </c>
      <c r="Q1260" t="n">
        <v>2</v>
      </c>
      <c r="Y1260" t="inlineStr"/>
      <c r="AB1260" t="inlineStr">
        <is>
          <t>R9264 M1821N</t>
        </is>
      </c>
      <c r="AC1260" t="inlineStr">
        <is>
          <t>A9652 S35*3+R9264 M1821N*3</t>
        </is>
      </c>
    </row>
    <row r="1261" hidden="1" ht="15" customHeight="1" s="99">
      <c r="A1261" t="inlineStr">
        <is>
          <t>ZKEL04</t>
        </is>
      </c>
      <c r="B1261" t="inlineStr">
        <is>
          <t>ZKEL04_GUL00_Dalugama_Kelaniya_Kd</t>
        </is>
      </c>
      <c r="F1261" t="n">
        <v>6.96744</v>
      </c>
      <c r="G1261" t="n">
        <v>79.9083</v>
      </c>
      <c r="H1261" t="inlineStr">
        <is>
          <t>ZKEL04-M-L21-C2</t>
        </is>
      </c>
      <c r="K1261" t="inlineStr">
        <is>
          <t>S3</t>
        </is>
      </c>
      <c r="L1261" t="inlineStr">
        <is>
          <t>4G</t>
        </is>
      </c>
      <c r="M1261" t="inlineStr">
        <is>
          <t>2100</t>
        </is>
      </c>
      <c r="N1261" t="inlineStr">
        <is>
          <t>AQU4518R9v06</t>
        </is>
      </c>
      <c r="O1261" t="n">
        <v>10</v>
      </c>
      <c r="P1261" t="n">
        <v>240</v>
      </c>
      <c r="Q1261" t="n">
        <v>0</v>
      </c>
      <c r="Y1261" t="inlineStr">
        <is>
          <t>2T2R</t>
        </is>
      </c>
      <c r="AB1261" t="inlineStr">
        <is>
          <t>R9264 M1821N</t>
        </is>
      </c>
      <c r="AC1261" t="inlineStr">
        <is>
          <t>A9652 S35*3+R9264 M1821N*3</t>
        </is>
      </c>
    </row>
    <row r="1262" hidden="1" ht="15" customHeight="1" s="99">
      <c r="A1262" t="inlineStr">
        <is>
          <t>ZKEL04</t>
        </is>
      </c>
      <c r="B1262" t="inlineStr">
        <is>
          <t>ZKEL04_GUL00_Dalugama_Kelaniya_Kd</t>
        </is>
      </c>
      <c r="F1262" t="n">
        <v>6.96744</v>
      </c>
      <c r="G1262" t="n">
        <v>79.9083</v>
      </c>
      <c r="H1262" t="inlineStr">
        <is>
          <t>ZKEL04I</t>
        </is>
      </c>
      <c r="K1262" t="inlineStr">
        <is>
          <t>S3</t>
        </is>
      </c>
      <c r="L1262" t="inlineStr">
        <is>
          <t>4G</t>
        </is>
      </c>
      <c r="M1262" t="inlineStr">
        <is>
          <t>1800</t>
        </is>
      </c>
      <c r="N1262" t="inlineStr">
        <is>
          <t>AQU4518R9v06</t>
        </is>
      </c>
      <c r="O1262" t="n">
        <v>10</v>
      </c>
      <c r="P1262" t="n">
        <v>240</v>
      </c>
      <c r="Q1262" t="n">
        <v>0</v>
      </c>
      <c r="Y1262" t="inlineStr">
        <is>
          <t>4T4R</t>
        </is>
      </c>
      <c r="AB1262" t="inlineStr">
        <is>
          <t>R9264 M1821N</t>
        </is>
      </c>
      <c r="AC1262" t="inlineStr">
        <is>
          <t>A9652 S35*3+R9264 M1821N*3</t>
        </is>
      </c>
    </row>
    <row r="1263" hidden="1" ht="15" customHeight="1" s="99">
      <c r="A1263" t="inlineStr">
        <is>
          <t>ZKEL06</t>
        </is>
      </c>
      <c r="B1263" t="inlineStr"/>
      <c r="F1263">
        <f>_xlfn.XLOOKUP(A1263,'[1]4G Parameters'!$E:$E,'[1]4G Parameters'!$J:$J)</f>
        <v/>
      </c>
      <c r="G1263">
        <f>_xlfn.XLOOKUP(A1263,'[1]4G Parameters'!$E:$E,'[1]4G Parameters'!$I:$I)</f>
        <v/>
      </c>
      <c r="H1263" t="inlineStr">
        <is>
          <t>ZKEL06P</t>
        </is>
      </c>
      <c r="K1263" t="inlineStr">
        <is>
          <t>S1</t>
        </is>
      </c>
      <c r="L1263" t="inlineStr">
        <is>
          <t>2G</t>
        </is>
      </c>
      <c r="M1263" t="inlineStr">
        <is>
          <t>1800</t>
        </is>
      </c>
      <c r="N1263" t="inlineStr"/>
      <c r="O1263" t="n">
        <v>13</v>
      </c>
      <c r="P1263" t="n">
        <v>0</v>
      </c>
      <c r="Q1263" t="n">
        <v>2</v>
      </c>
      <c r="Y1263" t="inlineStr"/>
      <c r="AB1263" t="inlineStr">
        <is>
          <t>R9254E S1800</t>
        </is>
      </c>
      <c r="AC1263" t="inlineStr">
        <is>
          <t>A9652 S35*3+R9254E S1800*3+R9254E S8500*2</t>
        </is>
      </c>
    </row>
    <row r="1264" hidden="1" ht="15" customHeight="1" s="99">
      <c r="A1264" t="inlineStr">
        <is>
          <t>ZKEL06</t>
        </is>
      </c>
      <c r="B1264" t="inlineStr">
        <is>
          <t>ZKEL06_G0L00_Torana_Junction_Kelaniya_Kd</t>
        </is>
      </c>
      <c r="F1264" t="n">
        <v>6.96558</v>
      </c>
      <c r="G1264" t="n">
        <v>79.89830000000001</v>
      </c>
      <c r="H1264" t="inlineStr">
        <is>
          <t>ZKEL06G</t>
        </is>
      </c>
      <c r="K1264" t="inlineStr">
        <is>
          <t>S1</t>
        </is>
      </c>
      <c r="L1264" t="inlineStr">
        <is>
          <t>4G</t>
        </is>
      </c>
      <c r="M1264" t="inlineStr">
        <is>
          <t>1800</t>
        </is>
      </c>
      <c r="N1264" t="inlineStr">
        <is>
          <t>AQU4518R9v06</t>
        </is>
      </c>
      <c r="O1264" t="n">
        <v>18</v>
      </c>
      <c r="P1264" t="n">
        <v>0</v>
      </c>
      <c r="Q1264" t="n">
        <v>0</v>
      </c>
      <c r="Y1264" t="inlineStr">
        <is>
          <t>4T4R</t>
        </is>
      </c>
      <c r="AB1264" t="inlineStr">
        <is>
          <t>R9254E S1800</t>
        </is>
      </c>
      <c r="AC1264" t="inlineStr">
        <is>
          <t>A9652 S35*3+R9254E S1800*3+R9254E S8500*2</t>
        </is>
      </c>
    </row>
    <row r="1265" hidden="1" ht="15" customHeight="1" s="99">
      <c r="A1265" t="inlineStr">
        <is>
          <t>ZKEL06</t>
        </is>
      </c>
      <c r="B1265" t="inlineStr"/>
      <c r="F1265">
        <f>_xlfn.XLOOKUP(A1265,'[1]4G Parameters'!$E:$E,'[1]4G Parameters'!$J:$J)</f>
        <v/>
      </c>
      <c r="G1265">
        <f>_xlfn.XLOOKUP(A1265,'[1]4G Parameters'!$E:$E,'[1]4G Parameters'!$I:$I)</f>
        <v/>
      </c>
      <c r="H1265" t="inlineStr">
        <is>
          <t>ZKEL06Q</t>
        </is>
      </c>
      <c r="K1265" t="inlineStr">
        <is>
          <t>S2</t>
        </is>
      </c>
      <c r="L1265" t="inlineStr">
        <is>
          <t>2G</t>
        </is>
      </c>
      <c r="M1265" t="inlineStr">
        <is>
          <t>1800</t>
        </is>
      </c>
      <c r="N1265" t="inlineStr"/>
      <c r="O1265" t="n">
        <v>0</v>
      </c>
      <c r="P1265" t="n">
        <v>130</v>
      </c>
      <c r="Q1265" t="n">
        <v>2</v>
      </c>
      <c r="Y1265" t="inlineStr"/>
      <c r="AB1265" t="inlineStr">
        <is>
          <t>R9254E S1800</t>
        </is>
      </c>
      <c r="AC1265" t="inlineStr">
        <is>
          <t>A9652 S35*3+R9254E S1800*3+R9254E S8500*2</t>
        </is>
      </c>
    </row>
    <row r="1266" hidden="1" ht="15" customHeight="1" s="99">
      <c r="A1266" t="inlineStr">
        <is>
          <t>ZKEL06</t>
        </is>
      </c>
      <c r="B1266" t="inlineStr">
        <is>
          <t>ZKEL06_G0L00_Torana_Junction_Kelaniya_Kd</t>
        </is>
      </c>
      <c r="F1266" t="n">
        <v>6.96558</v>
      </c>
      <c r="G1266" t="n">
        <v>79.89830000000001</v>
      </c>
      <c r="H1266" t="inlineStr">
        <is>
          <t>ZKEL06H</t>
        </is>
      </c>
      <c r="K1266" t="inlineStr">
        <is>
          <t>S2</t>
        </is>
      </c>
      <c r="L1266" t="inlineStr">
        <is>
          <t>4G</t>
        </is>
      </c>
      <c r="M1266" t="inlineStr">
        <is>
          <t>1800</t>
        </is>
      </c>
      <c r="N1266" t="inlineStr">
        <is>
          <t>AQU4518R9v06</t>
        </is>
      </c>
      <c r="O1266" t="n">
        <v>18</v>
      </c>
      <c r="P1266" t="n">
        <v>130</v>
      </c>
      <c r="Q1266" t="n">
        <v>0</v>
      </c>
      <c r="Y1266" t="inlineStr">
        <is>
          <t>2T2R</t>
        </is>
      </c>
      <c r="AB1266" t="inlineStr">
        <is>
          <t>R9254E S1800</t>
        </is>
      </c>
      <c r="AC1266" t="inlineStr">
        <is>
          <t>A9652 S35*3+R9254E S1800*3+R9254E S8500*2</t>
        </is>
      </c>
    </row>
    <row r="1267" hidden="1" ht="15" customHeight="1" s="99">
      <c r="A1267" t="inlineStr">
        <is>
          <t>ZKEL06</t>
        </is>
      </c>
      <c r="B1267" t="inlineStr"/>
      <c r="F1267">
        <f>_xlfn.XLOOKUP(A1267,'[1]4G Parameters'!$E:$E,'[1]4G Parameters'!$J:$J)</f>
        <v/>
      </c>
      <c r="G1267">
        <f>_xlfn.XLOOKUP(A1267,'[1]4G Parameters'!$E:$E,'[1]4G Parameters'!$I:$I)</f>
        <v/>
      </c>
      <c r="H1267" t="inlineStr">
        <is>
          <t>ZKEL06R</t>
        </is>
      </c>
      <c r="K1267" t="inlineStr">
        <is>
          <t>S3</t>
        </is>
      </c>
      <c r="L1267" t="inlineStr">
        <is>
          <t>2G</t>
        </is>
      </c>
      <c r="M1267" t="inlineStr">
        <is>
          <t>1800</t>
        </is>
      </c>
      <c r="N1267" t="inlineStr"/>
      <c r="O1267" t="n">
        <v>0</v>
      </c>
      <c r="P1267" t="n">
        <v>230</v>
      </c>
      <c r="Q1267" t="n">
        <v>2</v>
      </c>
      <c r="Y1267" t="inlineStr"/>
      <c r="AB1267" t="inlineStr">
        <is>
          <t>R9254E S1800</t>
        </is>
      </c>
      <c r="AC1267" t="inlineStr">
        <is>
          <t>A9652 S35*3+R9254E S1800*3+R9254E S8500*2</t>
        </is>
      </c>
    </row>
    <row r="1268" hidden="1" ht="15" customHeight="1" s="99">
      <c r="A1268" t="inlineStr">
        <is>
          <t>ZKEL06</t>
        </is>
      </c>
      <c r="B1268" t="inlineStr">
        <is>
          <t>ZKEL06_G0L00_Torana_Junction_Kelaniya_Kd</t>
        </is>
      </c>
      <c r="F1268" t="n">
        <v>6.96558</v>
      </c>
      <c r="G1268" t="n">
        <v>79.89830000000001</v>
      </c>
      <c r="H1268" t="inlineStr">
        <is>
          <t>ZKEL06I</t>
        </is>
      </c>
      <c r="K1268" t="inlineStr">
        <is>
          <t>S3</t>
        </is>
      </c>
      <c r="L1268" t="inlineStr">
        <is>
          <t>4G</t>
        </is>
      </c>
      <c r="M1268" t="inlineStr">
        <is>
          <t>1800</t>
        </is>
      </c>
      <c r="N1268" t="inlineStr">
        <is>
          <t>AQU4518R9v06</t>
        </is>
      </c>
      <c r="O1268" t="n">
        <v>18</v>
      </c>
      <c r="P1268" t="n">
        <v>230</v>
      </c>
      <c r="Q1268" t="n">
        <v>0</v>
      </c>
      <c r="Y1268" t="inlineStr">
        <is>
          <t>4T4R</t>
        </is>
      </c>
      <c r="AB1268" t="inlineStr">
        <is>
          <t>R9254E S1800</t>
        </is>
      </c>
      <c r="AC1268" t="inlineStr">
        <is>
          <t>A9652 S35*3+R9254E S1800*3+R9254E S8500*2</t>
        </is>
      </c>
    </row>
    <row r="1269" hidden="1" ht="15" customHeight="1" s="99">
      <c r="A1269" t="inlineStr">
        <is>
          <t>ZKEL08</t>
        </is>
      </c>
      <c r="B1269" t="inlineStr"/>
      <c r="F1269">
        <f>_xlfn.XLOOKUP(A1269,'[1]4G Parameters'!$E:$E,'[1]4G Parameters'!$J:$J)</f>
        <v/>
      </c>
      <c r="G1269">
        <f>_xlfn.XLOOKUP(A1269,'[1]4G Parameters'!$E:$E,'[1]4G Parameters'!$I:$I)</f>
        <v/>
      </c>
      <c r="H1269" t="inlineStr">
        <is>
          <t>ZKEL08P</t>
        </is>
      </c>
      <c r="K1269" t="inlineStr">
        <is>
          <t>S1</t>
        </is>
      </c>
      <c r="L1269" t="inlineStr">
        <is>
          <t>2G</t>
        </is>
      </c>
      <c r="M1269" t="inlineStr">
        <is>
          <t>1800</t>
        </is>
      </c>
      <c r="N1269" t="inlineStr"/>
      <c r="O1269" t="n">
        <v>18</v>
      </c>
      <c r="P1269" t="n">
        <v>90</v>
      </c>
      <c r="Q1269" t="n">
        <v>2</v>
      </c>
      <c r="Y1269" t="inlineStr"/>
      <c r="AB1269" t="inlineStr">
        <is>
          <t>R9254E S1800</t>
        </is>
      </c>
      <c r="AC1269" t="inlineStr">
        <is>
          <t>A9652 S35*3+R9254E S1800*3</t>
        </is>
      </c>
    </row>
    <row r="1270" hidden="1" ht="15" customHeight="1" s="99">
      <c r="A1270" t="inlineStr">
        <is>
          <t>ZKEL08</t>
        </is>
      </c>
      <c r="B1270" t="inlineStr">
        <is>
          <t>ZKEL08_0UL00_Peliyagoda_Kd</t>
        </is>
      </c>
      <c r="F1270" t="n">
        <v>6.95789</v>
      </c>
      <c r="G1270" t="n">
        <v>79.8886</v>
      </c>
      <c r="H1270" t="inlineStr">
        <is>
          <t>ZKEL08G</t>
        </is>
      </c>
      <c r="K1270" t="inlineStr">
        <is>
          <t>S1</t>
        </is>
      </c>
      <c r="L1270" t="inlineStr">
        <is>
          <t>4G</t>
        </is>
      </c>
      <c r="M1270" t="inlineStr">
        <is>
          <t>1800</t>
        </is>
      </c>
      <c r="N1270" t="inlineStr">
        <is>
          <t>AQU4518R9v06</t>
        </is>
      </c>
      <c r="O1270" t="n">
        <v>35</v>
      </c>
      <c r="P1270" t="n">
        <v>90</v>
      </c>
      <c r="Q1270" t="n">
        <v>0</v>
      </c>
      <c r="Y1270" t="inlineStr">
        <is>
          <t>4T4R</t>
        </is>
      </c>
      <c r="AB1270" t="inlineStr">
        <is>
          <t>R9254E S1800</t>
        </is>
      </c>
      <c r="AC1270" t="inlineStr">
        <is>
          <t>A9652 S35*3+R9254E S1800*3</t>
        </is>
      </c>
    </row>
    <row r="1271" hidden="1" ht="15" customHeight="1" s="99">
      <c r="A1271" t="inlineStr">
        <is>
          <t>ZKEL08</t>
        </is>
      </c>
      <c r="B1271" t="inlineStr"/>
      <c r="F1271">
        <f>_xlfn.XLOOKUP(A1271,'[1]4G Parameters'!$E:$E,'[1]4G Parameters'!$J:$J)</f>
        <v/>
      </c>
      <c r="G1271">
        <f>_xlfn.XLOOKUP(A1271,'[1]4G Parameters'!$E:$E,'[1]4G Parameters'!$I:$I)</f>
        <v/>
      </c>
      <c r="H1271" t="inlineStr">
        <is>
          <t>ZKEL08Q</t>
        </is>
      </c>
      <c r="K1271" t="inlineStr">
        <is>
          <t>S2</t>
        </is>
      </c>
      <c r="L1271" t="inlineStr">
        <is>
          <t>2G</t>
        </is>
      </c>
      <c r="M1271" t="inlineStr">
        <is>
          <t>1800</t>
        </is>
      </c>
      <c r="N1271" t="inlineStr"/>
      <c r="O1271" t="n">
        <v>18</v>
      </c>
      <c r="P1271" t="n">
        <v>210</v>
      </c>
      <c r="Q1271" t="n">
        <v>2</v>
      </c>
      <c r="Y1271" t="inlineStr"/>
      <c r="AB1271" t="inlineStr">
        <is>
          <t>R9254E S1800</t>
        </is>
      </c>
      <c r="AC1271" t="inlineStr">
        <is>
          <t>A9652 S35*3+R9254E S1800*3</t>
        </is>
      </c>
    </row>
    <row r="1272" hidden="1" ht="15" customHeight="1" s="99">
      <c r="A1272" t="inlineStr">
        <is>
          <t>ZKEL08</t>
        </is>
      </c>
      <c r="B1272" t="inlineStr">
        <is>
          <t>ZKEL08_0UL00_Peliyagoda_Kd</t>
        </is>
      </c>
      <c r="F1272" t="n">
        <v>6.95789</v>
      </c>
      <c r="G1272" t="n">
        <v>79.8886</v>
      </c>
      <c r="H1272" t="inlineStr">
        <is>
          <t>ZKEL08H</t>
        </is>
      </c>
      <c r="K1272" t="inlineStr">
        <is>
          <t>S2</t>
        </is>
      </c>
      <c r="L1272" t="inlineStr">
        <is>
          <t>4G</t>
        </is>
      </c>
      <c r="M1272" t="inlineStr">
        <is>
          <t>1800</t>
        </is>
      </c>
      <c r="N1272" t="inlineStr">
        <is>
          <t>AQU4518R9v06</t>
        </is>
      </c>
      <c r="O1272" t="n">
        <v>35</v>
      </c>
      <c r="P1272" t="n">
        <v>210</v>
      </c>
      <c r="Q1272" t="n">
        <v>0</v>
      </c>
      <c r="Y1272" t="inlineStr">
        <is>
          <t>4T4R</t>
        </is>
      </c>
      <c r="AB1272" t="inlineStr">
        <is>
          <t>R9254E S1800</t>
        </is>
      </c>
      <c r="AC1272" t="inlineStr">
        <is>
          <t>A9652 S35*3+R9254E S1800*3</t>
        </is>
      </c>
    </row>
    <row r="1273" hidden="1" ht="15" customHeight="1" s="99">
      <c r="A1273" t="inlineStr">
        <is>
          <t>ZKEL08</t>
        </is>
      </c>
      <c r="B1273" t="inlineStr"/>
      <c r="F1273">
        <f>_xlfn.XLOOKUP(A1273,'[1]4G Parameters'!$E:$E,'[1]4G Parameters'!$J:$J)</f>
        <v/>
      </c>
      <c r="G1273">
        <f>_xlfn.XLOOKUP(A1273,'[1]4G Parameters'!$E:$E,'[1]4G Parameters'!$I:$I)</f>
        <v/>
      </c>
      <c r="H1273" t="inlineStr">
        <is>
          <t>ZKEL08R</t>
        </is>
      </c>
      <c r="K1273" t="inlineStr">
        <is>
          <t>S3</t>
        </is>
      </c>
      <c r="L1273" t="inlineStr">
        <is>
          <t>2G</t>
        </is>
      </c>
      <c r="M1273" t="inlineStr">
        <is>
          <t>1800</t>
        </is>
      </c>
      <c r="N1273" t="inlineStr"/>
      <c r="O1273" t="n">
        <v>18</v>
      </c>
      <c r="P1273" t="n">
        <v>330</v>
      </c>
      <c r="Q1273" t="n">
        <v>2</v>
      </c>
      <c r="Y1273" t="inlineStr"/>
      <c r="AB1273" t="inlineStr">
        <is>
          <t>R9254E S1800</t>
        </is>
      </c>
      <c r="AC1273" t="inlineStr">
        <is>
          <t>A9652 S35*3+R9254E S1800*3</t>
        </is>
      </c>
    </row>
    <row r="1274" hidden="1" ht="15" customHeight="1" s="99">
      <c r="A1274" t="inlineStr">
        <is>
          <t>ZKEL08</t>
        </is>
      </c>
      <c r="B1274" t="inlineStr">
        <is>
          <t>ZKEL08_0UL00_Peliyagoda_Kd</t>
        </is>
      </c>
      <c r="F1274" t="n">
        <v>6.95789</v>
      </c>
      <c r="G1274" t="n">
        <v>79.8886</v>
      </c>
      <c r="H1274" t="inlineStr">
        <is>
          <t>ZKEL08I</t>
        </is>
      </c>
      <c r="K1274" t="inlineStr">
        <is>
          <t>S3</t>
        </is>
      </c>
      <c r="L1274" t="inlineStr">
        <is>
          <t>4G</t>
        </is>
      </c>
      <c r="M1274" t="inlineStr">
        <is>
          <t>1800</t>
        </is>
      </c>
      <c r="N1274" t="inlineStr">
        <is>
          <t>AQU4518R9v06</t>
        </is>
      </c>
      <c r="O1274" t="n">
        <v>35</v>
      </c>
      <c r="P1274" t="n">
        <v>330</v>
      </c>
      <c r="Q1274" t="n">
        <v>0</v>
      </c>
      <c r="Y1274" t="inlineStr">
        <is>
          <t>4T4R</t>
        </is>
      </c>
      <c r="AB1274" t="inlineStr">
        <is>
          <t>R9254E S1800</t>
        </is>
      </c>
      <c r="AC1274" t="inlineStr">
        <is>
          <t>A9652 S35*3+R9254E S1800*3</t>
        </is>
      </c>
    </row>
    <row r="1275" hidden="1" ht="15" customHeight="1" s="99">
      <c r="A1275" t="inlineStr">
        <is>
          <t>ZKEL09</t>
        </is>
      </c>
      <c r="B1275" t="inlineStr"/>
      <c r="F1275">
        <f>_xlfn.XLOOKUP(A1275,'[1]4G Parameters'!$E:$E,'[1]4G Parameters'!$J:$J)</f>
        <v/>
      </c>
      <c r="G1275">
        <f>_xlfn.XLOOKUP(A1275,'[1]4G Parameters'!$E:$E,'[1]4G Parameters'!$I:$I)</f>
        <v/>
      </c>
      <c r="H1275" t="inlineStr">
        <is>
          <t>ZKEL09A</t>
        </is>
      </c>
      <c r="K1275" t="inlineStr">
        <is>
          <t>S1</t>
        </is>
      </c>
      <c r="L1275" t="inlineStr">
        <is>
          <t>2G</t>
        </is>
      </c>
      <c r="M1275" t="inlineStr">
        <is>
          <t>900</t>
        </is>
      </c>
      <c r="N1275" t="inlineStr"/>
      <c r="O1275" t="n">
        <v>35</v>
      </c>
      <c r="P1275" t="n">
        <v>0</v>
      </c>
      <c r="Q1275" t="n">
        <v>2</v>
      </c>
      <c r="Y1275" t="inlineStr"/>
      <c r="AB1275" t="inlineStr">
        <is>
          <t>R9264H M901821</t>
        </is>
      </c>
      <c r="AC1275" t="inlineStr">
        <is>
          <t>A9652 S35*3+R9264H M901821*3+R9254E S8500*2</t>
        </is>
      </c>
    </row>
    <row r="1276" hidden="1" ht="15" customHeight="1" s="99">
      <c r="A1276" t="inlineStr">
        <is>
          <t>ZKEL09</t>
        </is>
      </c>
      <c r="B1276" t="inlineStr"/>
      <c r="F1276">
        <f>_xlfn.XLOOKUP(A1276,'[1]4G Parameters'!$E:$E,'[1]4G Parameters'!$J:$J)</f>
        <v/>
      </c>
      <c r="G1276">
        <f>_xlfn.XLOOKUP(A1276,'[1]4G Parameters'!$E:$E,'[1]4G Parameters'!$I:$I)</f>
        <v/>
      </c>
      <c r="H1276" t="inlineStr">
        <is>
          <t>ZKEL09P</t>
        </is>
      </c>
      <c r="K1276" t="inlineStr">
        <is>
          <t>S1</t>
        </is>
      </c>
      <c r="L1276" t="inlineStr">
        <is>
          <t>2G</t>
        </is>
      </c>
      <c r="M1276" t="inlineStr">
        <is>
          <t>1800</t>
        </is>
      </c>
      <c r="N1276" t="inlineStr"/>
      <c r="O1276" t="n">
        <v>35</v>
      </c>
      <c r="P1276" t="n">
        <v>0</v>
      </c>
      <c r="Q1276" t="n">
        <v>2</v>
      </c>
      <c r="Y1276" t="inlineStr"/>
      <c r="AB1276" t="inlineStr">
        <is>
          <t>R9264H M901821</t>
        </is>
      </c>
      <c r="AC1276" t="inlineStr">
        <is>
          <t>A9652 S35*3+R9264H M901821*3+R9254E S8500*2</t>
        </is>
      </c>
    </row>
    <row r="1277" hidden="1" ht="15" customHeight="1" s="99">
      <c r="A1277" t="inlineStr">
        <is>
          <t>ZKEL09</t>
        </is>
      </c>
      <c r="B1277" t="inlineStr">
        <is>
          <t>ZKEL09_GULM0_Pethiyagoda_Kd</t>
        </is>
      </c>
      <c r="F1277" t="n">
        <v>6.94939</v>
      </c>
      <c r="G1277" t="n">
        <v>79.8997</v>
      </c>
      <c r="H1277" t="inlineStr">
        <is>
          <t>ZKEL09-M-L85-A1</t>
        </is>
      </c>
      <c r="K1277" t="inlineStr">
        <is>
          <t>S1</t>
        </is>
      </c>
      <c r="L1277" t="inlineStr">
        <is>
          <t>4G</t>
        </is>
      </c>
      <c r="M1277" t="inlineStr">
        <is>
          <t>850</t>
        </is>
      </c>
      <c r="N1277" t="inlineStr">
        <is>
          <t>AQU4518R9v06</t>
        </is>
      </c>
      <c r="O1277" t="n">
        <v>35</v>
      </c>
      <c r="P1277" t="n">
        <v>0</v>
      </c>
      <c r="Q1277" t="n">
        <v>0</v>
      </c>
      <c r="Y1277" t="inlineStr">
        <is>
          <t>2T2R</t>
        </is>
      </c>
      <c r="AB1277" t="inlineStr">
        <is>
          <t>R9254E S8500</t>
        </is>
      </c>
      <c r="AC1277" t="inlineStr">
        <is>
          <t>A9652 S35*3+R9264H M901821*3+R9254E S8500*2</t>
        </is>
      </c>
    </row>
    <row r="1278" hidden="1" ht="15" customHeight="1" s="99">
      <c r="A1278" t="inlineStr">
        <is>
          <t>ZKEL09</t>
        </is>
      </c>
      <c r="B1278" t="inlineStr">
        <is>
          <t>ZKEL09_GULM0_Pethiyagoda_Kd</t>
        </is>
      </c>
      <c r="F1278" t="n">
        <v>6.94939</v>
      </c>
      <c r="G1278" t="n">
        <v>79.8997</v>
      </c>
      <c r="H1278" t="inlineStr">
        <is>
          <t>ZKEL09-M-L21-A2</t>
        </is>
      </c>
      <c r="K1278" t="inlineStr">
        <is>
          <t>S1</t>
        </is>
      </c>
      <c r="L1278" t="inlineStr">
        <is>
          <t>4G</t>
        </is>
      </c>
      <c r="M1278" t="inlineStr">
        <is>
          <t>2100</t>
        </is>
      </c>
      <c r="N1278" t="inlineStr">
        <is>
          <t>AQU4518R9v06</t>
        </is>
      </c>
      <c r="O1278" t="n">
        <v>35</v>
      </c>
      <c r="P1278" t="n">
        <v>0</v>
      </c>
      <c r="Q1278" t="n">
        <v>0</v>
      </c>
      <c r="Y1278" t="inlineStr">
        <is>
          <t>2T2R</t>
        </is>
      </c>
      <c r="AB1278" t="inlineStr">
        <is>
          <t>R9264H M901821</t>
        </is>
      </c>
      <c r="AC1278" t="inlineStr">
        <is>
          <t>A9652 S35*3+R9264H M901821*3+R9254E S8500*2</t>
        </is>
      </c>
    </row>
    <row r="1279" hidden="1" ht="15" customHeight="1" s="99">
      <c r="A1279" t="inlineStr">
        <is>
          <t>ZKEL09</t>
        </is>
      </c>
      <c r="B1279" t="inlineStr">
        <is>
          <t>ZKEL09_GULM0_Pethiyagoda_Kd</t>
        </is>
      </c>
      <c r="F1279" t="n">
        <v>6.94939</v>
      </c>
      <c r="G1279" t="n">
        <v>79.8997</v>
      </c>
      <c r="H1279" t="inlineStr">
        <is>
          <t>ZKEL09G</t>
        </is>
      </c>
      <c r="K1279" t="inlineStr">
        <is>
          <t>S1</t>
        </is>
      </c>
      <c r="L1279" t="inlineStr">
        <is>
          <t>4G</t>
        </is>
      </c>
      <c r="M1279" t="inlineStr">
        <is>
          <t>1800</t>
        </is>
      </c>
      <c r="N1279" t="inlineStr">
        <is>
          <t>AQU4518R9v06</t>
        </is>
      </c>
      <c r="O1279" t="n">
        <v>35</v>
      </c>
      <c r="P1279" t="n">
        <v>0</v>
      </c>
      <c r="Q1279" t="n">
        <v>0</v>
      </c>
      <c r="Y1279" t="inlineStr">
        <is>
          <t>4T4R</t>
        </is>
      </c>
      <c r="AB1279" t="inlineStr">
        <is>
          <t>R9264H M901821</t>
        </is>
      </c>
      <c r="AC1279" t="inlineStr">
        <is>
          <t>A9652 S35*3+R9264H M901821*3+R9254E S8500*2</t>
        </is>
      </c>
    </row>
    <row r="1280" hidden="1" ht="15" customHeight="1" s="99">
      <c r="A1280" t="inlineStr">
        <is>
          <t>ZKEL09</t>
        </is>
      </c>
      <c r="B1280" t="inlineStr"/>
      <c r="F1280">
        <f>_xlfn.XLOOKUP(A1280,'[1]4G Parameters'!$E:$E,'[1]4G Parameters'!$J:$J)</f>
        <v/>
      </c>
      <c r="G1280">
        <f>_xlfn.XLOOKUP(A1280,'[1]4G Parameters'!$E:$E,'[1]4G Parameters'!$I:$I)</f>
        <v/>
      </c>
      <c r="H1280" t="inlineStr">
        <is>
          <t>ZKEL09B</t>
        </is>
      </c>
      <c r="K1280" t="inlineStr">
        <is>
          <t>S2</t>
        </is>
      </c>
      <c r="L1280" t="inlineStr">
        <is>
          <t>2G</t>
        </is>
      </c>
      <c r="M1280" t="inlineStr">
        <is>
          <t>900</t>
        </is>
      </c>
      <c r="N1280" t="inlineStr"/>
      <c r="O1280" t="n">
        <v>35</v>
      </c>
      <c r="P1280" t="n">
        <v>115</v>
      </c>
      <c r="Q1280" t="n">
        <v>2</v>
      </c>
      <c r="Y1280" t="inlineStr"/>
      <c r="AB1280" t="inlineStr">
        <is>
          <t>R9264H M901821</t>
        </is>
      </c>
      <c r="AC1280" t="inlineStr">
        <is>
          <t>A9652 S35*3+R9264H M901821*3+R9254E S8500*2</t>
        </is>
      </c>
    </row>
    <row r="1281" hidden="1" ht="15" customHeight="1" s="99">
      <c r="A1281" t="inlineStr">
        <is>
          <t>ZKEL09</t>
        </is>
      </c>
      <c r="B1281" t="inlineStr"/>
      <c r="F1281">
        <f>_xlfn.XLOOKUP(A1281,'[1]4G Parameters'!$E:$E,'[1]4G Parameters'!$J:$J)</f>
        <v/>
      </c>
      <c r="G1281">
        <f>_xlfn.XLOOKUP(A1281,'[1]4G Parameters'!$E:$E,'[1]4G Parameters'!$I:$I)</f>
        <v/>
      </c>
      <c r="H1281" t="inlineStr">
        <is>
          <t>ZKEL09Q</t>
        </is>
      </c>
      <c r="K1281" t="inlineStr">
        <is>
          <t>S2</t>
        </is>
      </c>
      <c r="L1281" t="inlineStr">
        <is>
          <t>2G</t>
        </is>
      </c>
      <c r="M1281" t="inlineStr">
        <is>
          <t>1800</t>
        </is>
      </c>
      <c r="N1281" t="inlineStr"/>
      <c r="O1281" t="n">
        <v>35</v>
      </c>
      <c r="P1281" t="n">
        <v>115</v>
      </c>
      <c r="Q1281" t="n">
        <v>2</v>
      </c>
      <c r="Y1281" t="inlineStr"/>
      <c r="AB1281" t="inlineStr">
        <is>
          <t>R9264H M901821</t>
        </is>
      </c>
      <c r="AC1281" t="inlineStr">
        <is>
          <t>A9652 S35*3+R9264H M901821*3+R9254E S8500*2</t>
        </is>
      </c>
    </row>
    <row r="1282" hidden="1" ht="15" customHeight="1" s="99">
      <c r="A1282" t="inlineStr">
        <is>
          <t>ZKEL09</t>
        </is>
      </c>
      <c r="B1282" t="inlineStr">
        <is>
          <t>ZKEL09_GULM0_Pethiyagoda_Kd</t>
        </is>
      </c>
      <c r="F1282" t="n">
        <v>6.94939</v>
      </c>
      <c r="G1282" t="n">
        <v>79.8997</v>
      </c>
      <c r="H1282" t="inlineStr">
        <is>
          <t>ZKEL09-M-L85-B1</t>
        </is>
      </c>
      <c r="K1282" t="inlineStr">
        <is>
          <t>S2</t>
        </is>
      </c>
      <c r="L1282" t="inlineStr">
        <is>
          <t>4G</t>
        </is>
      </c>
      <c r="M1282" t="inlineStr">
        <is>
          <t>850</t>
        </is>
      </c>
      <c r="N1282" t="inlineStr">
        <is>
          <t>AQU4518R9v06</t>
        </is>
      </c>
      <c r="O1282" t="n">
        <v>35</v>
      </c>
      <c r="P1282" t="n">
        <v>115</v>
      </c>
      <c r="Q1282" t="n">
        <v>0</v>
      </c>
      <c r="Y1282" t="inlineStr">
        <is>
          <t>2T2R</t>
        </is>
      </c>
      <c r="AB1282" t="inlineStr">
        <is>
          <t>R9254E S8500</t>
        </is>
      </c>
      <c r="AC1282" t="inlineStr">
        <is>
          <t>A9652 S35*3+R9264H M901821*3+R9254E S8500*2</t>
        </is>
      </c>
    </row>
    <row r="1283" hidden="1" ht="15" customHeight="1" s="99">
      <c r="A1283" t="inlineStr">
        <is>
          <t>ZKEL09</t>
        </is>
      </c>
      <c r="B1283" t="inlineStr">
        <is>
          <t>ZKEL09_GULM0_Pethiyagoda_Kd</t>
        </is>
      </c>
      <c r="F1283" t="n">
        <v>6.94939</v>
      </c>
      <c r="G1283" t="n">
        <v>79.8997</v>
      </c>
      <c r="H1283" t="inlineStr">
        <is>
          <t>ZKEL09H</t>
        </is>
      </c>
      <c r="K1283" t="inlineStr">
        <is>
          <t>S2</t>
        </is>
      </c>
      <c r="L1283" t="inlineStr">
        <is>
          <t>4G</t>
        </is>
      </c>
      <c r="M1283" t="inlineStr">
        <is>
          <t>1800</t>
        </is>
      </c>
      <c r="N1283" t="inlineStr">
        <is>
          <t>AQU4518R9v06</t>
        </is>
      </c>
      <c r="O1283" t="n">
        <v>35</v>
      </c>
      <c r="P1283" t="n">
        <v>115</v>
      </c>
      <c r="Q1283" t="n">
        <v>0</v>
      </c>
      <c r="Y1283" t="inlineStr">
        <is>
          <t>4T4R</t>
        </is>
      </c>
      <c r="AB1283" t="inlineStr">
        <is>
          <t>R9264H M901821</t>
        </is>
      </c>
      <c r="AC1283" t="inlineStr">
        <is>
          <t>A9652 S35*3+R9264H M901821*3+R9254E S8500*2</t>
        </is>
      </c>
    </row>
    <row r="1284" hidden="1" ht="15" customHeight="1" s="99">
      <c r="A1284" t="inlineStr">
        <is>
          <t>ZKEL09</t>
        </is>
      </c>
      <c r="B1284" t="inlineStr"/>
      <c r="F1284">
        <f>_xlfn.XLOOKUP(A1284,'[1]4G Parameters'!$E:$E,'[1]4G Parameters'!$J:$J)</f>
        <v/>
      </c>
      <c r="G1284">
        <f>_xlfn.XLOOKUP(A1284,'[1]4G Parameters'!$E:$E,'[1]4G Parameters'!$I:$I)</f>
        <v/>
      </c>
      <c r="H1284" t="inlineStr">
        <is>
          <t>ZKEL09C</t>
        </is>
      </c>
      <c r="K1284" t="inlineStr">
        <is>
          <t>S3</t>
        </is>
      </c>
      <c r="L1284" t="inlineStr">
        <is>
          <t>2G</t>
        </is>
      </c>
      <c r="M1284" t="inlineStr">
        <is>
          <t>900</t>
        </is>
      </c>
      <c r="N1284" t="inlineStr"/>
      <c r="O1284" t="n">
        <v>35</v>
      </c>
      <c r="P1284" t="n">
        <v>240</v>
      </c>
      <c r="Q1284" t="n">
        <v>2</v>
      </c>
      <c r="Y1284" t="inlineStr"/>
      <c r="AB1284" t="inlineStr">
        <is>
          <t>R9264H M901821</t>
        </is>
      </c>
      <c r="AC1284" t="inlineStr">
        <is>
          <t>A9652 S35*3+R9264H M901821*3+R9254E S8500*2</t>
        </is>
      </c>
    </row>
    <row r="1285" hidden="1" ht="15" customHeight="1" s="99">
      <c r="A1285" t="inlineStr">
        <is>
          <t>ZKEL09</t>
        </is>
      </c>
      <c r="B1285" t="inlineStr"/>
      <c r="F1285">
        <f>_xlfn.XLOOKUP(A1285,'[1]4G Parameters'!$E:$E,'[1]4G Parameters'!$J:$J)</f>
        <v/>
      </c>
      <c r="G1285">
        <f>_xlfn.XLOOKUP(A1285,'[1]4G Parameters'!$E:$E,'[1]4G Parameters'!$I:$I)</f>
        <v/>
      </c>
      <c r="H1285" t="inlineStr">
        <is>
          <t>ZKEL09R</t>
        </is>
      </c>
      <c r="K1285" t="inlineStr">
        <is>
          <t>S3</t>
        </is>
      </c>
      <c r="L1285" t="inlineStr">
        <is>
          <t>2G</t>
        </is>
      </c>
      <c r="M1285" t="inlineStr">
        <is>
          <t>1800</t>
        </is>
      </c>
      <c r="N1285" t="inlineStr"/>
      <c r="O1285" t="n">
        <v>35</v>
      </c>
      <c r="P1285" t="n">
        <v>240</v>
      </c>
      <c r="Q1285" t="n">
        <v>2</v>
      </c>
      <c r="Y1285" t="inlineStr"/>
      <c r="AB1285" t="inlineStr">
        <is>
          <t>R9264H M901821</t>
        </is>
      </c>
      <c r="AC1285" t="inlineStr">
        <is>
          <t>A9652 S35*3+R9264H M901821*3+R9254E S8500*2</t>
        </is>
      </c>
    </row>
    <row r="1286" hidden="1" ht="15" customHeight="1" s="99">
      <c r="A1286" t="inlineStr">
        <is>
          <t>ZKEL09</t>
        </is>
      </c>
      <c r="B1286" t="inlineStr">
        <is>
          <t>ZKEL09_GULM0_Pethiyagoda_Kd</t>
        </is>
      </c>
      <c r="F1286" t="n">
        <v>6.94939</v>
      </c>
      <c r="G1286" t="n">
        <v>79.8997</v>
      </c>
      <c r="H1286" t="inlineStr">
        <is>
          <t>ZKEL09-M-L85-C1</t>
        </is>
      </c>
      <c r="K1286" t="inlineStr">
        <is>
          <t>S3</t>
        </is>
      </c>
      <c r="L1286" t="inlineStr">
        <is>
          <t>4G</t>
        </is>
      </c>
      <c r="M1286" t="inlineStr">
        <is>
          <t>850</t>
        </is>
      </c>
      <c r="N1286" t="inlineStr">
        <is>
          <t>AQU4518R9v06</t>
        </is>
      </c>
      <c r="O1286" t="n">
        <v>35</v>
      </c>
      <c r="P1286" t="n">
        <v>240</v>
      </c>
      <c r="Q1286" t="n">
        <v>0</v>
      </c>
      <c r="Y1286" t="inlineStr">
        <is>
          <t>2T2R</t>
        </is>
      </c>
      <c r="AB1286" t="inlineStr">
        <is>
          <t>R9254E S8500</t>
        </is>
      </c>
      <c r="AC1286" t="inlineStr">
        <is>
          <t>A9652 S35*3+R9264H M901821*3+R9254E S8500*2</t>
        </is>
      </c>
    </row>
    <row r="1287" hidden="1" ht="15" customHeight="1" s="99">
      <c r="A1287" t="inlineStr">
        <is>
          <t>ZKEL09</t>
        </is>
      </c>
      <c r="B1287" t="inlineStr">
        <is>
          <t>ZKEL09_GULM0_Pethiyagoda_Kd</t>
        </is>
      </c>
      <c r="F1287" t="n">
        <v>6.94939</v>
      </c>
      <c r="G1287" t="n">
        <v>79.8997</v>
      </c>
      <c r="H1287" t="inlineStr">
        <is>
          <t>ZKEL09-M-L21-C2</t>
        </is>
      </c>
      <c r="K1287" t="inlineStr">
        <is>
          <t>S3</t>
        </is>
      </c>
      <c r="L1287" t="inlineStr">
        <is>
          <t>4G</t>
        </is>
      </c>
      <c r="M1287" t="inlineStr">
        <is>
          <t>2100</t>
        </is>
      </c>
      <c r="N1287" t="inlineStr">
        <is>
          <t>AQU4518R9v06</t>
        </is>
      </c>
      <c r="O1287" t="n">
        <v>35</v>
      </c>
      <c r="P1287" t="n">
        <v>240</v>
      </c>
      <c r="Q1287" t="n">
        <v>0</v>
      </c>
      <c r="Y1287" t="inlineStr">
        <is>
          <t>2T2R</t>
        </is>
      </c>
      <c r="AB1287" t="inlineStr">
        <is>
          <t>R9264H M901821</t>
        </is>
      </c>
      <c r="AC1287" t="inlineStr">
        <is>
          <t>A9652 S35*3+R9264H M901821*3+R9254E S8500*2</t>
        </is>
      </c>
    </row>
    <row r="1288" hidden="1" ht="15" customHeight="1" s="99">
      <c r="A1288" t="inlineStr">
        <is>
          <t>ZKEL09</t>
        </is>
      </c>
      <c r="B1288" t="inlineStr">
        <is>
          <t>ZKEL09_GULM0_Pethiyagoda_Kd</t>
        </is>
      </c>
      <c r="F1288" t="n">
        <v>6.94939</v>
      </c>
      <c r="G1288" t="n">
        <v>79.8997</v>
      </c>
      <c r="H1288" t="inlineStr">
        <is>
          <t>ZKEL09I</t>
        </is>
      </c>
      <c r="K1288" t="inlineStr">
        <is>
          <t>S3</t>
        </is>
      </c>
      <c r="L1288" t="inlineStr">
        <is>
          <t>4G</t>
        </is>
      </c>
      <c r="M1288" t="inlineStr">
        <is>
          <t>1800</t>
        </is>
      </c>
      <c r="N1288" t="inlineStr">
        <is>
          <t>AQU4518R9v06</t>
        </is>
      </c>
      <c r="O1288" t="n">
        <v>35</v>
      </c>
      <c r="P1288" t="n">
        <v>240</v>
      </c>
      <c r="Q1288" t="n">
        <v>0</v>
      </c>
      <c r="Y1288" t="inlineStr">
        <is>
          <t>4T4R</t>
        </is>
      </c>
      <c r="AB1288" t="inlineStr">
        <is>
          <t>R9264H M901821</t>
        </is>
      </c>
      <c r="AC1288" t="inlineStr">
        <is>
          <t>A9652 S35*3+R9264H M901821*3+R9254E S8500*2</t>
        </is>
      </c>
    </row>
    <row r="1289" hidden="1" ht="15" customHeight="1" s="99">
      <c r="A1289" t="inlineStr">
        <is>
          <t>ZKEL11</t>
        </is>
      </c>
      <c r="B1289" t="inlineStr"/>
      <c r="F1289">
        <f>_xlfn.XLOOKUP(A1289,'[1]4G Parameters'!$E:$E,'[1]4G Parameters'!$J:$J)</f>
        <v/>
      </c>
      <c r="G1289">
        <f>_xlfn.XLOOKUP(A1289,'[1]4G Parameters'!$E:$E,'[1]4G Parameters'!$I:$I)</f>
        <v/>
      </c>
      <c r="H1289" t="inlineStr">
        <is>
          <t>ZKEL11A</t>
        </is>
      </c>
      <c r="K1289" t="inlineStr">
        <is>
          <t>S1</t>
        </is>
      </c>
      <c r="L1289" t="inlineStr">
        <is>
          <t>2G</t>
        </is>
      </c>
      <c r="M1289" t="inlineStr">
        <is>
          <t>900</t>
        </is>
      </c>
      <c r="N1289" t="inlineStr"/>
      <c r="O1289" t="n">
        <v>24</v>
      </c>
      <c r="P1289" t="n">
        <v>0</v>
      </c>
      <c r="Q1289" t="n">
        <v>2</v>
      </c>
      <c r="Y1289" t="inlineStr"/>
      <c r="AB1289" t="inlineStr">
        <is>
          <t>R9264H M901821</t>
        </is>
      </c>
      <c r="AC1289" t="inlineStr">
        <is>
          <t>A9652 S35*3+R9264H M901821*3+R9254E S8500*2</t>
        </is>
      </c>
    </row>
    <row r="1290" hidden="1" ht="15" customHeight="1" s="99">
      <c r="A1290" t="inlineStr">
        <is>
          <t>ZKEL11</t>
        </is>
      </c>
      <c r="B1290" t="inlineStr"/>
      <c r="F1290">
        <f>_xlfn.XLOOKUP(A1290,'[1]4G Parameters'!$E:$E,'[1]4G Parameters'!$J:$J)</f>
        <v/>
      </c>
      <c r="G1290">
        <f>_xlfn.XLOOKUP(A1290,'[1]4G Parameters'!$E:$E,'[1]4G Parameters'!$I:$I)</f>
        <v/>
      </c>
      <c r="H1290" t="inlineStr">
        <is>
          <t>ZKEL11P</t>
        </is>
      </c>
      <c r="K1290" t="inlineStr">
        <is>
          <t>S1</t>
        </is>
      </c>
      <c r="L1290" t="inlineStr">
        <is>
          <t>2G</t>
        </is>
      </c>
      <c r="M1290" t="inlineStr">
        <is>
          <t>1800</t>
        </is>
      </c>
      <c r="N1290" t="inlineStr"/>
      <c r="O1290" t="n">
        <v>24</v>
      </c>
      <c r="P1290" t="n">
        <v>0</v>
      </c>
      <c r="Q1290" t="n">
        <v>2</v>
      </c>
      <c r="Y1290" t="inlineStr"/>
      <c r="AB1290" t="inlineStr">
        <is>
          <t>R9264H M901821</t>
        </is>
      </c>
      <c r="AC1290" t="inlineStr">
        <is>
          <t>A9652 S35*3+R9264H M901821*3+R9254E S8500*2</t>
        </is>
      </c>
    </row>
    <row r="1291" hidden="1" ht="15" customHeight="1" s="99">
      <c r="A1291" t="inlineStr">
        <is>
          <t>ZKEL11</t>
        </is>
      </c>
      <c r="B1291" t="inlineStr">
        <is>
          <t>ZKEL11_00L00_Wanawasala_Kd</t>
        </is>
      </c>
      <c r="F1291" t="n">
        <v>6.97541</v>
      </c>
      <c r="G1291" t="n">
        <v>79.892</v>
      </c>
      <c r="H1291" t="inlineStr">
        <is>
          <t>ZKEL11G</t>
        </is>
      </c>
      <c r="K1291" t="inlineStr">
        <is>
          <t>S1</t>
        </is>
      </c>
      <c r="L1291" t="inlineStr">
        <is>
          <t>4G</t>
        </is>
      </c>
      <c r="M1291" t="inlineStr">
        <is>
          <t>1800</t>
        </is>
      </c>
      <c r="N1291" t="inlineStr"/>
      <c r="O1291" t="n">
        <v>9</v>
      </c>
      <c r="P1291" t="n">
        <v>0</v>
      </c>
      <c r="Q1291" t="n">
        <v>0</v>
      </c>
      <c r="Y1291" t="inlineStr">
        <is>
          <t>4T4R</t>
        </is>
      </c>
      <c r="AB1291" t="inlineStr">
        <is>
          <t>R9264H M901821</t>
        </is>
      </c>
      <c r="AC1291" t="inlineStr">
        <is>
          <t>A9652 S35*3+R9264H M901821*3+R9254E S8500*2</t>
        </is>
      </c>
    </row>
    <row r="1292" hidden="1" ht="15" customHeight="1" s="99">
      <c r="A1292" t="inlineStr">
        <is>
          <t>ZKEL11</t>
        </is>
      </c>
      <c r="B1292" t="inlineStr"/>
      <c r="F1292">
        <f>_xlfn.XLOOKUP(A1292,'[1]4G Parameters'!$E:$E,'[1]4G Parameters'!$J:$J)</f>
        <v/>
      </c>
      <c r="G1292">
        <f>_xlfn.XLOOKUP(A1292,'[1]4G Parameters'!$E:$E,'[1]4G Parameters'!$I:$I)</f>
        <v/>
      </c>
      <c r="H1292" t="inlineStr">
        <is>
          <t>ZKEL11B</t>
        </is>
      </c>
      <c r="K1292" t="inlineStr">
        <is>
          <t>S2</t>
        </is>
      </c>
      <c r="L1292" t="inlineStr">
        <is>
          <t>2G</t>
        </is>
      </c>
      <c r="M1292" t="inlineStr">
        <is>
          <t>900</t>
        </is>
      </c>
      <c r="N1292" t="inlineStr"/>
      <c r="O1292" t="n">
        <v>24</v>
      </c>
      <c r="P1292" t="n">
        <v>120</v>
      </c>
      <c r="Q1292" t="n">
        <v>2</v>
      </c>
      <c r="Y1292" t="inlineStr"/>
      <c r="AB1292" t="inlineStr">
        <is>
          <t>R9264H M901821</t>
        </is>
      </c>
      <c r="AC1292" t="inlineStr">
        <is>
          <t>A9652 S35*3+R9264H M901821*3+R9254E S8500*2</t>
        </is>
      </c>
    </row>
    <row r="1293" hidden="1" ht="15" customHeight="1" s="99">
      <c r="A1293" t="inlineStr">
        <is>
          <t>ZKEL11</t>
        </is>
      </c>
      <c r="B1293" t="inlineStr"/>
      <c r="F1293">
        <f>_xlfn.XLOOKUP(A1293,'[1]4G Parameters'!$E:$E,'[1]4G Parameters'!$J:$J)</f>
        <v/>
      </c>
      <c r="G1293">
        <f>_xlfn.XLOOKUP(A1293,'[1]4G Parameters'!$E:$E,'[1]4G Parameters'!$I:$I)</f>
        <v/>
      </c>
      <c r="H1293" t="inlineStr">
        <is>
          <t>ZKEL11Q</t>
        </is>
      </c>
      <c r="K1293" t="inlineStr">
        <is>
          <t>S2</t>
        </is>
      </c>
      <c r="L1293" t="inlineStr">
        <is>
          <t>2G</t>
        </is>
      </c>
      <c r="M1293" t="inlineStr">
        <is>
          <t>1800</t>
        </is>
      </c>
      <c r="N1293" t="inlineStr"/>
      <c r="O1293" t="n">
        <v>24</v>
      </c>
      <c r="P1293" t="n">
        <v>120</v>
      </c>
      <c r="Q1293" t="n">
        <v>2</v>
      </c>
      <c r="Y1293" t="inlineStr"/>
      <c r="AB1293" t="inlineStr">
        <is>
          <t>R9264H M901821</t>
        </is>
      </c>
      <c r="AC1293" t="inlineStr">
        <is>
          <t>A9652 S35*3+R9264H M901821*3+R9254E S8500*2</t>
        </is>
      </c>
    </row>
    <row r="1294" hidden="1" ht="15" customHeight="1" s="99">
      <c r="A1294" t="inlineStr">
        <is>
          <t>ZKEL11</t>
        </is>
      </c>
      <c r="B1294" t="inlineStr">
        <is>
          <t>ZKEL11_00L00_Wanawasala_Kd</t>
        </is>
      </c>
      <c r="F1294" t="n">
        <v>6.97541</v>
      </c>
      <c r="G1294" t="n">
        <v>79.892</v>
      </c>
      <c r="H1294" t="inlineStr">
        <is>
          <t>ZKEL11H</t>
        </is>
      </c>
      <c r="K1294" t="inlineStr">
        <is>
          <t>S2</t>
        </is>
      </c>
      <c r="L1294" t="inlineStr">
        <is>
          <t>4G</t>
        </is>
      </c>
      <c r="M1294" t="inlineStr">
        <is>
          <t>1800</t>
        </is>
      </c>
      <c r="N1294" t="inlineStr"/>
      <c r="O1294" t="n">
        <v>9</v>
      </c>
      <c r="P1294" t="n">
        <v>120</v>
      </c>
      <c r="Q1294" t="n">
        <v>0</v>
      </c>
      <c r="Y1294" t="inlineStr">
        <is>
          <t>4T4R</t>
        </is>
      </c>
      <c r="AB1294" t="inlineStr">
        <is>
          <t>R9264H M901821</t>
        </is>
      </c>
      <c r="AC1294" t="inlineStr">
        <is>
          <t>A9652 S35*3+R9264H M901821*3+R9254E S8500*2</t>
        </is>
      </c>
    </row>
    <row r="1295" hidden="1" ht="15" customHeight="1" s="99">
      <c r="A1295" t="inlineStr">
        <is>
          <t>ZKEL11</t>
        </is>
      </c>
      <c r="B1295" t="inlineStr"/>
      <c r="F1295">
        <f>_xlfn.XLOOKUP(A1295,'[1]4G Parameters'!$E:$E,'[1]4G Parameters'!$J:$J)</f>
        <v/>
      </c>
      <c r="G1295">
        <f>_xlfn.XLOOKUP(A1295,'[1]4G Parameters'!$E:$E,'[1]4G Parameters'!$I:$I)</f>
        <v/>
      </c>
      <c r="H1295" t="inlineStr">
        <is>
          <t>ZKEL11C</t>
        </is>
      </c>
      <c r="K1295" t="inlineStr">
        <is>
          <t>S3</t>
        </is>
      </c>
      <c r="L1295" t="inlineStr">
        <is>
          <t>2G</t>
        </is>
      </c>
      <c r="M1295" t="inlineStr">
        <is>
          <t>900</t>
        </is>
      </c>
      <c r="N1295" t="inlineStr"/>
      <c r="O1295" t="n">
        <v>24</v>
      </c>
      <c r="P1295" t="n">
        <v>240</v>
      </c>
      <c r="Q1295" t="n">
        <v>2</v>
      </c>
      <c r="Y1295" t="inlineStr"/>
      <c r="AB1295" t="inlineStr">
        <is>
          <t>R9264H M901821</t>
        </is>
      </c>
      <c r="AC1295" t="inlineStr">
        <is>
          <t>A9652 S35*3+R9264H M901821*3+R9254E S8500*2</t>
        </is>
      </c>
    </row>
    <row r="1296" hidden="1" ht="15" customHeight="1" s="99">
      <c r="A1296" t="inlineStr">
        <is>
          <t>ZKEL11</t>
        </is>
      </c>
      <c r="B1296" t="inlineStr"/>
      <c r="F1296">
        <f>_xlfn.XLOOKUP(A1296,'[1]4G Parameters'!$E:$E,'[1]4G Parameters'!$J:$J)</f>
        <v/>
      </c>
      <c r="G1296">
        <f>_xlfn.XLOOKUP(A1296,'[1]4G Parameters'!$E:$E,'[1]4G Parameters'!$I:$I)</f>
        <v/>
      </c>
      <c r="H1296" t="inlineStr">
        <is>
          <t>ZKEL11R</t>
        </is>
      </c>
      <c r="K1296" t="inlineStr">
        <is>
          <t>S3</t>
        </is>
      </c>
      <c r="L1296" t="inlineStr">
        <is>
          <t>2G</t>
        </is>
      </c>
      <c r="M1296" t="inlineStr">
        <is>
          <t>1800</t>
        </is>
      </c>
      <c r="N1296" t="inlineStr"/>
      <c r="O1296" t="n">
        <v>24</v>
      </c>
      <c r="P1296" t="n">
        <v>240</v>
      </c>
      <c r="Q1296" t="n">
        <v>2</v>
      </c>
      <c r="Y1296" t="inlineStr"/>
      <c r="AB1296" t="inlineStr">
        <is>
          <t>R9264H M901821</t>
        </is>
      </c>
      <c r="AC1296" t="inlineStr">
        <is>
          <t>A9652 S35*3+R9264H M901821*3+R9254E S8500*2</t>
        </is>
      </c>
    </row>
    <row r="1297" hidden="1" ht="15" customHeight="1" s="99">
      <c r="A1297" t="inlineStr">
        <is>
          <t>ZKEL11</t>
        </is>
      </c>
      <c r="B1297" t="inlineStr">
        <is>
          <t>ZKEL11_00L00_Wanawasala_Kd</t>
        </is>
      </c>
      <c r="F1297" t="n">
        <v>6.97541</v>
      </c>
      <c r="G1297" t="n">
        <v>79.892</v>
      </c>
      <c r="H1297" t="inlineStr">
        <is>
          <t>ZKEL11I</t>
        </is>
      </c>
      <c r="K1297" t="inlineStr">
        <is>
          <t>S3</t>
        </is>
      </c>
      <c r="L1297" t="inlineStr">
        <is>
          <t>4G</t>
        </is>
      </c>
      <c r="M1297" t="inlineStr">
        <is>
          <t>1800</t>
        </is>
      </c>
      <c r="N1297" t="inlineStr"/>
      <c r="O1297" t="n">
        <v>9</v>
      </c>
      <c r="P1297" t="n">
        <v>240</v>
      </c>
      <c r="Q1297" t="n">
        <v>0</v>
      </c>
      <c r="Y1297" t="inlineStr">
        <is>
          <t>4T4R</t>
        </is>
      </c>
      <c r="AB1297" t="inlineStr">
        <is>
          <t>R9264H M901821</t>
        </is>
      </c>
      <c r="AC1297" t="inlineStr">
        <is>
          <t>A9652 S35*3+R9264H M901821*3+R9254E S8500*2</t>
        </is>
      </c>
    </row>
    <row r="1298" hidden="1" ht="15" customHeight="1" s="99">
      <c r="A1298" t="inlineStr">
        <is>
          <t>ZKEL12</t>
        </is>
      </c>
      <c r="B1298" t="inlineStr"/>
      <c r="F1298">
        <f>_xlfn.XLOOKUP(A1298,'[1]4G Parameters'!$E:$E,'[1]4G Parameters'!$J:$J)</f>
        <v/>
      </c>
      <c r="G1298">
        <f>_xlfn.XLOOKUP(A1298,'[1]4G Parameters'!$E:$E,'[1]4G Parameters'!$I:$I)</f>
        <v/>
      </c>
      <c r="H1298" t="inlineStr">
        <is>
          <t>ZKEL12A</t>
        </is>
      </c>
      <c r="K1298" t="inlineStr">
        <is>
          <t>S1</t>
        </is>
      </c>
      <c r="L1298" t="inlineStr">
        <is>
          <t>2G</t>
        </is>
      </c>
      <c r="M1298" t="inlineStr">
        <is>
          <t>900</t>
        </is>
      </c>
      <c r="N1298" t="inlineStr"/>
      <c r="O1298" t="n">
        <v>40</v>
      </c>
      <c r="P1298" t="n">
        <v>25</v>
      </c>
      <c r="Q1298" t="n">
        <v>2</v>
      </c>
      <c r="Y1298" t="inlineStr"/>
      <c r="AB1298" t="inlineStr">
        <is>
          <t>R9264H M901821</t>
        </is>
      </c>
      <c r="AC1298" t="inlineStr">
        <is>
          <t>A9652 S35*3+R9264H M901821*3+R9254E S8500*2+R9264 M1821N*1</t>
        </is>
      </c>
    </row>
    <row r="1299" hidden="1" ht="15" customHeight="1" s="99">
      <c r="A1299" t="inlineStr">
        <is>
          <t>ZKEL12</t>
        </is>
      </c>
      <c r="B1299" t="inlineStr"/>
      <c r="F1299">
        <f>_xlfn.XLOOKUP(A1299,'[1]4G Parameters'!$E:$E,'[1]4G Parameters'!$J:$J)</f>
        <v/>
      </c>
      <c r="G1299">
        <f>_xlfn.XLOOKUP(A1299,'[1]4G Parameters'!$E:$E,'[1]4G Parameters'!$I:$I)</f>
        <v/>
      </c>
      <c r="H1299" t="inlineStr">
        <is>
          <t>ZKEL12P</t>
        </is>
      </c>
      <c r="K1299" t="inlineStr">
        <is>
          <t>S1</t>
        </is>
      </c>
      <c r="L1299" t="inlineStr">
        <is>
          <t>2G</t>
        </is>
      </c>
      <c r="M1299" t="inlineStr">
        <is>
          <t>1800</t>
        </is>
      </c>
      <c r="N1299" t="inlineStr"/>
      <c r="O1299" t="n">
        <v>40</v>
      </c>
      <c r="P1299" t="n">
        <v>25</v>
      </c>
      <c r="Q1299" t="n">
        <v>2</v>
      </c>
      <c r="Y1299" t="inlineStr"/>
      <c r="AB1299" t="inlineStr">
        <is>
          <t>R9264H M901821</t>
        </is>
      </c>
      <c r="AC1299" t="inlineStr">
        <is>
          <t>A9652 S35*3+R9264H M901821*3+R9254E S8500*2+R9264 M1821N*1</t>
        </is>
      </c>
    </row>
    <row r="1300" hidden="1" ht="15" customHeight="1" s="99">
      <c r="A1300" t="inlineStr">
        <is>
          <t>ZKEL12</t>
        </is>
      </c>
      <c r="B1300" t="inlineStr">
        <is>
          <t>ZKEL12_GUL00_Pethiyagoda2_Kd</t>
        </is>
      </c>
      <c r="F1300" t="n">
        <v>6.95647</v>
      </c>
      <c r="G1300" t="n">
        <v>79.905</v>
      </c>
      <c r="H1300" t="inlineStr">
        <is>
          <t>ZKEL12-M-L85-A1</t>
        </is>
      </c>
      <c r="K1300" t="inlineStr">
        <is>
          <t>S1</t>
        </is>
      </c>
      <c r="L1300" t="inlineStr">
        <is>
          <t>4G</t>
        </is>
      </c>
      <c r="M1300" t="inlineStr">
        <is>
          <t>850</t>
        </is>
      </c>
      <c r="N1300" t="inlineStr">
        <is>
          <t>AQU4518R9v06</t>
        </is>
      </c>
      <c r="O1300" t="n">
        <v>40</v>
      </c>
      <c r="P1300" t="n">
        <v>25</v>
      </c>
      <c r="Q1300" t="n">
        <v>0</v>
      </c>
      <c r="Y1300" t="inlineStr">
        <is>
          <t>2T2R</t>
        </is>
      </c>
      <c r="AB1300" t="inlineStr">
        <is>
          <t>R9254E S8500</t>
        </is>
      </c>
      <c r="AC1300" t="inlineStr">
        <is>
          <t>A9652 S35*3+R9264H M901821*3+R9254E S8500*2+R9264 M1821N*1</t>
        </is>
      </c>
    </row>
    <row r="1301" hidden="1" ht="15" customHeight="1" s="99">
      <c r="A1301" t="inlineStr">
        <is>
          <t>ZKEL12</t>
        </is>
      </c>
      <c r="B1301" t="inlineStr">
        <is>
          <t>ZKEL12_GUL00_Pethiyagoda2_Kd</t>
        </is>
      </c>
      <c r="F1301" t="n">
        <v>6.95647</v>
      </c>
      <c r="G1301" t="n">
        <v>79.905</v>
      </c>
      <c r="H1301" t="inlineStr">
        <is>
          <t>ZKEL12-M-L21-A2</t>
        </is>
      </c>
      <c r="K1301" t="inlineStr">
        <is>
          <t>S1</t>
        </is>
      </c>
      <c r="L1301" t="inlineStr">
        <is>
          <t>4G</t>
        </is>
      </c>
      <c r="M1301" t="inlineStr">
        <is>
          <t>2100</t>
        </is>
      </c>
      <c r="N1301" t="inlineStr">
        <is>
          <t>AQU4518R9v06</t>
        </is>
      </c>
      <c r="O1301" t="n">
        <v>40</v>
      </c>
      <c r="P1301" t="n">
        <v>25</v>
      </c>
      <c r="Q1301" t="n">
        <v>0</v>
      </c>
      <c r="Y1301" t="inlineStr">
        <is>
          <t>2T2R</t>
        </is>
      </c>
      <c r="AB1301" t="inlineStr">
        <is>
          <t>R9264H M901821</t>
        </is>
      </c>
      <c r="AC1301" t="inlineStr">
        <is>
          <t>A9652 S35*3+R9264H M901821*3+R9254E S8500*2+R9264 M1821N*1</t>
        </is>
      </c>
    </row>
    <row r="1302" hidden="1" ht="15" customHeight="1" s="99">
      <c r="A1302" t="inlineStr">
        <is>
          <t>ZKEL12</t>
        </is>
      </c>
      <c r="B1302" t="inlineStr">
        <is>
          <t>ZKEL12_GUL00_Pethiyagoda2_Kd</t>
        </is>
      </c>
      <c r="F1302" t="n">
        <v>6.95647</v>
      </c>
      <c r="G1302" t="n">
        <v>79.905</v>
      </c>
      <c r="H1302" t="inlineStr">
        <is>
          <t>ZKEL12G</t>
        </is>
      </c>
      <c r="K1302" t="inlineStr">
        <is>
          <t>S1</t>
        </is>
      </c>
      <c r="L1302" t="inlineStr">
        <is>
          <t>4G</t>
        </is>
      </c>
      <c r="M1302" t="inlineStr">
        <is>
          <t>1800</t>
        </is>
      </c>
      <c r="N1302" t="inlineStr">
        <is>
          <t>AQU4518R9v06</t>
        </is>
      </c>
      <c r="O1302" t="n">
        <v>40</v>
      </c>
      <c r="P1302" t="n">
        <v>25</v>
      </c>
      <c r="Q1302" t="n">
        <v>0</v>
      </c>
      <c r="Y1302" t="inlineStr">
        <is>
          <t>4T4R</t>
        </is>
      </c>
      <c r="AB1302" t="inlineStr">
        <is>
          <t>R9264H M901821</t>
        </is>
      </c>
      <c r="AC1302" t="inlineStr">
        <is>
          <t>A9652 S35*3+R9264H M901821*3+R9254E S8500*2+R9264 M1821N*1</t>
        </is>
      </c>
    </row>
    <row r="1303" hidden="1" ht="15" customHeight="1" s="99">
      <c r="A1303" t="inlineStr">
        <is>
          <t>ZKEL12</t>
        </is>
      </c>
      <c r="B1303" t="inlineStr"/>
      <c r="F1303">
        <f>_xlfn.XLOOKUP(A1303,'[1]4G Parameters'!$E:$E,'[1]4G Parameters'!$J:$J)</f>
        <v/>
      </c>
      <c r="G1303">
        <f>_xlfn.XLOOKUP(A1303,'[1]4G Parameters'!$E:$E,'[1]4G Parameters'!$I:$I)</f>
        <v/>
      </c>
      <c r="H1303" t="inlineStr">
        <is>
          <t>ZKEL12B</t>
        </is>
      </c>
      <c r="K1303" t="inlineStr">
        <is>
          <t>S2</t>
        </is>
      </c>
      <c r="L1303" t="inlineStr">
        <is>
          <t>2G</t>
        </is>
      </c>
      <c r="M1303" t="inlineStr">
        <is>
          <t>900</t>
        </is>
      </c>
      <c r="N1303" t="inlineStr"/>
      <c r="O1303" t="n">
        <v>40</v>
      </c>
      <c r="P1303" t="n">
        <v>120</v>
      </c>
      <c r="Q1303" t="n">
        <v>2</v>
      </c>
      <c r="Y1303" t="inlineStr"/>
      <c r="AB1303" t="inlineStr">
        <is>
          <t>R9264H M901821</t>
        </is>
      </c>
      <c r="AC1303" t="inlineStr">
        <is>
          <t>A9652 S35*3+R9264H M901821*3+R9254E S8500*2+R9264 M1821N*1</t>
        </is>
      </c>
    </row>
    <row r="1304" hidden="1" ht="15" customHeight="1" s="99">
      <c r="A1304" t="inlineStr">
        <is>
          <t>ZKEL12</t>
        </is>
      </c>
      <c r="B1304" t="inlineStr"/>
      <c r="F1304">
        <f>_xlfn.XLOOKUP(A1304,'[1]4G Parameters'!$E:$E,'[1]4G Parameters'!$J:$J)</f>
        <v/>
      </c>
      <c r="G1304">
        <f>_xlfn.XLOOKUP(A1304,'[1]4G Parameters'!$E:$E,'[1]4G Parameters'!$I:$I)</f>
        <v/>
      </c>
      <c r="H1304" t="inlineStr">
        <is>
          <t>ZKEL12Q</t>
        </is>
      </c>
      <c r="K1304" t="inlineStr">
        <is>
          <t>S2</t>
        </is>
      </c>
      <c r="L1304" t="inlineStr">
        <is>
          <t>2G</t>
        </is>
      </c>
      <c r="M1304" t="inlineStr">
        <is>
          <t>1800</t>
        </is>
      </c>
      <c r="N1304" t="inlineStr"/>
      <c r="O1304" t="n">
        <v>40</v>
      </c>
      <c r="P1304" t="n">
        <v>120</v>
      </c>
      <c r="Q1304" t="n">
        <v>2</v>
      </c>
      <c r="Y1304" t="inlineStr"/>
      <c r="AB1304" t="inlineStr">
        <is>
          <t>R9264H M901821</t>
        </is>
      </c>
      <c r="AC1304" t="inlineStr">
        <is>
          <t>A9652 S35*3+R9264H M901821*3+R9254E S8500*2+R9264 M1821N*1</t>
        </is>
      </c>
    </row>
    <row r="1305" hidden="1" ht="15" customHeight="1" s="99">
      <c r="AB1305" t="inlineStr">
        <is>
          <t>R9264 M1821N</t>
        </is>
      </c>
    </row>
    <row r="1306" hidden="1" ht="15" customHeight="1" s="99">
      <c r="A1306" t="inlineStr">
        <is>
          <t>ZKEL12</t>
        </is>
      </c>
      <c r="B1306" t="inlineStr">
        <is>
          <t>ZKEL12_GUL00_Pethiyagoda2_Kd</t>
        </is>
      </c>
      <c r="F1306" t="n">
        <v>6.95647</v>
      </c>
      <c r="G1306" t="n">
        <v>79.905</v>
      </c>
      <c r="H1306" t="inlineStr">
        <is>
          <t>ZKEL12-M-L85-B1</t>
        </is>
      </c>
      <c r="K1306" t="inlineStr">
        <is>
          <t>S2</t>
        </is>
      </c>
      <c r="L1306" t="inlineStr">
        <is>
          <t>4G</t>
        </is>
      </c>
      <c r="M1306" t="inlineStr">
        <is>
          <t>850</t>
        </is>
      </c>
      <c r="N1306" t="inlineStr">
        <is>
          <t>AMB4519R6v06</t>
        </is>
      </c>
      <c r="O1306" t="n">
        <v>40</v>
      </c>
      <c r="P1306" t="n">
        <v>120</v>
      </c>
      <c r="Q1306" t="n">
        <v>0</v>
      </c>
      <c r="Y1306" t="inlineStr">
        <is>
          <t>2T2R</t>
        </is>
      </c>
      <c r="AB1306" t="inlineStr">
        <is>
          <t>R9254E S8500</t>
        </is>
      </c>
      <c r="AC1306" t="inlineStr">
        <is>
          <t>A9652 S35*3+R9264H M901821*3+R9254E S8500*2+R9264 M1821N*1</t>
        </is>
      </c>
    </row>
    <row r="1307" hidden="1" ht="15" customHeight="1" s="99">
      <c r="A1307" t="inlineStr">
        <is>
          <t>ZKEL12</t>
        </is>
      </c>
      <c r="B1307" t="inlineStr">
        <is>
          <t>ZKEL12_GUL00_Pethiyagoda2_Kd</t>
        </is>
      </c>
      <c r="F1307" t="n">
        <v>6.95647</v>
      </c>
      <c r="G1307" t="n">
        <v>79.905</v>
      </c>
      <c r="H1307" t="inlineStr">
        <is>
          <t>ZKEL12-M-L21-B2</t>
        </is>
      </c>
      <c r="K1307" t="inlineStr">
        <is>
          <t>S2</t>
        </is>
      </c>
      <c r="L1307" t="inlineStr">
        <is>
          <t>4G</t>
        </is>
      </c>
      <c r="M1307" t="inlineStr">
        <is>
          <t>2100</t>
        </is>
      </c>
      <c r="N1307" t="inlineStr">
        <is>
          <t>AMB4519R6v06</t>
        </is>
      </c>
      <c r="O1307" t="n">
        <v>40</v>
      </c>
      <c r="P1307" t="n">
        <v>120</v>
      </c>
      <c r="Q1307" t="n">
        <v>0</v>
      </c>
      <c r="Y1307" t="inlineStr">
        <is>
          <t>2T2R</t>
        </is>
      </c>
      <c r="AB1307" t="inlineStr">
        <is>
          <t>R9264H M901821</t>
        </is>
      </c>
      <c r="AC1307" t="inlineStr">
        <is>
          <t>A9652 S35*3+R9264H M901821*3+R9254E S8500*2+R9264 M1821N*1</t>
        </is>
      </c>
    </row>
    <row r="1308" hidden="1" ht="15" customHeight="1" s="99">
      <c r="AB1308" t="inlineStr">
        <is>
          <t>R9264 M1821N</t>
        </is>
      </c>
    </row>
    <row r="1309" hidden="1" ht="15" customHeight="1" s="99">
      <c r="A1309" t="inlineStr">
        <is>
          <t>ZKEL12</t>
        </is>
      </c>
      <c r="B1309" t="inlineStr">
        <is>
          <t>ZKEL12_GUL00_Pethiyagoda2_Kd</t>
        </is>
      </c>
      <c r="F1309" t="n">
        <v>6.95647</v>
      </c>
      <c r="G1309" t="n">
        <v>79.905</v>
      </c>
      <c r="H1309" t="inlineStr">
        <is>
          <t>ZKEL12H</t>
        </is>
      </c>
      <c r="K1309" t="inlineStr">
        <is>
          <t>S2</t>
        </is>
      </c>
      <c r="L1309" t="inlineStr">
        <is>
          <t>4G</t>
        </is>
      </c>
      <c r="M1309" t="inlineStr">
        <is>
          <t>1800</t>
        </is>
      </c>
      <c r="N1309" t="inlineStr">
        <is>
          <t>AMB4519R6v06</t>
        </is>
      </c>
      <c r="O1309" t="n">
        <v>40</v>
      </c>
      <c r="P1309" t="n">
        <v>120</v>
      </c>
      <c r="Q1309" t="n">
        <v>0</v>
      </c>
      <c r="Y1309" t="inlineStr">
        <is>
          <t>2T2R</t>
        </is>
      </c>
      <c r="AB1309" t="inlineStr">
        <is>
          <t>R9264H M901821</t>
        </is>
      </c>
      <c r="AC1309" t="inlineStr">
        <is>
          <t>A9652 S35*3+R9264H M901821*3+R9254E S8500*2+R9264 M1821N*1</t>
        </is>
      </c>
    </row>
    <row r="1310" hidden="1" ht="15" customHeight="1" s="99">
      <c r="A1310" t="inlineStr">
        <is>
          <t>ZKEL12</t>
        </is>
      </c>
      <c r="B1310" t="inlineStr">
        <is>
          <t>ZKEL12_GUL00_Pethiyagoda2_Kd</t>
        </is>
      </c>
      <c r="F1310" t="n">
        <v>6.95647</v>
      </c>
      <c r="G1310" t="n">
        <v>79.905</v>
      </c>
      <c r="H1310" t="inlineStr">
        <is>
          <t>ZKEL12-M-L18-B1</t>
        </is>
      </c>
      <c r="K1310" t="inlineStr">
        <is>
          <t>S2</t>
        </is>
      </c>
      <c r="L1310" t="inlineStr">
        <is>
          <t>4G</t>
        </is>
      </c>
      <c r="M1310" t="inlineStr">
        <is>
          <t>1800</t>
        </is>
      </c>
      <c r="N1310" t="inlineStr">
        <is>
          <t>AMB4519R6v06</t>
        </is>
      </c>
      <c r="O1310" t="n">
        <v>40</v>
      </c>
      <c r="P1310" t="n">
        <v>120</v>
      </c>
      <c r="Q1310" t="n">
        <v>0</v>
      </c>
      <c r="Y1310" t="inlineStr">
        <is>
          <t>2T2R</t>
        </is>
      </c>
      <c r="AB1310" t="inlineStr">
        <is>
          <t>R9264 M1821N</t>
        </is>
      </c>
      <c r="AC1310" t="inlineStr">
        <is>
          <t>A9652 S35*3+R9264H M901821*3+R9254E S8500*2+R9264 M1821N*1</t>
        </is>
      </c>
    </row>
    <row r="1311" hidden="1" ht="15" customHeight="1" s="99">
      <c r="A1311" t="inlineStr">
        <is>
          <t>ZKEL12</t>
        </is>
      </c>
      <c r="B1311" t="inlineStr"/>
      <c r="F1311">
        <f>_xlfn.XLOOKUP(A1311,'[1]4G Parameters'!$E:$E,'[1]4G Parameters'!$J:$J)</f>
        <v/>
      </c>
      <c r="G1311">
        <f>_xlfn.XLOOKUP(A1311,'[1]4G Parameters'!$E:$E,'[1]4G Parameters'!$I:$I)</f>
        <v/>
      </c>
      <c r="H1311" t="inlineStr">
        <is>
          <t>ZKEL12C</t>
        </is>
      </c>
      <c r="K1311" t="inlineStr">
        <is>
          <t>S3</t>
        </is>
      </c>
      <c r="L1311" t="inlineStr">
        <is>
          <t>2G</t>
        </is>
      </c>
      <c r="M1311" t="inlineStr">
        <is>
          <t>900</t>
        </is>
      </c>
      <c r="N1311" t="inlineStr"/>
      <c r="O1311" t="n">
        <v>40</v>
      </c>
      <c r="P1311" t="n">
        <v>220</v>
      </c>
      <c r="Q1311" t="n">
        <v>2</v>
      </c>
      <c r="Y1311" t="inlineStr"/>
      <c r="AB1311" t="inlineStr">
        <is>
          <t>R9264H M901821</t>
        </is>
      </c>
      <c r="AC1311" t="inlineStr">
        <is>
          <t>A9652 S35*3+R9264H M901821*3+R9254E S8500*2+R9264 M1821N*1</t>
        </is>
      </c>
    </row>
    <row r="1312" hidden="1" ht="15" customHeight="1" s="99">
      <c r="A1312" t="inlineStr">
        <is>
          <t>ZKEL12</t>
        </is>
      </c>
      <c r="B1312" t="inlineStr"/>
      <c r="F1312">
        <f>_xlfn.XLOOKUP(A1312,'[1]4G Parameters'!$E:$E,'[1]4G Parameters'!$J:$J)</f>
        <v/>
      </c>
      <c r="G1312">
        <f>_xlfn.XLOOKUP(A1312,'[1]4G Parameters'!$E:$E,'[1]4G Parameters'!$I:$I)</f>
        <v/>
      </c>
      <c r="H1312" t="inlineStr">
        <is>
          <t>ZKEL12R</t>
        </is>
      </c>
      <c r="K1312" t="inlineStr">
        <is>
          <t>S3</t>
        </is>
      </c>
      <c r="L1312" t="inlineStr">
        <is>
          <t>2G</t>
        </is>
      </c>
      <c r="M1312" t="inlineStr">
        <is>
          <t>1800</t>
        </is>
      </c>
      <c r="N1312" t="inlineStr"/>
      <c r="O1312" t="n">
        <v>40</v>
      </c>
      <c r="P1312" t="n">
        <v>220</v>
      </c>
      <c r="Q1312" t="n">
        <v>2</v>
      </c>
      <c r="Y1312" t="inlineStr"/>
      <c r="AB1312" t="inlineStr">
        <is>
          <t>R9264H M901821</t>
        </is>
      </c>
      <c r="AC1312" t="inlineStr">
        <is>
          <t>A9652 S35*3+R9264H M901821*3+R9254E S8500*2+R9264 M1821N*1</t>
        </is>
      </c>
    </row>
    <row r="1313" hidden="1" ht="15" customHeight="1" s="99">
      <c r="A1313" t="inlineStr">
        <is>
          <t>ZKEL12</t>
        </is>
      </c>
      <c r="B1313" t="inlineStr">
        <is>
          <t>ZKEL12_GUL00_Pethiyagoda2_Kd</t>
        </is>
      </c>
      <c r="F1313" t="n">
        <v>6.95647</v>
      </c>
      <c r="G1313" t="n">
        <v>79.905</v>
      </c>
      <c r="H1313" t="inlineStr">
        <is>
          <t>ZKEL12-M-L85-C1</t>
        </is>
      </c>
      <c r="K1313" t="inlineStr">
        <is>
          <t>S3</t>
        </is>
      </c>
      <c r="L1313" t="inlineStr">
        <is>
          <t>4G</t>
        </is>
      </c>
      <c r="M1313" t="inlineStr">
        <is>
          <t>850</t>
        </is>
      </c>
      <c r="N1313" t="inlineStr">
        <is>
          <t>AQU4518R9v06</t>
        </is>
      </c>
      <c r="O1313" t="n">
        <v>40</v>
      </c>
      <c r="P1313" t="n">
        <v>220</v>
      </c>
      <c r="Q1313" t="n">
        <v>0</v>
      </c>
      <c r="Y1313" t="inlineStr">
        <is>
          <t>2T2R</t>
        </is>
      </c>
      <c r="AB1313" t="inlineStr">
        <is>
          <t>R9254E S8500</t>
        </is>
      </c>
      <c r="AC1313" t="inlineStr">
        <is>
          <t>A9652 S35*3+R9264H M901821*3+R9254E S8500*2+R9264 M1821N*1</t>
        </is>
      </c>
    </row>
    <row r="1314" hidden="1" ht="15" customHeight="1" s="99">
      <c r="A1314" t="inlineStr">
        <is>
          <t>ZKEL12</t>
        </is>
      </c>
      <c r="B1314" t="inlineStr">
        <is>
          <t>ZKEL12_GUL00_Pethiyagoda2_Kd</t>
        </is>
      </c>
      <c r="F1314" t="n">
        <v>6.95647</v>
      </c>
      <c r="G1314" t="n">
        <v>79.905</v>
      </c>
      <c r="H1314" t="inlineStr">
        <is>
          <t>ZKEL12-M-L21-C2</t>
        </is>
      </c>
      <c r="K1314" t="inlineStr">
        <is>
          <t>S3</t>
        </is>
      </c>
      <c r="L1314" t="inlineStr">
        <is>
          <t>4G</t>
        </is>
      </c>
      <c r="M1314" t="inlineStr">
        <is>
          <t>2100</t>
        </is>
      </c>
      <c r="N1314" t="inlineStr">
        <is>
          <t>AQU4518R9v06</t>
        </is>
      </c>
      <c r="O1314" t="n">
        <v>40</v>
      </c>
      <c r="P1314" t="n">
        <v>220</v>
      </c>
      <c r="Q1314" t="n">
        <v>0</v>
      </c>
      <c r="Y1314" t="inlineStr">
        <is>
          <t>2T2R</t>
        </is>
      </c>
      <c r="AB1314" t="inlineStr">
        <is>
          <t>R9264H M901821</t>
        </is>
      </c>
      <c r="AC1314" t="inlineStr">
        <is>
          <t>A9652 S35*3+R9264H M901821*3+R9254E S8500*2+R9264 M1821N*1</t>
        </is>
      </c>
    </row>
    <row r="1315" hidden="1" ht="15" customHeight="1" s="99">
      <c r="A1315" t="inlineStr">
        <is>
          <t>ZKEL12</t>
        </is>
      </c>
      <c r="B1315" t="inlineStr">
        <is>
          <t>ZKEL12_GUL00_Pethiyagoda2_Kd</t>
        </is>
      </c>
      <c r="F1315" t="n">
        <v>6.95647</v>
      </c>
      <c r="G1315" t="n">
        <v>79.905</v>
      </c>
      <c r="H1315" t="inlineStr">
        <is>
          <t>ZKEL12I</t>
        </is>
      </c>
      <c r="K1315" t="inlineStr">
        <is>
          <t>S3</t>
        </is>
      </c>
      <c r="L1315" t="inlineStr">
        <is>
          <t>4G</t>
        </is>
      </c>
      <c r="M1315" t="inlineStr">
        <is>
          <t>1800</t>
        </is>
      </c>
      <c r="N1315" t="inlineStr">
        <is>
          <t>AQU4518R9v06</t>
        </is>
      </c>
      <c r="O1315" t="n">
        <v>40</v>
      </c>
      <c r="P1315" t="n">
        <v>220</v>
      </c>
      <c r="Q1315" t="n">
        <v>0</v>
      </c>
      <c r="Y1315" t="inlineStr">
        <is>
          <t>2T2R</t>
        </is>
      </c>
      <c r="AB1315" t="inlineStr">
        <is>
          <t>R9264H M901821</t>
        </is>
      </c>
      <c r="AC1315" t="inlineStr">
        <is>
          <t>A9652 S35*3+R9264H M901821*3+R9254E S8500*2+R9264 M1821N*1</t>
        </is>
      </c>
    </row>
    <row r="1316" hidden="1" ht="15" customHeight="1" s="99">
      <c r="A1316" t="inlineStr">
        <is>
          <t>ZKEL13</t>
        </is>
      </c>
      <c r="B1316" t="inlineStr"/>
      <c r="F1316">
        <f>_xlfn.XLOOKUP(A1316,'[1]4G Parameters'!$E:$E,'[1]4G Parameters'!$J:$J)</f>
        <v/>
      </c>
      <c r="G1316">
        <f>_xlfn.XLOOKUP(A1316,'[1]4G Parameters'!$E:$E,'[1]4G Parameters'!$I:$I)</f>
        <v/>
      </c>
      <c r="H1316" t="inlineStr">
        <is>
          <t>ZKEL13P</t>
        </is>
      </c>
      <c r="K1316" t="inlineStr">
        <is>
          <t>S1</t>
        </is>
      </c>
      <c r="L1316" t="inlineStr">
        <is>
          <t>2G</t>
        </is>
      </c>
      <c r="M1316" t="inlineStr">
        <is>
          <t>1800</t>
        </is>
      </c>
      <c r="N1316" t="inlineStr"/>
      <c r="O1316" t="n">
        <v>21</v>
      </c>
      <c r="P1316" t="n">
        <v>0</v>
      </c>
      <c r="Q1316" t="n">
        <v>2</v>
      </c>
      <c r="Y1316" t="inlineStr"/>
      <c r="AB1316" t="inlineStr">
        <is>
          <t>R9264 M1821N</t>
        </is>
      </c>
      <c r="AC1316" t="inlineStr">
        <is>
          <t>R9264 M1821N*3</t>
        </is>
      </c>
    </row>
    <row r="1317" hidden="1" ht="15" customHeight="1" s="99">
      <c r="A1317" t="inlineStr">
        <is>
          <t>ZKEL13</t>
        </is>
      </c>
      <c r="B1317" t="inlineStr">
        <is>
          <t>ZKEL13_0UL00_Thorana_Junction2_Kd</t>
        </is>
      </c>
      <c r="F1317" t="n">
        <v>6.9682</v>
      </c>
      <c r="G1317" t="n">
        <v>79.9037</v>
      </c>
      <c r="H1317" t="inlineStr">
        <is>
          <t>ZKEL13-M-L21-A2</t>
        </is>
      </c>
      <c r="K1317" t="inlineStr">
        <is>
          <t>S1</t>
        </is>
      </c>
      <c r="L1317" t="inlineStr">
        <is>
          <t>4G</t>
        </is>
      </c>
      <c r="M1317" t="inlineStr">
        <is>
          <t>2100</t>
        </is>
      </c>
      <c r="N1317" t="inlineStr">
        <is>
          <t>APE4517R0v06</t>
        </is>
      </c>
      <c r="O1317" t="n">
        <v>9</v>
      </c>
      <c r="P1317" t="n">
        <v>0</v>
      </c>
      <c r="Q1317" t="n">
        <v>0</v>
      </c>
      <c r="Y1317" t="inlineStr">
        <is>
          <t>2T2R</t>
        </is>
      </c>
      <c r="AB1317" t="inlineStr">
        <is>
          <t>R9264 M1821N</t>
        </is>
      </c>
      <c r="AC1317" t="inlineStr">
        <is>
          <t>R9264 M1821N*3</t>
        </is>
      </c>
    </row>
    <row r="1318" hidden="1" ht="15" customHeight="1" s="99">
      <c r="A1318" t="inlineStr">
        <is>
          <t>ZKEL13</t>
        </is>
      </c>
      <c r="B1318" t="inlineStr">
        <is>
          <t>ZKEL13_0UL00_Thorana_Junction2_Kd</t>
        </is>
      </c>
      <c r="F1318" t="n">
        <v>6.9682</v>
      </c>
      <c r="G1318" t="n">
        <v>79.9037</v>
      </c>
      <c r="H1318" t="inlineStr">
        <is>
          <t>ZKEL13G</t>
        </is>
      </c>
      <c r="K1318" t="inlineStr">
        <is>
          <t>S1</t>
        </is>
      </c>
      <c r="L1318" t="inlineStr">
        <is>
          <t>4G</t>
        </is>
      </c>
      <c r="M1318" t="inlineStr">
        <is>
          <t>1800</t>
        </is>
      </c>
      <c r="N1318" t="inlineStr">
        <is>
          <t>APE4517R0v06</t>
        </is>
      </c>
      <c r="O1318" t="n">
        <v>9</v>
      </c>
      <c r="P1318" t="n">
        <v>0</v>
      </c>
      <c r="Q1318" t="n">
        <v>0</v>
      </c>
      <c r="Y1318" t="inlineStr">
        <is>
          <t>2T2R</t>
        </is>
      </c>
      <c r="AB1318" t="inlineStr">
        <is>
          <t>R9264 M1821N</t>
        </is>
      </c>
      <c r="AC1318" t="inlineStr">
        <is>
          <t>R9264 M1821N*3</t>
        </is>
      </c>
    </row>
    <row r="1319" hidden="1" ht="15" customHeight="1" s="99">
      <c r="A1319" t="inlineStr">
        <is>
          <t>ZKEL13</t>
        </is>
      </c>
      <c r="B1319" t="inlineStr"/>
      <c r="F1319">
        <f>_xlfn.XLOOKUP(A1319,'[1]4G Parameters'!$E:$E,'[1]4G Parameters'!$J:$J)</f>
        <v/>
      </c>
      <c r="G1319">
        <f>_xlfn.XLOOKUP(A1319,'[1]4G Parameters'!$E:$E,'[1]4G Parameters'!$I:$I)</f>
        <v/>
      </c>
      <c r="H1319" t="inlineStr">
        <is>
          <t>ZKEL13Q</t>
        </is>
      </c>
      <c r="K1319" t="inlineStr">
        <is>
          <t>S2</t>
        </is>
      </c>
      <c r="L1319" t="inlineStr">
        <is>
          <t>2G</t>
        </is>
      </c>
      <c r="M1319" t="inlineStr">
        <is>
          <t>1800</t>
        </is>
      </c>
      <c r="N1319" t="inlineStr"/>
      <c r="O1319" t="n">
        <v>21</v>
      </c>
      <c r="P1319" t="n">
        <v>120</v>
      </c>
      <c r="Q1319" t="n">
        <v>2</v>
      </c>
      <c r="Y1319" t="inlineStr"/>
      <c r="AB1319" t="inlineStr">
        <is>
          <t>R9264 M1821N</t>
        </is>
      </c>
      <c r="AC1319" t="inlineStr">
        <is>
          <t>R9264 M1821N*3</t>
        </is>
      </c>
    </row>
    <row r="1320" hidden="1" ht="15" customHeight="1" s="99">
      <c r="A1320" t="inlineStr">
        <is>
          <t>ZKEL13</t>
        </is>
      </c>
      <c r="B1320" t="inlineStr">
        <is>
          <t>ZKEL13_0UL00_Thorana_Junction2_Kd</t>
        </is>
      </c>
      <c r="F1320" t="n">
        <v>6.9682</v>
      </c>
      <c r="G1320" t="n">
        <v>79.9037</v>
      </c>
      <c r="H1320" t="inlineStr">
        <is>
          <t>ZKEL13-M-L21-B2</t>
        </is>
      </c>
      <c r="K1320" t="inlineStr">
        <is>
          <t>S2</t>
        </is>
      </c>
      <c r="L1320" t="inlineStr">
        <is>
          <t>4G</t>
        </is>
      </c>
      <c r="M1320" t="inlineStr">
        <is>
          <t>2100</t>
        </is>
      </c>
      <c r="N1320" t="inlineStr">
        <is>
          <t>APE4517R0v06</t>
        </is>
      </c>
      <c r="O1320" t="n">
        <v>9</v>
      </c>
      <c r="P1320" t="n">
        <v>120</v>
      </c>
      <c r="Q1320" t="n">
        <v>0</v>
      </c>
      <c r="Y1320" t="inlineStr">
        <is>
          <t>2T2R</t>
        </is>
      </c>
      <c r="AB1320" t="inlineStr">
        <is>
          <t>R9264 M1821N</t>
        </is>
      </c>
      <c r="AC1320" t="inlineStr">
        <is>
          <t>R9264 M1821N*3</t>
        </is>
      </c>
    </row>
    <row r="1321" hidden="1" ht="15" customHeight="1" s="99">
      <c r="A1321" t="inlineStr">
        <is>
          <t>ZKEL13</t>
        </is>
      </c>
      <c r="B1321" t="inlineStr">
        <is>
          <t>ZKEL13_0UL00_Thorana_Junction2_Kd</t>
        </is>
      </c>
      <c r="F1321" t="n">
        <v>6.9682</v>
      </c>
      <c r="G1321" t="n">
        <v>79.9037</v>
      </c>
      <c r="H1321" t="inlineStr">
        <is>
          <t>ZKEL13H</t>
        </is>
      </c>
      <c r="K1321" t="inlineStr">
        <is>
          <t>S2</t>
        </is>
      </c>
      <c r="L1321" t="inlineStr">
        <is>
          <t>4G</t>
        </is>
      </c>
      <c r="M1321" t="inlineStr">
        <is>
          <t>1800</t>
        </is>
      </c>
      <c r="N1321" t="inlineStr">
        <is>
          <t>APE4517R0v06</t>
        </is>
      </c>
      <c r="O1321" t="n">
        <v>9</v>
      </c>
      <c r="P1321" t="n">
        <v>120</v>
      </c>
      <c r="Q1321" t="n">
        <v>0</v>
      </c>
      <c r="Y1321" t="inlineStr">
        <is>
          <t>2T2R</t>
        </is>
      </c>
      <c r="AB1321" t="inlineStr">
        <is>
          <t>R9264 M1821N</t>
        </is>
      </c>
      <c r="AC1321" t="inlineStr">
        <is>
          <t>R9264 M1821N*3</t>
        </is>
      </c>
    </row>
    <row r="1322" hidden="1" ht="15" customHeight="1" s="99">
      <c r="A1322" t="inlineStr">
        <is>
          <t>ZKEL13</t>
        </is>
      </c>
      <c r="B1322" t="inlineStr"/>
      <c r="F1322">
        <f>_xlfn.XLOOKUP(A1322,'[1]4G Parameters'!$E:$E,'[1]4G Parameters'!$J:$J)</f>
        <v/>
      </c>
      <c r="G1322">
        <f>_xlfn.XLOOKUP(A1322,'[1]4G Parameters'!$E:$E,'[1]4G Parameters'!$I:$I)</f>
        <v/>
      </c>
      <c r="H1322" t="inlineStr">
        <is>
          <t>ZKEL13R</t>
        </is>
      </c>
      <c r="K1322" t="inlineStr">
        <is>
          <t>S3</t>
        </is>
      </c>
      <c r="L1322" t="inlineStr">
        <is>
          <t>2G</t>
        </is>
      </c>
      <c r="M1322" t="inlineStr">
        <is>
          <t>1800</t>
        </is>
      </c>
      <c r="N1322" t="inlineStr"/>
      <c r="O1322" t="n">
        <v>21</v>
      </c>
      <c r="P1322" t="n">
        <v>240</v>
      </c>
      <c r="Q1322" t="n">
        <v>2</v>
      </c>
      <c r="Y1322" t="inlineStr"/>
      <c r="AB1322" t="inlineStr">
        <is>
          <t>R9264 M1821N</t>
        </is>
      </c>
      <c r="AC1322" t="inlineStr">
        <is>
          <t>R9264 M1821N*3</t>
        </is>
      </c>
    </row>
    <row r="1323" hidden="1" ht="15" customHeight="1" s="99">
      <c r="A1323" t="inlineStr">
        <is>
          <t>ZKEL13</t>
        </is>
      </c>
      <c r="B1323" t="inlineStr">
        <is>
          <t>ZKEL13_0UL00_Thorana_Junction2_Kd</t>
        </is>
      </c>
      <c r="F1323" t="n">
        <v>6.9682</v>
      </c>
      <c r="G1323" t="n">
        <v>79.9037</v>
      </c>
      <c r="H1323" t="inlineStr">
        <is>
          <t>ZKEL13-M-L21-C2</t>
        </is>
      </c>
      <c r="K1323" t="inlineStr">
        <is>
          <t>S3</t>
        </is>
      </c>
      <c r="L1323" t="inlineStr">
        <is>
          <t>4G</t>
        </is>
      </c>
      <c r="M1323" t="inlineStr">
        <is>
          <t>2100</t>
        </is>
      </c>
      <c r="N1323" t="inlineStr">
        <is>
          <t>APE4517R0v06</t>
        </is>
      </c>
      <c r="O1323" t="n">
        <v>9</v>
      </c>
      <c r="P1323" t="n">
        <v>240</v>
      </c>
      <c r="Q1323" t="n">
        <v>0</v>
      </c>
      <c r="Y1323" t="inlineStr">
        <is>
          <t>2T2R</t>
        </is>
      </c>
      <c r="AB1323" t="inlineStr">
        <is>
          <t>R9264 M1821N</t>
        </is>
      </c>
      <c r="AC1323" t="inlineStr">
        <is>
          <t>R9264 M1821N*3</t>
        </is>
      </c>
    </row>
    <row r="1324" hidden="1" ht="15" customHeight="1" s="99">
      <c r="A1324" t="inlineStr">
        <is>
          <t>ZKEL13</t>
        </is>
      </c>
      <c r="B1324" t="inlineStr">
        <is>
          <t>ZKEL13_0UL00_Thorana_Junction2_Kd</t>
        </is>
      </c>
      <c r="F1324" t="n">
        <v>6.9682</v>
      </c>
      <c r="G1324" t="n">
        <v>79.9037</v>
      </c>
      <c r="H1324" t="inlineStr">
        <is>
          <t>ZKEL13I</t>
        </is>
      </c>
      <c r="K1324" t="inlineStr">
        <is>
          <t>S3</t>
        </is>
      </c>
      <c r="L1324" t="inlineStr">
        <is>
          <t>4G</t>
        </is>
      </c>
      <c r="M1324" t="inlineStr">
        <is>
          <t>1800</t>
        </is>
      </c>
      <c r="N1324" t="inlineStr">
        <is>
          <t>APE4517R0v06</t>
        </is>
      </c>
      <c r="O1324" t="n">
        <v>9</v>
      </c>
      <c r="P1324" t="n">
        <v>240</v>
      </c>
      <c r="Q1324" t="n">
        <v>0</v>
      </c>
      <c r="Y1324" t="inlineStr">
        <is>
          <t>2T2R</t>
        </is>
      </c>
      <c r="AB1324" t="inlineStr">
        <is>
          <t>R9264 M1821N</t>
        </is>
      </c>
      <c r="AC1324" t="inlineStr">
        <is>
          <t>R9264 M1821N*3</t>
        </is>
      </c>
    </row>
    <row r="1325" hidden="1" ht="15" customHeight="1" s="99">
      <c r="A1325" t="inlineStr">
        <is>
          <t>ZKEL14</t>
        </is>
      </c>
      <c r="B1325" t="inlineStr"/>
      <c r="F1325">
        <f>_xlfn.XLOOKUP(A1325,'[1]4G Parameters'!$E:$E,'[1]4G Parameters'!$J:$J)</f>
        <v/>
      </c>
      <c r="G1325">
        <f>_xlfn.XLOOKUP(A1325,'[1]4G Parameters'!$E:$E,'[1]4G Parameters'!$I:$I)</f>
        <v/>
      </c>
      <c r="H1325" t="inlineStr">
        <is>
          <t>ZKEL14A</t>
        </is>
      </c>
      <c r="K1325" t="inlineStr">
        <is>
          <t>S1</t>
        </is>
      </c>
      <c r="L1325" t="inlineStr">
        <is>
          <t>2G</t>
        </is>
      </c>
      <c r="M1325" t="inlineStr">
        <is>
          <t>900</t>
        </is>
      </c>
      <c r="N1325" t="inlineStr"/>
      <c r="O1325" t="n">
        <v>40</v>
      </c>
      <c r="P1325" t="n">
        <v>0</v>
      </c>
      <c r="Q1325" t="n">
        <v>2</v>
      </c>
      <c r="Y1325" t="inlineStr"/>
      <c r="AB1325" t="inlineStr">
        <is>
          <t>R9264H M901821</t>
        </is>
      </c>
      <c r="AC1325" t="inlineStr">
        <is>
          <t>A9652 S35*3+R9264H M901821*3+R9254E S8500*2+R9264 M1821N*2</t>
        </is>
      </c>
    </row>
    <row r="1326" hidden="1" ht="15" customHeight="1" s="99">
      <c r="A1326" t="inlineStr">
        <is>
          <t>ZKEL14</t>
        </is>
      </c>
      <c r="B1326" t="inlineStr"/>
      <c r="F1326">
        <f>_xlfn.XLOOKUP(A1326,'[1]4G Parameters'!$E:$E,'[1]4G Parameters'!$J:$J)</f>
        <v/>
      </c>
      <c r="G1326">
        <f>_xlfn.XLOOKUP(A1326,'[1]4G Parameters'!$E:$E,'[1]4G Parameters'!$I:$I)</f>
        <v/>
      </c>
      <c r="H1326" t="inlineStr">
        <is>
          <t>ZKEL14P</t>
        </is>
      </c>
      <c r="K1326" t="inlineStr">
        <is>
          <t>S1</t>
        </is>
      </c>
      <c r="L1326" t="inlineStr">
        <is>
          <t>2G</t>
        </is>
      </c>
      <c r="M1326" t="inlineStr">
        <is>
          <t>1800</t>
        </is>
      </c>
      <c r="N1326" t="inlineStr"/>
      <c r="O1326" t="n">
        <v>40</v>
      </c>
      <c r="P1326" t="n">
        <v>0</v>
      </c>
      <c r="Q1326" t="n">
        <v>2</v>
      </c>
      <c r="Y1326" t="inlineStr"/>
      <c r="AB1326" t="inlineStr">
        <is>
          <t>R9264H M901821</t>
        </is>
      </c>
      <c r="AC1326" t="inlineStr">
        <is>
          <t>A9652 S35*3+R9264H M901821*3+R9254E S8500*2+R9264 M1821N*2</t>
        </is>
      </c>
    </row>
    <row r="1327" hidden="1" ht="15" customHeight="1" s="99">
      <c r="A1327" t="inlineStr">
        <is>
          <t>ZKEL14</t>
        </is>
      </c>
      <c r="B1327" t="inlineStr">
        <is>
          <t>ZKEL14_GULM0_Kelaniya_SLT_Kd</t>
        </is>
      </c>
      <c r="F1327" t="n">
        <v>6.95861</v>
      </c>
      <c r="G1327" t="n">
        <v>79.8948</v>
      </c>
      <c r="H1327" t="inlineStr">
        <is>
          <t>ZKEL14-M-L85-A1</t>
        </is>
      </c>
      <c r="K1327" t="inlineStr">
        <is>
          <t>S1</t>
        </is>
      </c>
      <c r="L1327" t="inlineStr">
        <is>
          <t>4G</t>
        </is>
      </c>
      <c r="M1327" t="inlineStr">
        <is>
          <t>850</t>
        </is>
      </c>
      <c r="N1327" t="inlineStr">
        <is>
          <t>AQU4518R9v06</t>
        </is>
      </c>
      <c r="O1327" t="n">
        <v>40</v>
      </c>
      <c r="P1327" t="n">
        <v>0</v>
      </c>
      <c r="Q1327" t="n">
        <v>0</v>
      </c>
      <c r="Y1327" t="inlineStr">
        <is>
          <t>2T2R</t>
        </is>
      </c>
      <c r="AB1327" t="inlineStr">
        <is>
          <t>R9254E S8500</t>
        </is>
      </c>
      <c r="AC1327" t="inlineStr">
        <is>
          <t>A9652 S35*3+R9264H M901821*3+R9254E S8500*2+R9264 M1821N*2</t>
        </is>
      </c>
    </row>
    <row r="1328" hidden="1" ht="15" customHeight="1" s="99">
      <c r="A1328" t="inlineStr">
        <is>
          <t>ZKEL14</t>
        </is>
      </c>
      <c r="B1328" t="inlineStr">
        <is>
          <t>ZKEL14_GULM0_Kelaniya_SLT_Kd</t>
        </is>
      </c>
      <c r="F1328" t="n">
        <v>6.95861</v>
      </c>
      <c r="G1328" t="n">
        <v>79.8948</v>
      </c>
      <c r="H1328" t="inlineStr">
        <is>
          <t>ZKEL14-M-L21-A2</t>
        </is>
      </c>
      <c r="K1328" t="inlineStr">
        <is>
          <t>S1</t>
        </is>
      </c>
      <c r="L1328" t="inlineStr">
        <is>
          <t>4G</t>
        </is>
      </c>
      <c r="M1328" t="inlineStr">
        <is>
          <t>2100</t>
        </is>
      </c>
      <c r="N1328" t="inlineStr">
        <is>
          <t>AQU4518R9v06</t>
        </is>
      </c>
      <c r="O1328" t="n">
        <v>40</v>
      </c>
      <c r="P1328" t="n">
        <v>0</v>
      </c>
      <c r="Q1328" t="n">
        <v>0</v>
      </c>
      <c r="Y1328" t="inlineStr">
        <is>
          <t>2T2R</t>
        </is>
      </c>
      <c r="AB1328" t="inlineStr">
        <is>
          <t>R9264H M901821</t>
        </is>
      </c>
      <c r="AC1328" t="inlineStr">
        <is>
          <t>A9652 S35*3+R9264H M901821*3+R9254E S8500*2+R9264 M1821N*2</t>
        </is>
      </c>
    </row>
    <row r="1329" hidden="1" ht="15" customHeight="1" s="99">
      <c r="A1329" t="inlineStr">
        <is>
          <t>ZKEL14</t>
        </is>
      </c>
      <c r="B1329" t="inlineStr">
        <is>
          <t>ZKEL14_GULM0_Kelaniya_SLT_Kd</t>
        </is>
      </c>
      <c r="F1329" t="n">
        <v>6.95861</v>
      </c>
      <c r="G1329" t="n">
        <v>79.8948</v>
      </c>
      <c r="H1329" t="inlineStr">
        <is>
          <t>ZKEL14G</t>
        </is>
      </c>
      <c r="K1329" t="inlineStr">
        <is>
          <t>S1</t>
        </is>
      </c>
      <c r="L1329" t="inlineStr">
        <is>
          <t>4G</t>
        </is>
      </c>
      <c r="M1329" t="inlineStr">
        <is>
          <t>1800</t>
        </is>
      </c>
      <c r="N1329" t="inlineStr">
        <is>
          <t>AQU4518R9v06</t>
        </is>
      </c>
      <c r="O1329" t="n">
        <v>40</v>
      </c>
      <c r="P1329" t="n">
        <v>0</v>
      </c>
      <c r="Q1329" t="n">
        <v>0</v>
      </c>
      <c r="Y1329" t="inlineStr">
        <is>
          <t>4T4R</t>
        </is>
      </c>
      <c r="AB1329" t="inlineStr">
        <is>
          <t>R9264H M901821</t>
        </is>
      </c>
      <c r="AC1329" t="inlineStr">
        <is>
          <t>A9652 S35*3+R9264H M901821*3+R9254E S8500*2+R9264 M1821N*2</t>
        </is>
      </c>
    </row>
    <row r="1330" hidden="1" ht="15" customHeight="1" s="99">
      <c r="A1330" t="inlineStr">
        <is>
          <t>ZKEL14</t>
        </is>
      </c>
      <c r="B1330" t="inlineStr"/>
      <c r="F1330">
        <f>_xlfn.XLOOKUP(A1330,'[1]4G Parameters'!$E:$E,'[1]4G Parameters'!$J:$J)</f>
        <v/>
      </c>
      <c r="G1330">
        <f>_xlfn.XLOOKUP(A1330,'[1]4G Parameters'!$E:$E,'[1]4G Parameters'!$I:$I)</f>
        <v/>
      </c>
      <c r="H1330" t="inlineStr">
        <is>
          <t>ZKEL14B</t>
        </is>
      </c>
      <c r="K1330" t="inlineStr">
        <is>
          <t>S2</t>
        </is>
      </c>
      <c r="L1330" t="inlineStr">
        <is>
          <t>2G</t>
        </is>
      </c>
      <c r="M1330" t="inlineStr">
        <is>
          <t>900</t>
        </is>
      </c>
      <c r="N1330" t="inlineStr"/>
      <c r="O1330" t="n">
        <v>40</v>
      </c>
      <c r="P1330" t="n">
        <v>120</v>
      </c>
      <c r="Q1330" t="n">
        <v>2</v>
      </c>
      <c r="Y1330" t="inlineStr"/>
      <c r="AB1330" t="inlineStr">
        <is>
          <t>R9264H M901821</t>
        </is>
      </c>
      <c r="AC1330" t="inlineStr">
        <is>
          <t>A9652 S35*3+R9264H M901821*3+R9254E S8500*2+R9264 M1821N*2</t>
        </is>
      </c>
    </row>
    <row r="1331" hidden="1" ht="15" customHeight="1" s="99">
      <c r="A1331" t="inlineStr">
        <is>
          <t>ZKEL14</t>
        </is>
      </c>
      <c r="B1331" t="inlineStr"/>
      <c r="F1331">
        <f>_xlfn.XLOOKUP(A1331,'[1]4G Parameters'!$E:$E,'[1]4G Parameters'!$J:$J)</f>
        <v/>
      </c>
      <c r="G1331">
        <f>_xlfn.XLOOKUP(A1331,'[1]4G Parameters'!$E:$E,'[1]4G Parameters'!$I:$I)</f>
        <v/>
      </c>
      <c r="H1331" t="inlineStr">
        <is>
          <t>ZKEL14Q</t>
        </is>
      </c>
      <c r="K1331" t="inlineStr">
        <is>
          <t>S2</t>
        </is>
      </c>
      <c r="L1331" t="inlineStr">
        <is>
          <t>2G</t>
        </is>
      </c>
      <c r="M1331" t="inlineStr">
        <is>
          <t>1800</t>
        </is>
      </c>
      <c r="N1331" t="inlineStr"/>
      <c r="O1331" t="n">
        <v>40</v>
      </c>
      <c r="P1331" t="n">
        <v>120</v>
      </c>
      <c r="Q1331" t="n">
        <v>2</v>
      </c>
      <c r="Y1331" t="inlineStr"/>
      <c r="AB1331" t="inlineStr">
        <is>
          <t>R9264H M901821</t>
        </is>
      </c>
      <c r="AC1331" t="inlineStr">
        <is>
          <t>A9652 S35*3+R9264H M901821*3+R9254E S8500*2+R9264 M1821N*2</t>
        </is>
      </c>
    </row>
    <row r="1332" hidden="1" ht="15" customHeight="1" s="99">
      <c r="AB1332" t="inlineStr">
        <is>
          <t>R9264 M1821N</t>
        </is>
      </c>
    </row>
    <row r="1333" hidden="1" ht="15" customHeight="1" s="99">
      <c r="A1333" t="inlineStr">
        <is>
          <t>ZKEL14</t>
        </is>
      </c>
      <c r="B1333" t="inlineStr">
        <is>
          <t>ZKEL14_GULM0_Kelaniya_SLT_Kd</t>
        </is>
      </c>
      <c r="F1333" t="n">
        <v>6.95861</v>
      </c>
      <c r="G1333" t="n">
        <v>79.8948</v>
      </c>
      <c r="H1333" t="inlineStr">
        <is>
          <t>ZKEL14-M-L85-B1</t>
        </is>
      </c>
      <c r="K1333" t="inlineStr">
        <is>
          <t>S2</t>
        </is>
      </c>
      <c r="L1333" t="inlineStr">
        <is>
          <t>4G</t>
        </is>
      </c>
      <c r="M1333" t="inlineStr">
        <is>
          <t>850</t>
        </is>
      </c>
      <c r="N1333" t="inlineStr">
        <is>
          <t>AQU4518R9v06</t>
        </is>
      </c>
      <c r="O1333" t="n">
        <v>40</v>
      </c>
      <c r="P1333" t="n">
        <v>120</v>
      </c>
      <c r="Q1333" t="n">
        <v>0</v>
      </c>
      <c r="Y1333" t="inlineStr">
        <is>
          <t>2T2R</t>
        </is>
      </c>
      <c r="AB1333" t="inlineStr">
        <is>
          <t>R9254E S8500</t>
        </is>
      </c>
      <c r="AC1333" t="inlineStr">
        <is>
          <t>A9652 S35*3+R9264H M901821*3+R9254E S8500*2+R9264 M1821N*2</t>
        </is>
      </c>
    </row>
    <row r="1334" hidden="1" ht="15" customHeight="1" s="99">
      <c r="A1334" t="inlineStr">
        <is>
          <t>ZKEL14</t>
        </is>
      </c>
      <c r="B1334" t="inlineStr">
        <is>
          <t>ZKEL14_GULM0_Kelaniya_SLT_Kd</t>
        </is>
      </c>
      <c r="F1334" t="n">
        <v>6.95861</v>
      </c>
      <c r="G1334" t="n">
        <v>79.8948</v>
      </c>
      <c r="H1334" t="inlineStr">
        <is>
          <t>ZKEL14-M-L21-B2</t>
        </is>
      </c>
      <c r="K1334" t="inlineStr">
        <is>
          <t>S2</t>
        </is>
      </c>
      <c r="L1334" t="inlineStr">
        <is>
          <t>4G</t>
        </is>
      </c>
      <c r="M1334" t="inlineStr">
        <is>
          <t>2100</t>
        </is>
      </c>
      <c r="N1334" t="inlineStr">
        <is>
          <t>AQU4518R9v06</t>
        </is>
      </c>
      <c r="O1334" t="n">
        <v>40</v>
      </c>
      <c r="P1334" t="n">
        <v>120</v>
      </c>
      <c r="Q1334" t="n">
        <v>0</v>
      </c>
      <c r="Y1334" t="inlineStr">
        <is>
          <t>2T2R</t>
        </is>
      </c>
      <c r="AB1334" t="inlineStr">
        <is>
          <t>R9264H M901821</t>
        </is>
      </c>
      <c r="AC1334" t="inlineStr">
        <is>
          <t>A9652 S35*3+R9264H M901821*3+R9254E S8500*2+R9264 M1821N*2</t>
        </is>
      </c>
    </row>
    <row r="1335" hidden="1" ht="15" customHeight="1" s="99">
      <c r="AB1335" t="inlineStr">
        <is>
          <t>R9264 M1821N</t>
        </is>
      </c>
    </row>
    <row r="1336" hidden="1" ht="15" customHeight="1" s="99">
      <c r="A1336" t="inlineStr">
        <is>
          <t>ZKEL14</t>
        </is>
      </c>
      <c r="B1336" t="inlineStr">
        <is>
          <t>ZKEL14_GULM0_Kelaniya_SLT_Kd</t>
        </is>
      </c>
      <c r="F1336" t="n">
        <v>6.95861</v>
      </c>
      <c r="G1336" t="n">
        <v>79.8948</v>
      </c>
      <c r="H1336" t="inlineStr">
        <is>
          <t>ZKEL14H</t>
        </is>
      </c>
      <c r="K1336" t="inlineStr">
        <is>
          <t>S2</t>
        </is>
      </c>
      <c r="L1336" t="inlineStr">
        <is>
          <t>4G</t>
        </is>
      </c>
      <c r="M1336" t="inlineStr">
        <is>
          <t>1800</t>
        </is>
      </c>
      <c r="N1336" t="inlineStr">
        <is>
          <t>AQU4518R9v06</t>
        </is>
      </c>
      <c r="O1336" t="n">
        <v>40</v>
      </c>
      <c r="P1336" t="n">
        <v>120</v>
      </c>
      <c r="Q1336" t="n">
        <v>0</v>
      </c>
      <c r="Y1336" t="inlineStr">
        <is>
          <t>2T2R</t>
        </is>
      </c>
      <c r="AB1336" t="inlineStr">
        <is>
          <t>R9264H M901821</t>
        </is>
      </c>
      <c r="AC1336" t="inlineStr">
        <is>
          <t>A9652 S35*3+R9264H M901821*3+R9254E S8500*2+R9264 M1821N*2</t>
        </is>
      </c>
    </row>
    <row r="1337" hidden="1" ht="15" customHeight="1" s="99">
      <c r="A1337" t="inlineStr">
        <is>
          <t>ZKEL14</t>
        </is>
      </c>
      <c r="B1337" t="inlineStr">
        <is>
          <t>ZKEL14_GULM0_Kelaniya_SLT_Kd</t>
        </is>
      </c>
      <c r="F1337" t="n">
        <v>6.95861</v>
      </c>
      <c r="G1337" t="n">
        <v>79.8948</v>
      </c>
      <c r="H1337" t="inlineStr">
        <is>
          <t>ZKEL14_M-L18-H1</t>
        </is>
      </c>
      <c r="K1337" t="inlineStr">
        <is>
          <t>S2</t>
        </is>
      </c>
      <c r="L1337" t="inlineStr">
        <is>
          <t>4G</t>
        </is>
      </c>
      <c r="M1337" t="inlineStr">
        <is>
          <t>1800</t>
        </is>
      </c>
      <c r="N1337" t="inlineStr">
        <is>
          <t>AQU4518R9v06</t>
        </is>
      </c>
      <c r="O1337" t="n">
        <v>40</v>
      </c>
      <c r="P1337" t="n">
        <v>120</v>
      </c>
      <c r="Q1337" t="n">
        <v>0</v>
      </c>
      <c r="Y1337" t="inlineStr">
        <is>
          <t>2T2R</t>
        </is>
      </c>
      <c r="AB1337" t="inlineStr">
        <is>
          <t>R9264 M1821N</t>
        </is>
      </c>
      <c r="AC1337" t="inlineStr">
        <is>
          <t>A9652 S35*3+R9264H M901821*3+R9254E S8500*2+R9264 M1821N*2</t>
        </is>
      </c>
    </row>
    <row r="1338" hidden="1" ht="15" customHeight="1" s="99">
      <c r="A1338" t="inlineStr">
        <is>
          <t>ZKEL14</t>
        </is>
      </c>
      <c r="B1338" t="inlineStr"/>
      <c r="F1338">
        <f>_xlfn.XLOOKUP(A1338,'[1]4G Parameters'!$E:$E,'[1]4G Parameters'!$J:$J)</f>
        <v/>
      </c>
      <c r="G1338">
        <f>_xlfn.XLOOKUP(A1338,'[1]4G Parameters'!$E:$E,'[1]4G Parameters'!$I:$I)</f>
        <v/>
      </c>
      <c r="H1338" t="inlineStr">
        <is>
          <t>ZKEL14C</t>
        </is>
      </c>
      <c r="K1338" t="inlineStr">
        <is>
          <t>S3</t>
        </is>
      </c>
      <c r="L1338" t="inlineStr">
        <is>
          <t>2G</t>
        </is>
      </c>
      <c r="M1338" t="inlineStr">
        <is>
          <t>900</t>
        </is>
      </c>
      <c r="N1338" t="inlineStr"/>
      <c r="O1338" t="n">
        <v>40</v>
      </c>
      <c r="P1338" t="n">
        <v>240</v>
      </c>
      <c r="Q1338" t="n">
        <v>2</v>
      </c>
      <c r="Y1338" t="inlineStr"/>
      <c r="AB1338" t="inlineStr">
        <is>
          <t>R9264H M901821</t>
        </is>
      </c>
      <c r="AC1338" t="inlineStr">
        <is>
          <t>A9652 S35*3+R9264H M901821*3+R9254E S8500*2+R9264 M1821N*2</t>
        </is>
      </c>
    </row>
    <row r="1339" hidden="1" ht="15" customHeight="1" s="99">
      <c r="A1339" t="inlineStr">
        <is>
          <t>ZKEL14</t>
        </is>
      </c>
      <c r="B1339" t="inlineStr"/>
      <c r="F1339">
        <f>_xlfn.XLOOKUP(A1339,'[1]4G Parameters'!$E:$E,'[1]4G Parameters'!$J:$J)</f>
        <v/>
      </c>
      <c r="G1339">
        <f>_xlfn.XLOOKUP(A1339,'[1]4G Parameters'!$E:$E,'[1]4G Parameters'!$I:$I)</f>
        <v/>
      </c>
      <c r="H1339" t="inlineStr">
        <is>
          <t>ZKEL14R</t>
        </is>
      </c>
      <c r="K1339" t="inlineStr">
        <is>
          <t>S3</t>
        </is>
      </c>
      <c r="L1339" t="inlineStr">
        <is>
          <t>2G</t>
        </is>
      </c>
      <c r="M1339" t="inlineStr">
        <is>
          <t>1800</t>
        </is>
      </c>
      <c r="N1339" t="inlineStr"/>
      <c r="O1339" t="n">
        <v>40</v>
      </c>
      <c r="P1339" t="n">
        <v>240</v>
      </c>
      <c r="Q1339" t="n">
        <v>2</v>
      </c>
      <c r="Y1339" t="inlineStr"/>
      <c r="AB1339" t="inlineStr">
        <is>
          <t>R9264H M901821</t>
        </is>
      </c>
      <c r="AC1339" t="inlineStr">
        <is>
          <t>A9652 S35*3+R9264H M901821*3+R9254E S8500*2+R9264 M1821N*2</t>
        </is>
      </c>
    </row>
    <row r="1340" hidden="1" ht="15" customHeight="1" s="99">
      <c r="A1340" t="inlineStr">
        <is>
          <t>ZKEL14</t>
        </is>
      </c>
      <c r="B1340" t="inlineStr">
        <is>
          <t>ZKEL14_GULM0_Kelaniya_SLT_Kd</t>
        </is>
      </c>
      <c r="F1340" t="n">
        <v>6.95861</v>
      </c>
      <c r="G1340" t="n">
        <v>79.8948</v>
      </c>
      <c r="H1340" t="inlineStr">
        <is>
          <t>ZKEL14-M-L85-C1</t>
        </is>
      </c>
      <c r="K1340" t="inlineStr">
        <is>
          <t>S3</t>
        </is>
      </c>
      <c r="L1340" t="inlineStr">
        <is>
          <t>4G</t>
        </is>
      </c>
      <c r="M1340" t="inlineStr">
        <is>
          <t>850</t>
        </is>
      </c>
      <c r="N1340" t="inlineStr">
        <is>
          <t>AQU4518R9v06</t>
        </is>
      </c>
      <c r="O1340" t="n">
        <v>40</v>
      </c>
      <c r="P1340" t="n">
        <v>240</v>
      </c>
      <c r="Q1340" t="n">
        <v>0</v>
      </c>
      <c r="Y1340" t="inlineStr">
        <is>
          <t>2T2R</t>
        </is>
      </c>
      <c r="AB1340" t="inlineStr">
        <is>
          <t>R9254E S8500</t>
        </is>
      </c>
      <c r="AC1340" t="inlineStr">
        <is>
          <t>A9652 S35*3+R9264H M901821*3+R9254E S8500*2+R9264 M1821N*2</t>
        </is>
      </c>
    </row>
    <row r="1341" hidden="1" ht="15" customHeight="1" s="99">
      <c r="A1341" t="inlineStr">
        <is>
          <t>ZKEL14</t>
        </is>
      </c>
      <c r="B1341" t="inlineStr">
        <is>
          <t>ZKEL14_GULM0_Kelaniya_SLT_Kd</t>
        </is>
      </c>
      <c r="F1341" t="n">
        <v>6.95861</v>
      </c>
      <c r="G1341" t="n">
        <v>79.8948</v>
      </c>
      <c r="H1341" t="inlineStr">
        <is>
          <t>ZKEL14-M-L21-C2</t>
        </is>
      </c>
      <c r="K1341" t="inlineStr">
        <is>
          <t>S3</t>
        </is>
      </c>
      <c r="L1341" t="inlineStr">
        <is>
          <t>4G</t>
        </is>
      </c>
      <c r="M1341" t="inlineStr">
        <is>
          <t>2100</t>
        </is>
      </c>
      <c r="N1341" t="inlineStr">
        <is>
          <t>AQU4518R9v06</t>
        </is>
      </c>
      <c r="O1341" t="n">
        <v>40</v>
      </c>
      <c r="P1341" t="n">
        <v>240</v>
      </c>
      <c r="Q1341" t="n">
        <v>0</v>
      </c>
      <c r="Y1341" t="inlineStr">
        <is>
          <t>2T2R</t>
        </is>
      </c>
      <c r="AB1341" t="inlineStr">
        <is>
          <t>R9264H M901821</t>
        </is>
      </c>
      <c r="AC1341" t="inlineStr">
        <is>
          <t>A9652 S35*3+R9264H M901821*3+R9254E S8500*2+R9264 M1821N*2</t>
        </is>
      </c>
    </row>
    <row r="1342" hidden="1" ht="15" customHeight="1" s="99">
      <c r="A1342" t="inlineStr">
        <is>
          <t>ZKEL14</t>
        </is>
      </c>
      <c r="B1342" t="inlineStr">
        <is>
          <t>ZKEL14_GULM0_Kelaniya_SLT_Kd</t>
        </is>
      </c>
      <c r="F1342" t="n">
        <v>6.95861</v>
      </c>
      <c r="G1342" t="n">
        <v>79.8948</v>
      </c>
      <c r="H1342" t="inlineStr">
        <is>
          <t>ZKEL14I</t>
        </is>
      </c>
      <c r="K1342" t="inlineStr">
        <is>
          <t>S3</t>
        </is>
      </c>
      <c r="L1342" t="inlineStr">
        <is>
          <t>4G</t>
        </is>
      </c>
      <c r="M1342" t="inlineStr">
        <is>
          <t>1800</t>
        </is>
      </c>
      <c r="N1342" t="inlineStr">
        <is>
          <t>AQU4518R9v06</t>
        </is>
      </c>
      <c r="O1342" t="n">
        <v>40</v>
      </c>
      <c r="P1342" t="n">
        <v>240</v>
      </c>
      <c r="Q1342" t="n">
        <v>0</v>
      </c>
      <c r="Y1342" t="inlineStr">
        <is>
          <t>4T4R</t>
        </is>
      </c>
      <c r="AB1342" t="inlineStr">
        <is>
          <t>R9264H M901821</t>
        </is>
      </c>
      <c r="AC1342" t="inlineStr">
        <is>
          <t>A9652 S35*3+R9264H M901821*3+R9254E S8500*2+R9264 M1821N*2</t>
        </is>
      </c>
    </row>
    <row r="1343" hidden="1" ht="15" customHeight="1" s="99">
      <c r="A1343" t="inlineStr">
        <is>
          <t>ZKEL14</t>
        </is>
      </c>
      <c r="B1343" t="inlineStr"/>
      <c r="F1343">
        <f>_xlfn.XLOOKUP(A1343,'[1]4G Parameters'!$E:$E,'[1]4G Parameters'!$J:$J)</f>
        <v/>
      </c>
      <c r="G1343">
        <f>_xlfn.XLOOKUP(A1343,'[1]4G Parameters'!$E:$E,'[1]4G Parameters'!$I:$I)</f>
        <v/>
      </c>
      <c r="H1343" t="inlineStr">
        <is>
          <t>ZKEL14S</t>
        </is>
      </c>
      <c r="K1343" t="inlineStr">
        <is>
          <t>S4</t>
        </is>
      </c>
      <c r="L1343" t="inlineStr">
        <is>
          <t>2G</t>
        </is>
      </c>
      <c r="M1343" t="inlineStr">
        <is>
          <t>1800</t>
        </is>
      </c>
      <c r="N1343" t="inlineStr"/>
      <c r="O1343" t="n">
        <v>40</v>
      </c>
      <c r="P1343" t="n">
        <v>75</v>
      </c>
      <c r="Q1343" t="n">
        <v>2</v>
      </c>
      <c r="Y1343" t="inlineStr"/>
      <c r="AB1343" t="inlineStr">
        <is>
          <t>R9264 M1821N</t>
        </is>
      </c>
      <c r="AC1343" t="inlineStr">
        <is>
          <t>A9652 S35*3+R9264H M901821*3+R9254E S8500*2+R9264 M1821N*2</t>
        </is>
      </c>
    </row>
    <row r="1344" hidden="1" ht="15" customHeight="1" s="99">
      <c r="A1344" t="inlineStr">
        <is>
          <t>ZKEL14</t>
        </is>
      </c>
      <c r="B1344" t="inlineStr">
        <is>
          <t>ZKEL14_GULM0_Kelaniya_SLT_Kd</t>
        </is>
      </c>
      <c r="F1344" t="n">
        <v>6.95861</v>
      </c>
      <c r="G1344" t="n">
        <v>79.8948</v>
      </c>
      <c r="H1344" t="inlineStr">
        <is>
          <t>ZKEL14F</t>
        </is>
      </c>
      <c r="K1344" t="inlineStr">
        <is>
          <t>S4</t>
        </is>
      </c>
      <c r="L1344" t="inlineStr">
        <is>
          <t>4G</t>
        </is>
      </c>
      <c r="M1344" t="inlineStr">
        <is>
          <t>1800</t>
        </is>
      </c>
      <c r="N1344" t="inlineStr">
        <is>
          <t>AQU4518R9v06</t>
        </is>
      </c>
      <c r="O1344" t="n">
        <v>40</v>
      </c>
      <c r="P1344" t="n">
        <v>75</v>
      </c>
      <c r="Q1344" t="n">
        <v>0</v>
      </c>
      <c r="Y1344" t="inlineStr">
        <is>
          <t>2T2R</t>
        </is>
      </c>
      <c r="AB1344" t="inlineStr">
        <is>
          <t>R9264 M1821N</t>
        </is>
      </c>
      <c r="AC1344" t="inlineStr">
        <is>
          <t>A9652 S35*3+R9264H M901821*3+R9254E S8500*2+R9264 M1821N*2</t>
        </is>
      </c>
    </row>
    <row r="1345" hidden="1" ht="15" customHeight="1" s="99">
      <c r="A1345" t="inlineStr">
        <is>
          <t>ZKEL15</t>
        </is>
      </c>
      <c r="B1345" t="inlineStr"/>
      <c r="F1345">
        <f>_xlfn.XLOOKUP(A1345,'[1]4G Parameters'!$E:$E,'[1]4G Parameters'!$J:$J)</f>
        <v/>
      </c>
      <c r="G1345">
        <f>_xlfn.XLOOKUP(A1345,'[1]4G Parameters'!$E:$E,'[1]4G Parameters'!$I:$I)</f>
        <v/>
      </c>
      <c r="H1345" t="inlineStr">
        <is>
          <t>ZKEL15A</t>
        </is>
      </c>
      <c r="K1345" t="inlineStr">
        <is>
          <t>S1</t>
        </is>
      </c>
      <c r="L1345" t="inlineStr">
        <is>
          <t>2G</t>
        </is>
      </c>
      <c r="M1345" t="inlineStr">
        <is>
          <t>900</t>
        </is>
      </c>
      <c r="N1345" t="inlineStr"/>
      <c r="O1345" t="n">
        <v>18</v>
      </c>
      <c r="P1345" t="n">
        <v>0</v>
      </c>
      <c r="Q1345" t="n">
        <v>2</v>
      </c>
      <c r="Y1345" t="inlineStr"/>
      <c r="AB1345" t="inlineStr">
        <is>
          <t>R9264H M901821</t>
        </is>
      </c>
      <c r="AC1345" t="inlineStr">
        <is>
          <t>A9652 S35*3+R9264H M901821*3+R9254E S8500*2</t>
        </is>
      </c>
    </row>
    <row r="1346" hidden="1" ht="15" customHeight="1" s="99">
      <c r="A1346" t="inlineStr">
        <is>
          <t>ZKEL15</t>
        </is>
      </c>
      <c r="B1346" t="inlineStr"/>
      <c r="F1346">
        <f>_xlfn.XLOOKUP(A1346,'[1]4G Parameters'!$E:$E,'[1]4G Parameters'!$J:$J)</f>
        <v/>
      </c>
      <c r="G1346">
        <f>_xlfn.XLOOKUP(A1346,'[1]4G Parameters'!$E:$E,'[1]4G Parameters'!$I:$I)</f>
        <v/>
      </c>
      <c r="H1346" t="inlineStr">
        <is>
          <t>ZKEL15P</t>
        </is>
      </c>
      <c r="K1346" t="inlineStr">
        <is>
          <t>S1</t>
        </is>
      </c>
      <c r="L1346" t="inlineStr">
        <is>
          <t>2G</t>
        </is>
      </c>
      <c r="M1346" t="inlineStr">
        <is>
          <t>1800</t>
        </is>
      </c>
      <c r="N1346" t="inlineStr"/>
      <c r="O1346" t="n">
        <v>18</v>
      </c>
      <c r="P1346" t="n">
        <v>0</v>
      </c>
      <c r="Q1346" t="n">
        <v>2</v>
      </c>
      <c r="Y1346" t="inlineStr"/>
      <c r="AB1346" t="inlineStr">
        <is>
          <t>R9264H M901821</t>
        </is>
      </c>
      <c r="AC1346" t="inlineStr">
        <is>
          <t>A9652 S35*3+R9264H M901821*3+R9254E S8500*2</t>
        </is>
      </c>
    </row>
    <row r="1347" hidden="1" ht="15" customHeight="1" s="99">
      <c r="A1347" t="inlineStr">
        <is>
          <t>ZKEL15</t>
        </is>
      </c>
      <c r="B1347" t="inlineStr">
        <is>
          <t>ZKEL15_0UL00_Wanawasala_Kd</t>
        </is>
      </c>
      <c r="F1347" t="n">
        <v>6.97505</v>
      </c>
      <c r="G1347" t="n">
        <v>79.8993</v>
      </c>
      <c r="H1347" t="inlineStr">
        <is>
          <t>ZKEL15-M-L85-A1</t>
        </is>
      </c>
      <c r="K1347" t="inlineStr">
        <is>
          <t>S1</t>
        </is>
      </c>
      <c r="L1347" t="inlineStr">
        <is>
          <t>4G</t>
        </is>
      </c>
      <c r="M1347" t="inlineStr">
        <is>
          <t>850</t>
        </is>
      </c>
      <c r="N1347" t="inlineStr"/>
      <c r="O1347" t="n">
        <v>18</v>
      </c>
      <c r="P1347" t="n">
        <v>0</v>
      </c>
      <c r="Q1347" t="n">
        <v>0</v>
      </c>
      <c r="Y1347" t="inlineStr">
        <is>
          <t>2T2R</t>
        </is>
      </c>
      <c r="AB1347" t="inlineStr">
        <is>
          <t>R9254E S8500</t>
        </is>
      </c>
      <c r="AC1347" t="inlineStr">
        <is>
          <t>A9652 S35*3+R9264H M901821*3+R9254E S8500*2</t>
        </is>
      </c>
    </row>
    <row r="1348" hidden="1" ht="15" customHeight="1" s="99">
      <c r="A1348" t="inlineStr">
        <is>
          <t>ZKEL15</t>
        </is>
      </c>
      <c r="B1348" t="inlineStr">
        <is>
          <t>ZKEL15_0UL00_Wanawasala_Kd</t>
        </is>
      </c>
      <c r="F1348" t="n">
        <v>6.97505</v>
      </c>
      <c r="G1348" t="n">
        <v>79.8993</v>
      </c>
      <c r="H1348" t="inlineStr">
        <is>
          <t>ZKEL15-M-L21-A2</t>
        </is>
      </c>
      <c r="K1348" t="inlineStr">
        <is>
          <t>S1</t>
        </is>
      </c>
      <c r="L1348" t="inlineStr">
        <is>
          <t>4G</t>
        </is>
      </c>
      <c r="M1348" t="inlineStr">
        <is>
          <t>2100</t>
        </is>
      </c>
      <c r="N1348" t="inlineStr"/>
      <c r="O1348" t="n">
        <v>18</v>
      </c>
      <c r="P1348" t="n">
        <v>0</v>
      </c>
      <c r="Q1348" t="n">
        <v>0</v>
      </c>
      <c r="Y1348" t="inlineStr">
        <is>
          <t>2T2R</t>
        </is>
      </c>
      <c r="AB1348" t="inlineStr">
        <is>
          <t>R9264H M901821</t>
        </is>
      </c>
      <c r="AC1348" t="inlineStr">
        <is>
          <t>A9652 S35*3+R9264H M901821*3+R9254E S8500*2</t>
        </is>
      </c>
    </row>
    <row r="1349" hidden="1" ht="15" customHeight="1" s="99">
      <c r="A1349" t="inlineStr">
        <is>
          <t>ZKEL15</t>
        </is>
      </c>
      <c r="B1349" t="inlineStr">
        <is>
          <t>ZKEL15_0UL00_Wanawasala_Kd</t>
        </is>
      </c>
      <c r="F1349" t="n">
        <v>6.97505</v>
      </c>
      <c r="G1349" t="n">
        <v>79.8993</v>
      </c>
      <c r="H1349" t="inlineStr">
        <is>
          <t>ZKEL15G</t>
        </is>
      </c>
      <c r="K1349" t="inlineStr">
        <is>
          <t>S1</t>
        </is>
      </c>
      <c r="L1349" t="inlineStr">
        <is>
          <t>4G</t>
        </is>
      </c>
      <c r="M1349" t="inlineStr">
        <is>
          <t>1800</t>
        </is>
      </c>
      <c r="N1349" t="inlineStr"/>
      <c r="O1349" t="n">
        <v>18</v>
      </c>
      <c r="P1349" t="n">
        <v>0</v>
      </c>
      <c r="Q1349" t="n">
        <v>0</v>
      </c>
      <c r="Y1349" t="inlineStr">
        <is>
          <t>4T4R</t>
        </is>
      </c>
      <c r="AB1349" t="inlineStr">
        <is>
          <t>R9264H M901821</t>
        </is>
      </c>
      <c r="AC1349" t="inlineStr">
        <is>
          <t>A9652 S35*3+R9264H M901821*3+R9254E S8500*2</t>
        </is>
      </c>
    </row>
    <row r="1350" hidden="1" ht="15" customHeight="1" s="99">
      <c r="A1350" t="inlineStr">
        <is>
          <t>ZKEL15</t>
        </is>
      </c>
      <c r="B1350" t="inlineStr"/>
      <c r="F1350">
        <f>_xlfn.XLOOKUP(A1350,'[1]4G Parameters'!$E:$E,'[1]4G Parameters'!$J:$J)</f>
        <v/>
      </c>
      <c r="G1350">
        <f>_xlfn.XLOOKUP(A1350,'[1]4G Parameters'!$E:$E,'[1]4G Parameters'!$I:$I)</f>
        <v/>
      </c>
      <c r="H1350" t="inlineStr">
        <is>
          <t>ZKEL15B</t>
        </is>
      </c>
      <c r="K1350" t="inlineStr">
        <is>
          <t>S2</t>
        </is>
      </c>
      <c r="L1350" t="inlineStr">
        <is>
          <t>2G</t>
        </is>
      </c>
      <c r="M1350" t="inlineStr">
        <is>
          <t>900</t>
        </is>
      </c>
      <c r="N1350" t="inlineStr"/>
      <c r="O1350" t="n">
        <v>18</v>
      </c>
      <c r="P1350" t="n">
        <v>110</v>
      </c>
      <c r="Q1350" t="n">
        <v>2</v>
      </c>
      <c r="Y1350" t="inlineStr"/>
      <c r="AB1350" t="inlineStr">
        <is>
          <t>R9264H M901821</t>
        </is>
      </c>
      <c r="AC1350" t="inlineStr">
        <is>
          <t>A9652 S35*3+R9264H M901821*3+R9254E S8500*2</t>
        </is>
      </c>
    </row>
    <row r="1351" hidden="1" ht="15" customHeight="1" s="99">
      <c r="A1351" t="inlineStr">
        <is>
          <t>ZKEL15</t>
        </is>
      </c>
      <c r="B1351" t="inlineStr"/>
      <c r="F1351">
        <f>_xlfn.XLOOKUP(A1351,'[1]4G Parameters'!$E:$E,'[1]4G Parameters'!$J:$J)</f>
        <v/>
      </c>
      <c r="G1351">
        <f>_xlfn.XLOOKUP(A1351,'[1]4G Parameters'!$E:$E,'[1]4G Parameters'!$I:$I)</f>
        <v/>
      </c>
      <c r="H1351" t="inlineStr">
        <is>
          <t>ZKEL15Q</t>
        </is>
      </c>
      <c r="K1351" t="inlineStr">
        <is>
          <t>S2</t>
        </is>
      </c>
      <c r="L1351" t="inlineStr">
        <is>
          <t>2G</t>
        </is>
      </c>
      <c r="M1351" t="inlineStr">
        <is>
          <t>1800</t>
        </is>
      </c>
      <c r="N1351" t="inlineStr"/>
      <c r="O1351" t="n">
        <v>18</v>
      </c>
      <c r="P1351" t="n">
        <v>110</v>
      </c>
      <c r="Q1351" t="n">
        <v>2</v>
      </c>
      <c r="Y1351" t="inlineStr"/>
      <c r="AB1351" t="inlineStr">
        <is>
          <t>R9264H M901821</t>
        </is>
      </c>
      <c r="AC1351" t="inlineStr">
        <is>
          <t>A9652 S35*3+R9264H M901821*3+R9254E S8500*2</t>
        </is>
      </c>
    </row>
    <row r="1352" hidden="1" ht="15" customHeight="1" s="99">
      <c r="A1352" t="inlineStr">
        <is>
          <t>ZKEL15</t>
        </is>
      </c>
      <c r="B1352" t="inlineStr">
        <is>
          <t>ZKEL15_0UL00_Wanawasala_Kd</t>
        </is>
      </c>
      <c r="F1352" t="n">
        <v>6.97505</v>
      </c>
      <c r="G1352" t="n">
        <v>79.8993</v>
      </c>
      <c r="H1352" t="inlineStr">
        <is>
          <t>ZKEL15-M-L85-B1</t>
        </is>
      </c>
      <c r="K1352" t="inlineStr">
        <is>
          <t>S2</t>
        </is>
      </c>
      <c r="L1352" t="inlineStr">
        <is>
          <t>4G</t>
        </is>
      </c>
      <c r="M1352" t="inlineStr">
        <is>
          <t>850</t>
        </is>
      </c>
      <c r="N1352" t="inlineStr"/>
      <c r="O1352" t="n">
        <v>18</v>
      </c>
      <c r="P1352" t="n">
        <v>110</v>
      </c>
      <c r="Q1352" t="n">
        <v>0</v>
      </c>
      <c r="Y1352" t="inlineStr">
        <is>
          <t>2T2R</t>
        </is>
      </c>
      <c r="AB1352" t="inlineStr">
        <is>
          <t>R9254E S8500</t>
        </is>
      </c>
      <c r="AC1352" t="inlineStr">
        <is>
          <t>A9652 S35*3+R9264H M901821*3+R9254E S8500*2</t>
        </is>
      </c>
    </row>
    <row r="1353" hidden="1" ht="15" customHeight="1" s="99">
      <c r="A1353" t="inlineStr">
        <is>
          <t>ZKEL15</t>
        </is>
      </c>
      <c r="B1353" t="inlineStr">
        <is>
          <t>ZKEL15_0UL00_Wanawasala_Kd</t>
        </is>
      </c>
      <c r="F1353" t="n">
        <v>6.97505</v>
      </c>
      <c r="G1353" t="n">
        <v>79.8993</v>
      </c>
      <c r="H1353" t="inlineStr">
        <is>
          <t>ZKEL15-M-L21-B2</t>
        </is>
      </c>
      <c r="K1353" t="inlineStr">
        <is>
          <t>S2</t>
        </is>
      </c>
      <c r="L1353" t="inlineStr">
        <is>
          <t>4G</t>
        </is>
      </c>
      <c r="M1353" t="inlineStr">
        <is>
          <t>2100</t>
        </is>
      </c>
      <c r="N1353" t="inlineStr"/>
      <c r="O1353" t="n">
        <v>18</v>
      </c>
      <c r="P1353" t="n">
        <v>110</v>
      </c>
      <c r="Q1353" t="n">
        <v>0</v>
      </c>
      <c r="Y1353" t="inlineStr">
        <is>
          <t>2T2R</t>
        </is>
      </c>
      <c r="AB1353" t="inlineStr">
        <is>
          <t>R9264H M901821</t>
        </is>
      </c>
      <c r="AC1353" t="inlineStr">
        <is>
          <t>A9652 S35*3+R9264H M901821*3+R9254E S8500*2</t>
        </is>
      </c>
    </row>
    <row r="1354" hidden="1" ht="15" customHeight="1" s="99">
      <c r="A1354" t="inlineStr">
        <is>
          <t>ZKEL15</t>
        </is>
      </c>
      <c r="B1354" t="inlineStr">
        <is>
          <t>ZKEL15_0UL00_Wanawasala_Kd</t>
        </is>
      </c>
      <c r="F1354" t="n">
        <v>6.97505</v>
      </c>
      <c r="G1354" t="n">
        <v>79.8993</v>
      </c>
      <c r="H1354" t="inlineStr">
        <is>
          <t>ZKEL15H</t>
        </is>
      </c>
      <c r="K1354" t="inlineStr">
        <is>
          <t>S2</t>
        </is>
      </c>
      <c r="L1354" t="inlineStr">
        <is>
          <t>4G</t>
        </is>
      </c>
      <c r="M1354" t="inlineStr">
        <is>
          <t>1800</t>
        </is>
      </c>
      <c r="N1354" t="inlineStr"/>
      <c r="O1354" t="n">
        <v>18</v>
      </c>
      <c r="P1354" t="n">
        <v>110</v>
      </c>
      <c r="Q1354" t="n">
        <v>0</v>
      </c>
      <c r="Y1354" t="inlineStr">
        <is>
          <t>4T4R</t>
        </is>
      </c>
      <c r="AB1354" t="inlineStr">
        <is>
          <t>R9264H M901821</t>
        </is>
      </c>
      <c r="AC1354" t="inlineStr">
        <is>
          <t>A9652 S35*3+R9264H M901821*3+R9254E S8500*2</t>
        </is>
      </c>
    </row>
    <row r="1355" hidden="1" ht="15" customHeight="1" s="99">
      <c r="A1355" t="inlineStr">
        <is>
          <t>ZKEL15</t>
        </is>
      </c>
      <c r="B1355" t="inlineStr"/>
      <c r="F1355">
        <f>_xlfn.XLOOKUP(A1355,'[1]4G Parameters'!$E:$E,'[1]4G Parameters'!$J:$J)</f>
        <v/>
      </c>
      <c r="G1355">
        <f>_xlfn.XLOOKUP(A1355,'[1]4G Parameters'!$E:$E,'[1]4G Parameters'!$I:$I)</f>
        <v/>
      </c>
      <c r="H1355" t="inlineStr">
        <is>
          <t>ZKEL15C</t>
        </is>
      </c>
      <c r="K1355" t="inlineStr">
        <is>
          <t>S3</t>
        </is>
      </c>
      <c r="L1355" t="inlineStr">
        <is>
          <t>2G</t>
        </is>
      </c>
      <c r="M1355" t="inlineStr">
        <is>
          <t>900</t>
        </is>
      </c>
      <c r="N1355" t="inlineStr"/>
      <c r="O1355" t="n">
        <v>18</v>
      </c>
      <c r="P1355" t="n">
        <v>240</v>
      </c>
      <c r="Q1355" t="n">
        <v>2</v>
      </c>
      <c r="Y1355" t="inlineStr"/>
      <c r="AB1355" t="inlineStr">
        <is>
          <t>R9264H M901821</t>
        </is>
      </c>
      <c r="AC1355" t="inlineStr">
        <is>
          <t>A9652 S35*3+R9264H M901821*3+R9254E S8500*2</t>
        </is>
      </c>
    </row>
    <row r="1356" hidden="1" ht="15" customHeight="1" s="99">
      <c r="A1356" t="inlineStr">
        <is>
          <t>ZKEL15</t>
        </is>
      </c>
      <c r="B1356" t="inlineStr"/>
      <c r="F1356">
        <f>_xlfn.XLOOKUP(A1356,'[1]4G Parameters'!$E:$E,'[1]4G Parameters'!$J:$J)</f>
        <v/>
      </c>
      <c r="G1356">
        <f>_xlfn.XLOOKUP(A1356,'[1]4G Parameters'!$E:$E,'[1]4G Parameters'!$I:$I)</f>
        <v/>
      </c>
      <c r="H1356" t="inlineStr">
        <is>
          <t>ZKEL15R</t>
        </is>
      </c>
      <c r="K1356" t="inlineStr">
        <is>
          <t>S3</t>
        </is>
      </c>
      <c r="L1356" t="inlineStr">
        <is>
          <t>2G</t>
        </is>
      </c>
      <c r="M1356" t="inlineStr">
        <is>
          <t>1800</t>
        </is>
      </c>
      <c r="N1356" t="inlineStr"/>
      <c r="O1356" t="n">
        <v>18</v>
      </c>
      <c r="P1356" t="n">
        <v>240</v>
      </c>
      <c r="Q1356" t="n">
        <v>2</v>
      </c>
      <c r="Y1356" t="inlineStr"/>
      <c r="AB1356" t="inlineStr">
        <is>
          <t>R9264H M901821</t>
        </is>
      </c>
      <c r="AC1356" t="inlineStr">
        <is>
          <t>A9652 S35*3+R9264H M901821*3+R9254E S8500*2</t>
        </is>
      </c>
    </row>
    <row r="1357" hidden="1" ht="15" customHeight="1" s="99">
      <c r="A1357" t="inlineStr">
        <is>
          <t>ZKEL15</t>
        </is>
      </c>
      <c r="B1357" t="inlineStr">
        <is>
          <t>ZKEL15_0UL00_Wanawasala_Kd</t>
        </is>
      </c>
      <c r="F1357" t="n">
        <v>6.97505</v>
      </c>
      <c r="G1357" t="n">
        <v>79.8993</v>
      </c>
      <c r="H1357" t="inlineStr">
        <is>
          <t>ZKEL15-M-L85-C1</t>
        </is>
      </c>
      <c r="K1357" t="inlineStr">
        <is>
          <t>S3</t>
        </is>
      </c>
      <c r="L1357" t="inlineStr">
        <is>
          <t>4G</t>
        </is>
      </c>
      <c r="M1357" t="inlineStr">
        <is>
          <t>850</t>
        </is>
      </c>
      <c r="N1357" t="inlineStr"/>
      <c r="O1357" t="n">
        <v>18</v>
      </c>
      <c r="P1357" t="n">
        <v>240</v>
      </c>
      <c r="Q1357" t="n">
        <v>0</v>
      </c>
      <c r="Y1357" t="inlineStr">
        <is>
          <t>2T2R</t>
        </is>
      </c>
      <c r="AB1357" t="inlineStr">
        <is>
          <t>R9254E S8500</t>
        </is>
      </c>
      <c r="AC1357" t="inlineStr">
        <is>
          <t>A9652 S35*3+R9264H M901821*3+R9254E S8500*2</t>
        </is>
      </c>
    </row>
    <row r="1358" hidden="1" ht="15" customHeight="1" s="99">
      <c r="A1358" t="inlineStr">
        <is>
          <t>ZKEL15</t>
        </is>
      </c>
      <c r="B1358" t="inlineStr">
        <is>
          <t>ZKEL15_0UL00_Wanawasala_Kd</t>
        </is>
      </c>
      <c r="F1358" t="n">
        <v>6.97505</v>
      </c>
      <c r="G1358" t="n">
        <v>79.8993</v>
      </c>
      <c r="H1358" t="inlineStr">
        <is>
          <t>ZKEL15-M-L21-C2</t>
        </is>
      </c>
      <c r="K1358" t="inlineStr">
        <is>
          <t>S3</t>
        </is>
      </c>
      <c r="L1358" t="inlineStr">
        <is>
          <t>4G</t>
        </is>
      </c>
      <c r="M1358" t="inlineStr">
        <is>
          <t>2100</t>
        </is>
      </c>
      <c r="N1358" t="inlineStr"/>
      <c r="O1358" t="n">
        <v>18</v>
      </c>
      <c r="P1358" t="n">
        <v>240</v>
      </c>
      <c r="Q1358" t="n">
        <v>0</v>
      </c>
      <c r="Y1358" t="inlineStr">
        <is>
          <t>2T2R</t>
        </is>
      </c>
      <c r="AB1358" t="inlineStr">
        <is>
          <t>R9264H M901821</t>
        </is>
      </c>
      <c r="AC1358" t="inlineStr">
        <is>
          <t>A9652 S35*3+R9264H M901821*3+R9254E S8500*2</t>
        </is>
      </c>
    </row>
    <row r="1359" hidden="1" ht="15" customHeight="1" s="99">
      <c r="A1359" t="inlineStr">
        <is>
          <t>ZKEL15</t>
        </is>
      </c>
      <c r="B1359" t="inlineStr">
        <is>
          <t>ZKEL15_0UL00_Wanawasala_Kd</t>
        </is>
      </c>
      <c r="F1359" t="n">
        <v>6.97505</v>
      </c>
      <c r="G1359" t="n">
        <v>79.8993</v>
      </c>
      <c r="H1359" t="inlineStr">
        <is>
          <t>ZKEL15I</t>
        </is>
      </c>
      <c r="K1359" t="inlineStr">
        <is>
          <t>S3</t>
        </is>
      </c>
      <c r="L1359" t="inlineStr">
        <is>
          <t>4G</t>
        </is>
      </c>
      <c r="M1359" t="inlineStr">
        <is>
          <t>1800</t>
        </is>
      </c>
      <c r="N1359" t="inlineStr"/>
      <c r="O1359" t="n">
        <v>18</v>
      </c>
      <c r="P1359" t="n">
        <v>240</v>
      </c>
      <c r="Q1359" t="n">
        <v>0</v>
      </c>
      <c r="Y1359" t="inlineStr">
        <is>
          <t>4T4R</t>
        </is>
      </c>
      <c r="AB1359" t="inlineStr">
        <is>
          <t>R9264H M901821</t>
        </is>
      </c>
      <c r="AC1359" t="inlineStr">
        <is>
          <t>A9652 S35*3+R9264H M901821*3+R9254E S8500*2</t>
        </is>
      </c>
    </row>
    <row r="1360" hidden="1" ht="15" customHeight="1" s="99">
      <c r="A1360" t="inlineStr">
        <is>
          <t>ZKEL16</t>
        </is>
      </c>
      <c r="B1360" t="inlineStr"/>
      <c r="F1360">
        <f>_xlfn.XLOOKUP(A1360,'[1]4G Parameters'!$E:$E,'[1]4G Parameters'!$J:$J)</f>
        <v/>
      </c>
      <c r="G1360">
        <f>_xlfn.XLOOKUP(A1360,'[1]4G Parameters'!$E:$E,'[1]4G Parameters'!$I:$I)</f>
        <v/>
      </c>
      <c r="H1360" t="inlineStr">
        <is>
          <t>ZKEL16P</t>
        </is>
      </c>
      <c r="K1360" t="inlineStr">
        <is>
          <t>S1</t>
        </is>
      </c>
      <c r="L1360" t="inlineStr">
        <is>
          <t>2G</t>
        </is>
      </c>
      <c r="M1360" t="inlineStr">
        <is>
          <t>1800</t>
        </is>
      </c>
      <c r="N1360" t="inlineStr"/>
      <c r="O1360" t="n">
        <v>18</v>
      </c>
      <c r="P1360" t="n">
        <v>0</v>
      </c>
      <c r="Q1360" t="n">
        <v>2</v>
      </c>
      <c r="Y1360" t="inlineStr"/>
      <c r="AB1360" t="inlineStr">
        <is>
          <t>R9254E S1800</t>
        </is>
      </c>
      <c r="AC1360" t="inlineStr">
        <is>
          <t>R9254E S1800*3</t>
        </is>
      </c>
    </row>
    <row r="1361" hidden="1" ht="15" customHeight="1" s="99">
      <c r="A1361" t="inlineStr">
        <is>
          <t>ZKEL16</t>
        </is>
      </c>
      <c r="B1361" t="inlineStr">
        <is>
          <t>ZKEL16_0UL00_Dalugama_Kd</t>
        </is>
      </c>
      <c r="F1361" t="n">
        <v>6.97038</v>
      </c>
      <c r="G1361" t="n">
        <v>79.9211</v>
      </c>
      <c r="H1361" t="inlineStr">
        <is>
          <t>ZKEL16G</t>
        </is>
      </c>
      <c r="K1361" t="inlineStr">
        <is>
          <t>S1</t>
        </is>
      </c>
      <c r="L1361" t="inlineStr">
        <is>
          <t>4G</t>
        </is>
      </c>
      <c r="M1361" t="inlineStr">
        <is>
          <t>1800</t>
        </is>
      </c>
      <c r="N1361" t="inlineStr"/>
      <c r="O1361" t="n">
        <v>9</v>
      </c>
      <c r="P1361" t="n">
        <v>0</v>
      </c>
      <c r="Q1361" t="n">
        <v>0</v>
      </c>
      <c r="Y1361" t="inlineStr">
        <is>
          <t>2T2R</t>
        </is>
      </c>
      <c r="AB1361" t="inlineStr">
        <is>
          <t>R9254E S1800</t>
        </is>
      </c>
      <c r="AC1361" t="inlineStr">
        <is>
          <t>R9254E S1800*3</t>
        </is>
      </c>
    </row>
    <row r="1362" hidden="1" ht="15" customHeight="1" s="99">
      <c r="A1362" t="inlineStr">
        <is>
          <t>ZKEL16</t>
        </is>
      </c>
      <c r="B1362" t="inlineStr"/>
      <c r="D1362" t="inlineStr">
        <is>
          <t>换成M1821</t>
        </is>
      </c>
      <c r="F1362">
        <f>_xlfn.XLOOKUP(A1362,'[1]4G Parameters'!$E:$E,'[1]4G Parameters'!$J:$J)</f>
        <v/>
      </c>
      <c r="G1362">
        <f>_xlfn.XLOOKUP(A1362,'[1]4G Parameters'!$E:$E,'[1]4G Parameters'!$I:$I)</f>
        <v/>
      </c>
      <c r="H1362" t="inlineStr">
        <is>
          <t>ZKEL16Q</t>
        </is>
      </c>
      <c r="K1362" t="inlineStr">
        <is>
          <t>S2</t>
        </is>
      </c>
      <c r="L1362" t="inlineStr">
        <is>
          <t>2G</t>
        </is>
      </c>
      <c r="M1362" t="inlineStr">
        <is>
          <t>1800</t>
        </is>
      </c>
      <c r="N1362" t="inlineStr"/>
      <c r="O1362" t="n">
        <v>18</v>
      </c>
      <c r="P1362" t="n">
        <v>120</v>
      </c>
      <c r="Q1362" t="n">
        <v>2</v>
      </c>
      <c r="Y1362" t="inlineStr"/>
      <c r="AB1362" t="inlineStr">
        <is>
          <t>？</t>
        </is>
      </c>
      <c r="AC1362" t="inlineStr">
        <is>
          <t>R9254E S1800*3</t>
        </is>
      </c>
    </row>
    <row r="1363" hidden="1" ht="15" customHeight="1" s="99">
      <c r="A1363" t="inlineStr">
        <is>
          <t>ZKEL16</t>
        </is>
      </c>
      <c r="B1363" t="inlineStr">
        <is>
          <t>ZKEL16_0UL00_Dalugama_Kd</t>
        </is>
      </c>
      <c r="D1363" t="inlineStr">
        <is>
          <t>换成M1821</t>
        </is>
      </c>
      <c r="F1363" t="n">
        <v>6.97038</v>
      </c>
      <c r="G1363" t="n">
        <v>79.9211</v>
      </c>
      <c r="H1363" t="inlineStr">
        <is>
          <t>ZKEL16-M-L21-B2</t>
        </is>
      </c>
      <c r="K1363" t="inlineStr">
        <is>
          <t>S2</t>
        </is>
      </c>
      <c r="L1363" t="inlineStr">
        <is>
          <t>4G</t>
        </is>
      </c>
      <c r="M1363" t="inlineStr">
        <is>
          <t>2100</t>
        </is>
      </c>
      <c r="N1363" t="inlineStr"/>
      <c r="O1363" t="n">
        <v>9</v>
      </c>
      <c r="P1363" t="n">
        <v>120</v>
      </c>
      <c r="Q1363" t="n">
        <v>0</v>
      </c>
      <c r="Y1363" t="inlineStr">
        <is>
          <t>2T2R</t>
        </is>
      </c>
      <c r="AB1363" t="inlineStr">
        <is>
          <t>？</t>
        </is>
      </c>
      <c r="AC1363" t="inlineStr">
        <is>
          <t>R9254E S1800*3</t>
        </is>
      </c>
    </row>
    <row r="1364" hidden="1" ht="15" customHeight="1" s="99">
      <c r="A1364" t="inlineStr">
        <is>
          <t>ZKEL16</t>
        </is>
      </c>
      <c r="B1364" t="inlineStr">
        <is>
          <t>ZKEL16_0UL00_Dalugama_Kd</t>
        </is>
      </c>
      <c r="D1364" t="inlineStr">
        <is>
          <t>换成M1821</t>
        </is>
      </c>
      <c r="F1364" t="n">
        <v>6.97038</v>
      </c>
      <c r="G1364" t="n">
        <v>79.9211</v>
      </c>
      <c r="H1364" t="inlineStr">
        <is>
          <t>ZKEL16H</t>
        </is>
      </c>
      <c r="K1364" t="inlineStr">
        <is>
          <t>S2</t>
        </is>
      </c>
      <c r="L1364" t="inlineStr">
        <is>
          <t>4G</t>
        </is>
      </c>
      <c r="M1364" t="inlineStr">
        <is>
          <t>1800</t>
        </is>
      </c>
      <c r="N1364" t="inlineStr"/>
      <c r="O1364" t="n">
        <v>9</v>
      </c>
      <c r="P1364" t="n">
        <v>120</v>
      </c>
      <c r="Q1364" t="n">
        <v>0</v>
      </c>
      <c r="Y1364" t="inlineStr">
        <is>
          <t>2T2R</t>
        </is>
      </c>
      <c r="AB1364" t="inlineStr">
        <is>
          <t>？</t>
        </is>
      </c>
      <c r="AC1364" t="inlineStr">
        <is>
          <t>R9254E S1800*3</t>
        </is>
      </c>
    </row>
    <row r="1365" hidden="1" ht="15" customHeight="1" s="99">
      <c r="A1365" t="inlineStr">
        <is>
          <t>ZKEL16</t>
        </is>
      </c>
      <c r="B1365" t="inlineStr"/>
      <c r="F1365">
        <f>_xlfn.XLOOKUP(A1365,'[1]4G Parameters'!$E:$E,'[1]4G Parameters'!$J:$J)</f>
        <v/>
      </c>
      <c r="G1365">
        <f>_xlfn.XLOOKUP(A1365,'[1]4G Parameters'!$E:$E,'[1]4G Parameters'!$I:$I)</f>
        <v/>
      </c>
      <c r="H1365" t="inlineStr">
        <is>
          <t>ZKEL16R</t>
        </is>
      </c>
      <c r="K1365" t="inlineStr">
        <is>
          <t>S3</t>
        </is>
      </c>
      <c r="L1365" t="inlineStr">
        <is>
          <t>2G</t>
        </is>
      </c>
      <c r="M1365" t="inlineStr">
        <is>
          <t>1800</t>
        </is>
      </c>
      <c r="N1365" t="inlineStr"/>
      <c r="O1365" t="n">
        <v>18</v>
      </c>
      <c r="P1365" t="n">
        <v>240</v>
      </c>
      <c r="Q1365" t="n">
        <v>2</v>
      </c>
      <c r="Y1365" t="inlineStr"/>
      <c r="AB1365" t="inlineStr">
        <is>
          <t>R9254E S1800</t>
        </is>
      </c>
      <c r="AC1365" t="inlineStr">
        <is>
          <t>R9254E S1800*3</t>
        </is>
      </c>
    </row>
    <row r="1366" hidden="1" ht="15" customHeight="1" s="99">
      <c r="A1366" t="inlineStr">
        <is>
          <t>ZKEL16</t>
        </is>
      </c>
      <c r="B1366" t="inlineStr">
        <is>
          <t>ZKEL16_0UL00_Dalugama_Kd</t>
        </is>
      </c>
      <c r="F1366" t="n">
        <v>6.97038</v>
      </c>
      <c r="G1366" t="n">
        <v>79.9211</v>
      </c>
      <c r="H1366" t="inlineStr">
        <is>
          <t>ZKEL16I</t>
        </is>
      </c>
      <c r="K1366" t="inlineStr">
        <is>
          <t>S3</t>
        </is>
      </c>
      <c r="L1366" t="inlineStr">
        <is>
          <t>4G</t>
        </is>
      </c>
      <c r="M1366" t="inlineStr">
        <is>
          <t>1800</t>
        </is>
      </c>
      <c r="N1366" t="inlineStr"/>
      <c r="O1366" t="n">
        <v>9</v>
      </c>
      <c r="P1366" t="n">
        <v>240</v>
      </c>
      <c r="Q1366" t="n">
        <v>0</v>
      </c>
      <c r="Y1366" t="inlineStr">
        <is>
          <t>2T2R</t>
        </is>
      </c>
      <c r="AB1366" t="inlineStr">
        <is>
          <t>R9254E S1800</t>
        </is>
      </c>
      <c r="AC1366" t="inlineStr">
        <is>
          <t>R9254E S1800*3</t>
        </is>
      </c>
    </row>
    <row r="1367" hidden="1" ht="15" customHeight="1" s="99">
      <c r="A1367" t="inlineStr">
        <is>
          <t>ZKEL17</t>
        </is>
      </c>
      <c r="B1367" t="inlineStr"/>
      <c r="F1367">
        <f>_xlfn.XLOOKUP(A1367,'[1]4G Parameters'!$E:$E,'[1]4G Parameters'!$J:$J)</f>
        <v/>
      </c>
      <c r="G1367">
        <f>_xlfn.XLOOKUP(A1367,'[1]4G Parameters'!$E:$E,'[1]4G Parameters'!$I:$I)</f>
        <v/>
      </c>
      <c r="H1367" t="inlineStr">
        <is>
          <t>ZKEL17P</t>
        </is>
      </c>
      <c r="K1367" t="inlineStr">
        <is>
          <t>S1</t>
        </is>
      </c>
      <c r="L1367" t="inlineStr">
        <is>
          <t>2G</t>
        </is>
      </c>
      <c r="M1367" t="inlineStr">
        <is>
          <t>1800</t>
        </is>
      </c>
      <c r="N1367" t="inlineStr"/>
      <c r="O1367" t="n">
        <v>13</v>
      </c>
      <c r="P1367" t="n">
        <v>30</v>
      </c>
      <c r="Q1367" t="n">
        <v>2</v>
      </c>
      <c r="Y1367" t="inlineStr"/>
      <c r="AB1367" t="inlineStr">
        <is>
          <t>R9264 M1821N</t>
        </is>
      </c>
      <c r="AC1367" t="inlineStr">
        <is>
          <t>R9264 M1821N*3</t>
        </is>
      </c>
    </row>
    <row r="1368" hidden="1" ht="15" customHeight="1" s="99">
      <c r="A1368" t="inlineStr">
        <is>
          <t>ZKEL17</t>
        </is>
      </c>
      <c r="B1368" t="inlineStr">
        <is>
          <t>ZKEL17_GUL00_Telagapatha2_Kd</t>
        </is>
      </c>
      <c r="F1368" t="n">
        <v>6.96789</v>
      </c>
      <c r="G1368" t="n">
        <v>79.8835</v>
      </c>
      <c r="H1368" t="inlineStr">
        <is>
          <t>ZKEL17-M-L21-A2</t>
        </is>
      </c>
      <c r="K1368" t="inlineStr">
        <is>
          <t>S1</t>
        </is>
      </c>
      <c r="L1368" t="inlineStr">
        <is>
          <t>4G</t>
        </is>
      </c>
      <c r="M1368" t="inlineStr">
        <is>
          <t>2100</t>
        </is>
      </c>
      <c r="N1368" t="inlineStr"/>
      <c r="O1368" t="n">
        <v>4</v>
      </c>
      <c r="P1368" t="n">
        <v>30</v>
      </c>
      <c r="Q1368" t="n">
        <v>0</v>
      </c>
      <c r="Y1368" t="inlineStr">
        <is>
          <t>2T2R</t>
        </is>
      </c>
      <c r="AB1368" t="inlineStr">
        <is>
          <t>R9264 M1821N</t>
        </is>
      </c>
      <c r="AC1368" t="inlineStr">
        <is>
          <t>R9264 M1821N*3</t>
        </is>
      </c>
    </row>
    <row r="1369" hidden="1" ht="15" customHeight="1" s="99">
      <c r="A1369" t="inlineStr">
        <is>
          <t>ZKEL17</t>
        </is>
      </c>
      <c r="B1369" t="inlineStr">
        <is>
          <t>ZKEL17_GUL00_Telagapatha2_Kd</t>
        </is>
      </c>
      <c r="F1369" t="n">
        <v>6.96789</v>
      </c>
      <c r="G1369" t="n">
        <v>79.8835</v>
      </c>
      <c r="H1369" t="inlineStr">
        <is>
          <t>ZKEL17G</t>
        </is>
      </c>
      <c r="K1369" t="inlineStr">
        <is>
          <t>S1</t>
        </is>
      </c>
      <c r="L1369" t="inlineStr">
        <is>
          <t>4G</t>
        </is>
      </c>
      <c r="M1369" t="inlineStr">
        <is>
          <t>1800</t>
        </is>
      </c>
      <c r="N1369" t="inlineStr"/>
      <c r="O1369" t="n">
        <v>4</v>
      </c>
      <c r="P1369" t="n">
        <v>30</v>
      </c>
      <c r="Q1369" t="n">
        <v>0</v>
      </c>
      <c r="Y1369" t="inlineStr">
        <is>
          <t>2T2R</t>
        </is>
      </c>
      <c r="AB1369" t="inlineStr">
        <is>
          <t>R9264 M1821N</t>
        </is>
      </c>
      <c r="AC1369" t="inlineStr">
        <is>
          <t>R9264 M1821N*3</t>
        </is>
      </c>
    </row>
    <row r="1370" hidden="1" ht="15" customHeight="1" s="99">
      <c r="A1370" t="inlineStr">
        <is>
          <t>ZKEL17</t>
        </is>
      </c>
      <c r="B1370" t="inlineStr"/>
      <c r="F1370">
        <f>_xlfn.XLOOKUP(A1370,'[1]4G Parameters'!$E:$E,'[1]4G Parameters'!$J:$J)</f>
        <v/>
      </c>
      <c r="G1370">
        <f>_xlfn.XLOOKUP(A1370,'[1]4G Parameters'!$E:$E,'[1]4G Parameters'!$I:$I)</f>
        <v/>
      </c>
      <c r="H1370" t="inlineStr">
        <is>
          <t>ZKEL17Q</t>
        </is>
      </c>
      <c r="K1370" t="inlineStr">
        <is>
          <t>S2</t>
        </is>
      </c>
      <c r="L1370" t="inlineStr">
        <is>
          <t>2G</t>
        </is>
      </c>
      <c r="M1370" t="inlineStr">
        <is>
          <t>1800</t>
        </is>
      </c>
      <c r="N1370" t="inlineStr"/>
      <c r="O1370" t="n">
        <v>13</v>
      </c>
      <c r="P1370" t="n">
        <v>125</v>
      </c>
      <c r="Q1370" t="n">
        <v>2</v>
      </c>
      <c r="Y1370" t="inlineStr"/>
      <c r="AB1370" t="inlineStr">
        <is>
          <t>R9264 M1821N</t>
        </is>
      </c>
      <c r="AC1370" t="inlineStr">
        <is>
          <t>R9264 M1821N*3</t>
        </is>
      </c>
    </row>
    <row r="1371" hidden="1" ht="15" customHeight="1" s="99">
      <c r="A1371" t="inlineStr">
        <is>
          <t>ZKEL17</t>
        </is>
      </c>
      <c r="B1371" t="inlineStr">
        <is>
          <t>ZKEL17_GUL00_Telagapatha2_Kd</t>
        </is>
      </c>
      <c r="F1371" t="n">
        <v>6.96789</v>
      </c>
      <c r="G1371" t="n">
        <v>79.8835</v>
      </c>
      <c r="H1371" t="inlineStr">
        <is>
          <t>ZKEL17-M-L21-B2</t>
        </is>
      </c>
      <c r="K1371" t="inlineStr">
        <is>
          <t>S2</t>
        </is>
      </c>
      <c r="L1371" t="inlineStr">
        <is>
          <t>4G</t>
        </is>
      </c>
      <c r="M1371" t="inlineStr">
        <is>
          <t>2100</t>
        </is>
      </c>
      <c r="N1371" t="inlineStr"/>
      <c r="O1371" t="n">
        <v>4</v>
      </c>
      <c r="P1371" t="n">
        <v>125</v>
      </c>
      <c r="Q1371" t="n">
        <v>0</v>
      </c>
      <c r="Y1371" t="inlineStr">
        <is>
          <t>2T2R</t>
        </is>
      </c>
      <c r="AB1371" t="inlineStr">
        <is>
          <t>R9264 M1821N</t>
        </is>
      </c>
      <c r="AC1371" t="inlineStr">
        <is>
          <t>R9264 M1821N*3</t>
        </is>
      </c>
    </row>
    <row r="1372" hidden="1" ht="15" customHeight="1" s="99">
      <c r="A1372" t="inlineStr">
        <is>
          <t>ZKEL17</t>
        </is>
      </c>
      <c r="B1372" t="inlineStr">
        <is>
          <t>ZKEL17_GUL00_Telagapatha2_Kd</t>
        </is>
      </c>
      <c r="F1372" t="n">
        <v>6.96789</v>
      </c>
      <c r="G1372" t="n">
        <v>79.8835</v>
      </c>
      <c r="H1372" t="inlineStr">
        <is>
          <t>ZKEL17H</t>
        </is>
      </c>
      <c r="K1372" t="inlineStr">
        <is>
          <t>S2</t>
        </is>
      </c>
      <c r="L1372" t="inlineStr">
        <is>
          <t>4G</t>
        </is>
      </c>
      <c r="M1372" t="inlineStr">
        <is>
          <t>1800</t>
        </is>
      </c>
      <c r="N1372" t="inlineStr"/>
      <c r="O1372" t="n">
        <v>4</v>
      </c>
      <c r="P1372" t="n">
        <v>125</v>
      </c>
      <c r="Q1372" t="n">
        <v>0</v>
      </c>
      <c r="Y1372" t="inlineStr">
        <is>
          <t>2T2R</t>
        </is>
      </c>
      <c r="AB1372" t="inlineStr">
        <is>
          <t>R9264 M1821N</t>
        </is>
      </c>
      <c r="AC1372" t="inlineStr">
        <is>
          <t>R9264 M1821N*3</t>
        </is>
      </c>
    </row>
    <row r="1373" hidden="1" ht="15" customHeight="1" s="99">
      <c r="A1373" t="inlineStr">
        <is>
          <t>ZKEL17</t>
        </is>
      </c>
      <c r="B1373" t="inlineStr"/>
      <c r="F1373">
        <f>_xlfn.XLOOKUP(A1373,'[1]4G Parameters'!$E:$E,'[1]4G Parameters'!$J:$J)</f>
        <v/>
      </c>
      <c r="G1373">
        <f>_xlfn.XLOOKUP(A1373,'[1]4G Parameters'!$E:$E,'[1]4G Parameters'!$I:$I)</f>
        <v/>
      </c>
      <c r="H1373" t="inlineStr">
        <is>
          <t>ZKEL17R</t>
        </is>
      </c>
      <c r="K1373" t="inlineStr">
        <is>
          <t>S3</t>
        </is>
      </c>
      <c r="L1373" t="inlineStr">
        <is>
          <t>2G</t>
        </is>
      </c>
      <c r="M1373" t="inlineStr">
        <is>
          <t>1800</t>
        </is>
      </c>
      <c r="N1373" t="inlineStr"/>
      <c r="O1373" t="n">
        <v>13</v>
      </c>
      <c r="P1373" t="n">
        <v>210</v>
      </c>
      <c r="Q1373" t="n">
        <v>2</v>
      </c>
      <c r="Y1373" t="inlineStr"/>
      <c r="AB1373" t="inlineStr">
        <is>
          <t>R9264 M1821N</t>
        </is>
      </c>
      <c r="AC1373" t="inlineStr">
        <is>
          <t>R9264 M1821N*3</t>
        </is>
      </c>
    </row>
    <row r="1374" hidden="1" ht="15" customHeight="1" s="99">
      <c r="A1374" t="inlineStr">
        <is>
          <t>ZKEL17</t>
        </is>
      </c>
      <c r="B1374" t="inlineStr">
        <is>
          <t>ZKEL17_GUL00_Telagapatha2_Kd</t>
        </is>
      </c>
      <c r="F1374" t="n">
        <v>6.96789</v>
      </c>
      <c r="G1374" t="n">
        <v>79.8835</v>
      </c>
      <c r="H1374" t="inlineStr">
        <is>
          <t>ZKEL17-M-L21-C2</t>
        </is>
      </c>
      <c r="K1374" t="inlineStr">
        <is>
          <t>S3</t>
        </is>
      </c>
      <c r="L1374" t="inlineStr">
        <is>
          <t>4G</t>
        </is>
      </c>
      <c r="M1374" t="inlineStr">
        <is>
          <t>2100</t>
        </is>
      </c>
      <c r="N1374" t="inlineStr"/>
      <c r="O1374" t="n">
        <v>4</v>
      </c>
      <c r="P1374" t="n">
        <v>210</v>
      </c>
      <c r="Q1374" t="n">
        <v>0</v>
      </c>
      <c r="Y1374" t="inlineStr">
        <is>
          <t>2T2R</t>
        </is>
      </c>
      <c r="AB1374" t="inlineStr">
        <is>
          <t>R9264 M1821N</t>
        </is>
      </c>
      <c r="AC1374" t="inlineStr">
        <is>
          <t>R9264 M1821N*3</t>
        </is>
      </c>
    </row>
    <row r="1375" hidden="1" ht="15" customHeight="1" s="99">
      <c r="A1375" t="inlineStr">
        <is>
          <t>ZKEL17</t>
        </is>
      </c>
      <c r="B1375" t="inlineStr">
        <is>
          <t>ZKEL17_GUL00_Telagapatha2_Kd</t>
        </is>
      </c>
      <c r="F1375" t="n">
        <v>6.96789</v>
      </c>
      <c r="G1375" t="n">
        <v>79.8835</v>
      </c>
      <c r="H1375" t="inlineStr">
        <is>
          <t>ZKEL17I</t>
        </is>
      </c>
      <c r="K1375" t="inlineStr">
        <is>
          <t>S3</t>
        </is>
      </c>
      <c r="L1375" t="inlineStr">
        <is>
          <t>4G</t>
        </is>
      </c>
      <c r="M1375" t="inlineStr">
        <is>
          <t>1800</t>
        </is>
      </c>
      <c r="N1375" t="inlineStr"/>
      <c r="O1375" t="n">
        <v>4</v>
      </c>
      <c r="P1375" t="n">
        <v>210</v>
      </c>
      <c r="Q1375" t="n">
        <v>0</v>
      </c>
      <c r="Y1375" t="inlineStr">
        <is>
          <t>2T2R</t>
        </is>
      </c>
      <c r="AB1375" t="inlineStr">
        <is>
          <t>R9264 M1821N</t>
        </is>
      </c>
      <c r="AC1375" t="inlineStr">
        <is>
          <t>R9264 M1821N*3</t>
        </is>
      </c>
    </row>
    <row r="1376" hidden="1" ht="15" customHeight="1" s="99">
      <c r="A1376" t="inlineStr">
        <is>
          <t>ZKEL19</t>
        </is>
      </c>
      <c r="B1376" t="inlineStr"/>
      <c r="F1376">
        <f>_xlfn.XLOOKUP(A1376,'[1]4G Parameters'!$E:$E,'[1]4G Parameters'!$J:$J)</f>
        <v/>
      </c>
      <c r="G1376">
        <f>_xlfn.XLOOKUP(A1376,'[1]4G Parameters'!$E:$E,'[1]4G Parameters'!$I:$I)</f>
        <v/>
      </c>
      <c r="H1376" t="inlineStr">
        <is>
          <t>ZKEL19P</t>
        </is>
      </c>
      <c r="K1376" t="inlineStr">
        <is>
          <t>S1</t>
        </is>
      </c>
      <c r="L1376" t="inlineStr">
        <is>
          <t>2G</t>
        </is>
      </c>
      <c r="M1376" t="inlineStr">
        <is>
          <t>1800</t>
        </is>
      </c>
      <c r="N1376" t="inlineStr"/>
      <c r="O1376" t="n">
        <v>12</v>
      </c>
      <c r="P1376" t="n">
        <v>0</v>
      </c>
      <c r="Q1376" t="n">
        <v>2</v>
      </c>
      <c r="Y1376" t="inlineStr"/>
      <c r="AB1376" t="inlineStr">
        <is>
          <t>R9264 M1821N</t>
        </is>
      </c>
      <c r="AC1376" t="inlineStr">
        <is>
          <t>R9264 M1821N*3</t>
        </is>
      </c>
    </row>
    <row r="1377" hidden="1" ht="15" customHeight="1" s="99">
      <c r="A1377" t="inlineStr">
        <is>
          <t>ZKEL19</t>
        </is>
      </c>
      <c r="B1377" t="inlineStr">
        <is>
          <t>ZKEL19_GUL00_Thelagapatha_Kd</t>
        </is>
      </c>
      <c r="F1377" t="n">
        <v>6.97593</v>
      </c>
      <c r="G1377" t="n">
        <v>79.88809999999999</v>
      </c>
      <c r="H1377" t="inlineStr">
        <is>
          <t>ZKEL19-M-L21-A2</t>
        </is>
      </c>
      <c r="K1377" t="inlineStr">
        <is>
          <t>S1</t>
        </is>
      </c>
      <c r="L1377" t="inlineStr">
        <is>
          <t>4G</t>
        </is>
      </c>
      <c r="M1377" t="inlineStr">
        <is>
          <t>2100</t>
        </is>
      </c>
      <c r="N1377" t="inlineStr">
        <is>
          <t>APE4517R0v06</t>
        </is>
      </c>
      <c r="O1377" t="n">
        <v>6</v>
      </c>
      <c r="P1377" t="n">
        <v>0</v>
      </c>
      <c r="Q1377" t="n">
        <v>0</v>
      </c>
      <c r="Y1377" t="inlineStr">
        <is>
          <t>2T2R</t>
        </is>
      </c>
      <c r="AB1377" t="inlineStr">
        <is>
          <t>R9264 M1821N</t>
        </is>
      </c>
      <c r="AC1377" t="inlineStr">
        <is>
          <t>R9264 M1821N*3</t>
        </is>
      </c>
    </row>
    <row r="1378" hidden="1" ht="15" customHeight="1" s="99">
      <c r="A1378" t="inlineStr">
        <is>
          <t>ZKEL19</t>
        </is>
      </c>
      <c r="B1378" t="inlineStr">
        <is>
          <t>ZKEL19_GUL00_Thelagapatha_Kd</t>
        </is>
      </c>
      <c r="F1378" t="n">
        <v>6.97593</v>
      </c>
      <c r="G1378" t="n">
        <v>79.88809999999999</v>
      </c>
      <c r="H1378" t="inlineStr">
        <is>
          <t>ZKEL19G</t>
        </is>
      </c>
      <c r="K1378" t="inlineStr">
        <is>
          <t>S1</t>
        </is>
      </c>
      <c r="L1378" t="inlineStr">
        <is>
          <t>4G</t>
        </is>
      </c>
      <c r="M1378" t="inlineStr">
        <is>
          <t>1800</t>
        </is>
      </c>
      <c r="N1378" t="inlineStr">
        <is>
          <t>APE4517R0v06</t>
        </is>
      </c>
      <c r="O1378" t="n">
        <v>6</v>
      </c>
      <c r="P1378" t="n">
        <v>0</v>
      </c>
      <c r="Q1378" t="n">
        <v>0</v>
      </c>
      <c r="Y1378" t="inlineStr">
        <is>
          <t>2T2R</t>
        </is>
      </c>
      <c r="AB1378" t="inlineStr">
        <is>
          <t>R9264 M1821N</t>
        </is>
      </c>
      <c r="AC1378" t="inlineStr">
        <is>
          <t>R9264 M1821N*3</t>
        </is>
      </c>
    </row>
    <row r="1379" hidden="1" ht="15" customHeight="1" s="99">
      <c r="A1379" t="inlineStr">
        <is>
          <t>ZKEL19</t>
        </is>
      </c>
      <c r="B1379" t="inlineStr"/>
      <c r="F1379">
        <f>_xlfn.XLOOKUP(A1379,'[1]4G Parameters'!$E:$E,'[1]4G Parameters'!$J:$J)</f>
        <v/>
      </c>
      <c r="G1379">
        <f>_xlfn.XLOOKUP(A1379,'[1]4G Parameters'!$E:$E,'[1]4G Parameters'!$I:$I)</f>
        <v/>
      </c>
      <c r="H1379" t="inlineStr">
        <is>
          <t>ZKEL19Q</t>
        </is>
      </c>
      <c r="K1379" t="inlineStr">
        <is>
          <t>S2</t>
        </is>
      </c>
      <c r="L1379" t="inlineStr">
        <is>
          <t>2G</t>
        </is>
      </c>
      <c r="M1379" t="inlineStr">
        <is>
          <t>1800</t>
        </is>
      </c>
      <c r="N1379" t="inlineStr"/>
      <c r="O1379" t="n">
        <v>12</v>
      </c>
      <c r="P1379" t="n">
        <v>120</v>
      </c>
      <c r="Q1379" t="n">
        <v>2</v>
      </c>
      <c r="Y1379" t="inlineStr"/>
      <c r="AB1379" t="inlineStr">
        <is>
          <t>R9264 M1821N</t>
        </is>
      </c>
      <c r="AC1379" t="inlineStr">
        <is>
          <t>R9264 M1821N*3</t>
        </is>
      </c>
    </row>
    <row r="1380" hidden="1" ht="15" customHeight="1" s="99">
      <c r="A1380" t="inlineStr">
        <is>
          <t>ZKEL19</t>
        </is>
      </c>
      <c r="B1380" t="inlineStr">
        <is>
          <t>ZKEL19_GUL00_Thelagapatha_Kd</t>
        </is>
      </c>
      <c r="F1380" t="n">
        <v>6.97593</v>
      </c>
      <c r="G1380" t="n">
        <v>79.88809999999999</v>
      </c>
      <c r="H1380" t="inlineStr">
        <is>
          <t>ZKEL19-M-L21-B2</t>
        </is>
      </c>
      <c r="K1380" t="inlineStr">
        <is>
          <t>S2</t>
        </is>
      </c>
      <c r="L1380" t="inlineStr">
        <is>
          <t>4G</t>
        </is>
      </c>
      <c r="M1380" t="inlineStr">
        <is>
          <t>2100</t>
        </is>
      </c>
      <c r="N1380" t="inlineStr">
        <is>
          <t>APE4517R0v06</t>
        </is>
      </c>
      <c r="O1380" t="n">
        <v>6</v>
      </c>
      <c r="P1380" t="n">
        <v>120</v>
      </c>
      <c r="Q1380" t="n">
        <v>0</v>
      </c>
      <c r="Y1380" t="inlineStr">
        <is>
          <t>2T2R</t>
        </is>
      </c>
      <c r="AB1380" t="inlineStr">
        <is>
          <t>R9264 M1821N</t>
        </is>
      </c>
      <c r="AC1380" t="inlineStr">
        <is>
          <t>R9264 M1821N*3</t>
        </is>
      </c>
    </row>
    <row r="1381" hidden="1" ht="15" customHeight="1" s="99">
      <c r="A1381" t="inlineStr">
        <is>
          <t>ZKEL19</t>
        </is>
      </c>
      <c r="B1381" t="inlineStr">
        <is>
          <t>ZKEL19_GUL00_Thelagapatha_Kd</t>
        </is>
      </c>
      <c r="F1381" t="n">
        <v>6.97593</v>
      </c>
      <c r="G1381" t="n">
        <v>79.88809999999999</v>
      </c>
      <c r="H1381" t="inlineStr">
        <is>
          <t>ZKEL19H</t>
        </is>
      </c>
      <c r="K1381" t="inlineStr">
        <is>
          <t>S2</t>
        </is>
      </c>
      <c r="L1381" t="inlineStr">
        <is>
          <t>4G</t>
        </is>
      </c>
      <c r="M1381" t="inlineStr">
        <is>
          <t>1800</t>
        </is>
      </c>
      <c r="N1381" t="inlineStr">
        <is>
          <t>APE4517R0v06</t>
        </is>
      </c>
      <c r="O1381" t="n">
        <v>6</v>
      </c>
      <c r="P1381" t="n">
        <v>120</v>
      </c>
      <c r="Q1381" t="n">
        <v>0</v>
      </c>
      <c r="Y1381" t="inlineStr">
        <is>
          <t>2T2R</t>
        </is>
      </c>
      <c r="AB1381" t="inlineStr">
        <is>
          <t>R9264 M1821N</t>
        </is>
      </c>
      <c r="AC1381" t="inlineStr">
        <is>
          <t>R9264 M1821N*3</t>
        </is>
      </c>
    </row>
    <row r="1382" hidden="1" ht="15" customHeight="1" s="99">
      <c r="A1382" t="inlineStr">
        <is>
          <t>ZKEL19</t>
        </is>
      </c>
      <c r="B1382" t="inlineStr"/>
      <c r="F1382">
        <f>_xlfn.XLOOKUP(A1382,'[1]4G Parameters'!$E:$E,'[1]4G Parameters'!$J:$J)</f>
        <v/>
      </c>
      <c r="G1382">
        <f>_xlfn.XLOOKUP(A1382,'[1]4G Parameters'!$E:$E,'[1]4G Parameters'!$I:$I)</f>
        <v/>
      </c>
      <c r="H1382" t="inlineStr">
        <is>
          <t>ZKEL19R</t>
        </is>
      </c>
      <c r="K1382" t="inlineStr">
        <is>
          <t>S3</t>
        </is>
      </c>
      <c r="L1382" t="inlineStr">
        <is>
          <t>2G</t>
        </is>
      </c>
      <c r="M1382" t="inlineStr">
        <is>
          <t>1800</t>
        </is>
      </c>
      <c r="N1382" t="inlineStr"/>
      <c r="O1382" t="n">
        <v>12</v>
      </c>
      <c r="P1382" t="n">
        <v>240</v>
      </c>
      <c r="Q1382" t="n">
        <v>2</v>
      </c>
      <c r="Y1382" t="inlineStr"/>
      <c r="AB1382" t="inlineStr">
        <is>
          <t>R9264 M1821N</t>
        </is>
      </c>
      <c r="AC1382" t="inlineStr">
        <is>
          <t>R9264 M1821N*3</t>
        </is>
      </c>
    </row>
    <row r="1383" hidden="1" ht="15" customHeight="1" s="99">
      <c r="A1383" t="inlineStr">
        <is>
          <t>ZKEL19</t>
        </is>
      </c>
      <c r="B1383" t="inlineStr">
        <is>
          <t>ZKEL19_GUL00_Thelagapatha_Kd</t>
        </is>
      </c>
      <c r="F1383" t="n">
        <v>6.97593</v>
      </c>
      <c r="G1383" t="n">
        <v>79.88809999999999</v>
      </c>
      <c r="H1383" t="inlineStr">
        <is>
          <t>ZKEL19-M-L21-C2</t>
        </is>
      </c>
      <c r="K1383" t="inlineStr">
        <is>
          <t>S3</t>
        </is>
      </c>
      <c r="L1383" t="inlineStr">
        <is>
          <t>4G</t>
        </is>
      </c>
      <c r="M1383" t="inlineStr">
        <is>
          <t>2100</t>
        </is>
      </c>
      <c r="N1383" t="inlineStr">
        <is>
          <t>APE4517R0v06</t>
        </is>
      </c>
      <c r="O1383" t="n">
        <v>6</v>
      </c>
      <c r="P1383" t="n">
        <v>240</v>
      </c>
      <c r="Q1383" t="n">
        <v>0</v>
      </c>
      <c r="Y1383" t="inlineStr">
        <is>
          <t>2T2R</t>
        </is>
      </c>
      <c r="AB1383" t="inlineStr">
        <is>
          <t>R9264 M1821N</t>
        </is>
      </c>
      <c r="AC1383" t="inlineStr">
        <is>
          <t>R9264 M1821N*3</t>
        </is>
      </c>
    </row>
    <row r="1384" hidden="1" ht="15" customHeight="1" s="99">
      <c r="A1384" t="inlineStr">
        <is>
          <t>ZKEL19</t>
        </is>
      </c>
      <c r="B1384" t="inlineStr">
        <is>
          <t>ZKEL19_GUL00_Thelagapatha_Kd</t>
        </is>
      </c>
      <c r="F1384" t="n">
        <v>6.97593</v>
      </c>
      <c r="G1384" t="n">
        <v>79.88809999999999</v>
      </c>
      <c r="H1384" t="inlineStr">
        <is>
          <t>ZKEL19I</t>
        </is>
      </c>
      <c r="K1384" t="inlineStr">
        <is>
          <t>S3</t>
        </is>
      </c>
      <c r="L1384" t="inlineStr">
        <is>
          <t>4G</t>
        </is>
      </c>
      <c r="M1384" t="inlineStr">
        <is>
          <t>1800</t>
        </is>
      </c>
      <c r="N1384" t="inlineStr">
        <is>
          <t>APE4517R0v06</t>
        </is>
      </c>
      <c r="O1384" t="n">
        <v>6</v>
      </c>
      <c r="P1384" t="n">
        <v>240</v>
      </c>
      <c r="Q1384" t="n">
        <v>0</v>
      </c>
      <c r="Y1384" t="inlineStr">
        <is>
          <t>2T2R</t>
        </is>
      </c>
      <c r="AB1384" t="inlineStr">
        <is>
          <t>R9264 M1821N</t>
        </is>
      </c>
      <c r="AC1384" t="inlineStr">
        <is>
          <t>R9264 M1821N*3</t>
        </is>
      </c>
    </row>
    <row r="1385" hidden="1" ht="15" customHeight="1" s="99">
      <c r="A1385" t="inlineStr">
        <is>
          <t>ZKEL22</t>
        </is>
      </c>
      <c r="B1385" t="inlineStr"/>
      <c r="F1385">
        <f>_xlfn.XLOOKUP(A1385,'[1]4G Parameters'!$E:$E,'[1]4G Parameters'!$J:$J)</f>
        <v/>
      </c>
      <c r="G1385">
        <f>_xlfn.XLOOKUP(A1385,'[1]4G Parameters'!$E:$E,'[1]4G Parameters'!$I:$I)</f>
        <v/>
      </c>
      <c r="H1385" t="inlineStr">
        <is>
          <t>ZKEL22P</t>
        </is>
      </c>
      <c r="K1385" t="inlineStr">
        <is>
          <t>S1</t>
        </is>
      </c>
      <c r="L1385" t="inlineStr">
        <is>
          <t>2G</t>
        </is>
      </c>
      <c r="M1385" t="inlineStr">
        <is>
          <t>1800</t>
        </is>
      </c>
      <c r="N1385" t="inlineStr"/>
      <c r="O1385" t="n">
        <v>0</v>
      </c>
      <c r="P1385" t="n">
        <v>0</v>
      </c>
      <c r="Q1385" t="n">
        <v>2</v>
      </c>
      <c r="Y1385" t="inlineStr"/>
      <c r="AB1385" t="inlineStr">
        <is>
          <t>R9254E S1800</t>
        </is>
      </c>
      <c r="AC1385" t="inlineStr">
        <is>
          <t>R9254E S1800*3</t>
        </is>
      </c>
    </row>
    <row r="1386" hidden="1" ht="15" customHeight="1" s="99">
      <c r="A1386" t="inlineStr">
        <is>
          <t>ZKEL22</t>
        </is>
      </c>
      <c r="B1386" t="inlineStr">
        <is>
          <t>ZKEL22_00L00_Waragoda_Road_Kd</t>
        </is>
      </c>
      <c r="F1386" t="n">
        <v>6.95875</v>
      </c>
      <c r="G1386" t="n">
        <v>79.91030000000001</v>
      </c>
      <c r="H1386" t="inlineStr">
        <is>
          <t>ZKEL22G</t>
        </is>
      </c>
      <c r="K1386" t="inlineStr">
        <is>
          <t>S1</t>
        </is>
      </c>
      <c r="L1386" t="inlineStr">
        <is>
          <t>4G</t>
        </is>
      </c>
      <c r="M1386" t="inlineStr">
        <is>
          <t>1800</t>
        </is>
      </c>
      <c r="N1386" t="inlineStr"/>
      <c r="O1386" t="n">
        <v>6</v>
      </c>
      <c r="P1386" t="n">
        <v>0</v>
      </c>
      <c r="Q1386" t="n">
        <v>0</v>
      </c>
      <c r="Y1386" t="inlineStr">
        <is>
          <t>2T2R</t>
        </is>
      </c>
      <c r="AB1386" t="inlineStr">
        <is>
          <t>R9254E S1800</t>
        </is>
      </c>
      <c r="AC1386" t="inlineStr">
        <is>
          <t>R9254E S1800*3</t>
        </is>
      </c>
    </row>
    <row r="1387" hidden="1" ht="15" customHeight="1" s="99">
      <c r="A1387" t="inlineStr">
        <is>
          <t>ZKEL22</t>
        </is>
      </c>
      <c r="B1387" t="inlineStr"/>
      <c r="F1387">
        <f>_xlfn.XLOOKUP(A1387,'[1]4G Parameters'!$E:$E,'[1]4G Parameters'!$J:$J)</f>
        <v/>
      </c>
      <c r="G1387">
        <f>_xlfn.XLOOKUP(A1387,'[1]4G Parameters'!$E:$E,'[1]4G Parameters'!$I:$I)</f>
        <v/>
      </c>
      <c r="H1387" t="inlineStr">
        <is>
          <t>ZKEL22Q</t>
        </is>
      </c>
      <c r="K1387" t="inlineStr">
        <is>
          <t>S2</t>
        </is>
      </c>
      <c r="L1387" t="inlineStr">
        <is>
          <t>2G</t>
        </is>
      </c>
      <c r="M1387" t="inlineStr">
        <is>
          <t>1800</t>
        </is>
      </c>
      <c r="N1387" t="inlineStr"/>
      <c r="O1387" t="n">
        <v>18</v>
      </c>
      <c r="P1387" t="n">
        <v>120</v>
      </c>
      <c r="Q1387" t="n">
        <v>2</v>
      </c>
      <c r="Y1387" t="inlineStr"/>
      <c r="AB1387" t="inlineStr">
        <is>
          <t>R9254E S1800</t>
        </is>
      </c>
      <c r="AC1387" t="inlineStr">
        <is>
          <t>R9254E S1800*3</t>
        </is>
      </c>
    </row>
    <row r="1388" hidden="1" ht="15" customHeight="1" s="99">
      <c r="A1388" t="inlineStr">
        <is>
          <t>ZKEL22</t>
        </is>
      </c>
      <c r="B1388" t="inlineStr">
        <is>
          <t>ZKEL22_00L00_Waragoda_Road_Kd</t>
        </is>
      </c>
      <c r="F1388" t="n">
        <v>6.95875</v>
      </c>
      <c r="G1388" t="n">
        <v>79.91030000000001</v>
      </c>
      <c r="H1388" t="inlineStr">
        <is>
          <t>ZKEL22H</t>
        </is>
      </c>
      <c r="K1388" t="inlineStr">
        <is>
          <t>S2</t>
        </is>
      </c>
      <c r="L1388" t="inlineStr">
        <is>
          <t>4G</t>
        </is>
      </c>
      <c r="M1388" t="inlineStr">
        <is>
          <t>1800</t>
        </is>
      </c>
      <c r="N1388" t="inlineStr"/>
      <c r="O1388" t="n">
        <v>6</v>
      </c>
      <c r="P1388" t="n">
        <v>120</v>
      </c>
      <c r="Q1388" t="n">
        <v>0</v>
      </c>
      <c r="Y1388" t="inlineStr">
        <is>
          <t>2T2R</t>
        </is>
      </c>
      <c r="AB1388" t="inlineStr">
        <is>
          <t>R9254E S1800</t>
        </is>
      </c>
      <c r="AC1388" t="inlineStr">
        <is>
          <t>R9254E S1800*3</t>
        </is>
      </c>
    </row>
    <row r="1389" hidden="1" ht="15" customHeight="1" s="99">
      <c r="A1389" t="inlineStr">
        <is>
          <t>ZKEL22</t>
        </is>
      </c>
      <c r="B1389" t="inlineStr"/>
      <c r="F1389">
        <f>_xlfn.XLOOKUP(A1389,'[1]4G Parameters'!$E:$E,'[1]4G Parameters'!$J:$J)</f>
        <v/>
      </c>
      <c r="G1389">
        <f>_xlfn.XLOOKUP(A1389,'[1]4G Parameters'!$E:$E,'[1]4G Parameters'!$I:$I)</f>
        <v/>
      </c>
      <c r="H1389" t="inlineStr">
        <is>
          <t>ZKEL22R</t>
        </is>
      </c>
      <c r="K1389" t="inlineStr">
        <is>
          <t>S3</t>
        </is>
      </c>
      <c r="L1389" t="inlineStr">
        <is>
          <t>2G</t>
        </is>
      </c>
      <c r="M1389" t="inlineStr">
        <is>
          <t>1800</t>
        </is>
      </c>
      <c r="N1389" t="inlineStr"/>
      <c r="O1389" t="n">
        <v>18</v>
      </c>
      <c r="P1389" t="n">
        <v>240</v>
      </c>
      <c r="Q1389" t="n">
        <v>2</v>
      </c>
      <c r="Y1389" t="inlineStr"/>
      <c r="AB1389" t="inlineStr">
        <is>
          <t>R9254E S1800</t>
        </is>
      </c>
      <c r="AC1389" t="inlineStr">
        <is>
          <t>R9254E S1800*3</t>
        </is>
      </c>
    </row>
    <row r="1390" hidden="1" ht="15" customHeight="1" s="99">
      <c r="A1390" t="inlineStr">
        <is>
          <t>ZKEL22</t>
        </is>
      </c>
      <c r="B1390" t="inlineStr">
        <is>
          <t>ZKEL22_00L00_Waragoda_Road_Kd</t>
        </is>
      </c>
      <c r="F1390" t="n">
        <v>6.95875</v>
      </c>
      <c r="G1390" t="n">
        <v>79.91030000000001</v>
      </c>
      <c r="H1390" t="inlineStr">
        <is>
          <t>ZKEL22I</t>
        </is>
      </c>
      <c r="K1390" t="inlineStr">
        <is>
          <t>S3</t>
        </is>
      </c>
      <c r="L1390" t="inlineStr">
        <is>
          <t>4G</t>
        </is>
      </c>
      <c r="M1390" t="inlineStr">
        <is>
          <t>1800</t>
        </is>
      </c>
      <c r="N1390" t="inlineStr"/>
      <c r="O1390" t="n">
        <v>6</v>
      </c>
      <c r="P1390" t="n">
        <v>240</v>
      </c>
      <c r="Q1390" t="n">
        <v>0</v>
      </c>
      <c r="Y1390" t="inlineStr">
        <is>
          <t>2T2R</t>
        </is>
      </c>
      <c r="AB1390" t="inlineStr">
        <is>
          <t>R9254E S1800</t>
        </is>
      </c>
      <c r="AC1390" t="inlineStr">
        <is>
          <t>R9254E S1800*3</t>
        </is>
      </c>
    </row>
    <row r="1391" hidden="1" ht="15" customHeight="1" s="99">
      <c r="A1391" t="inlineStr">
        <is>
          <t>ZKEL23</t>
        </is>
      </c>
      <c r="B1391" t="inlineStr"/>
      <c r="F1391">
        <f>_xlfn.XLOOKUP(A1391,'[1]4G Parameters'!$E:$E,'[1]4G Parameters'!$J:$J)</f>
        <v/>
      </c>
      <c r="G1391">
        <f>_xlfn.XLOOKUP(A1391,'[1]4G Parameters'!$E:$E,'[1]4G Parameters'!$I:$I)</f>
        <v/>
      </c>
      <c r="H1391" t="inlineStr">
        <is>
          <t>ZKEL23P</t>
        </is>
      </c>
      <c r="K1391" t="inlineStr">
        <is>
          <t>S1</t>
        </is>
      </c>
      <c r="L1391" t="inlineStr">
        <is>
          <t>2G</t>
        </is>
      </c>
      <c r="M1391" t="inlineStr">
        <is>
          <t>1800</t>
        </is>
      </c>
      <c r="N1391" t="inlineStr"/>
      <c r="O1391" t="n">
        <v>0</v>
      </c>
      <c r="P1391" t="n">
        <v>0</v>
      </c>
      <c r="Q1391" t="n">
        <v>2</v>
      </c>
      <c r="Y1391" t="inlineStr"/>
      <c r="AB1391" t="inlineStr">
        <is>
          <t>R9254E S1800</t>
        </is>
      </c>
      <c r="AC1391" t="inlineStr">
        <is>
          <t>R9254E S1800*3</t>
        </is>
      </c>
    </row>
    <row r="1392" hidden="1" ht="15" customHeight="1" s="99">
      <c r="A1392" t="inlineStr">
        <is>
          <t>ZKEL23</t>
        </is>
      </c>
      <c r="B1392" t="inlineStr">
        <is>
          <t>ZKEL23_00L00_Nungamuwa_Kd</t>
        </is>
      </c>
      <c r="F1392" t="n">
        <v>6.96429</v>
      </c>
      <c r="G1392" t="n">
        <v>79.91370000000001</v>
      </c>
      <c r="H1392" t="inlineStr">
        <is>
          <t>ZKEL23G</t>
        </is>
      </c>
      <c r="K1392" t="inlineStr">
        <is>
          <t>S1</t>
        </is>
      </c>
      <c r="L1392" t="inlineStr">
        <is>
          <t>4G</t>
        </is>
      </c>
      <c r="M1392" t="inlineStr">
        <is>
          <t>1800</t>
        </is>
      </c>
      <c r="N1392" t="inlineStr"/>
      <c r="O1392" t="n">
        <v>6</v>
      </c>
      <c r="P1392" t="n">
        <v>0</v>
      </c>
      <c r="Q1392" t="n">
        <v>0</v>
      </c>
      <c r="Y1392" t="inlineStr">
        <is>
          <t>2T2R</t>
        </is>
      </c>
      <c r="AB1392" t="inlineStr">
        <is>
          <t>R9254E S1800</t>
        </is>
      </c>
      <c r="AC1392" t="inlineStr">
        <is>
          <t>R9254E S1800*3</t>
        </is>
      </c>
    </row>
    <row r="1393" hidden="1" ht="15" customHeight="1" s="99">
      <c r="A1393" t="inlineStr">
        <is>
          <t>ZKEL23</t>
        </is>
      </c>
      <c r="B1393" t="inlineStr"/>
      <c r="F1393">
        <f>_xlfn.XLOOKUP(A1393,'[1]4G Parameters'!$E:$E,'[1]4G Parameters'!$J:$J)</f>
        <v/>
      </c>
      <c r="G1393">
        <f>_xlfn.XLOOKUP(A1393,'[1]4G Parameters'!$E:$E,'[1]4G Parameters'!$I:$I)</f>
        <v/>
      </c>
      <c r="H1393" t="inlineStr">
        <is>
          <t>ZKEL23Q</t>
        </is>
      </c>
      <c r="K1393" t="inlineStr">
        <is>
          <t>S2</t>
        </is>
      </c>
      <c r="L1393" t="inlineStr">
        <is>
          <t>2G</t>
        </is>
      </c>
      <c r="M1393" t="inlineStr">
        <is>
          <t>1800</t>
        </is>
      </c>
      <c r="N1393" t="inlineStr"/>
      <c r="O1393" t="n">
        <v>40</v>
      </c>
      <c r="P1393" t="n">
        <v>120</v>
      </c>
      <c r="Q1393" t="n">
        <v>2</v>
      </c>
      <c r="Y1393" t="inlineStr"/>
      <c r="AB1393" t="inlineStr">
        <is>
          <t>R9254E S1800</t>
        </is>
      </c>
      <c r="AC1393" t="inlineStr">
        <is>
          <t>R9254E S1800*3</t>
        </is>
      </c>
    </row>
    <row r="1394" hidden="1" ht="15" customHeight="1" s="99">
      <c r="A1394" t="inlineStr">
        <is>
          <t>ZKEL23</t>
        </is>
      </c>
      <c r="B1394" t="inlineStr">
        <is>
          <t>ZKEL23_00L00_Nungamuwa_Kd</t>
        </is>
      </c>
      <c r="F1394" t="n">
        <v>6.96429</v>
      </c>
      <c r="G1394" t="n">
        <v>79.91370000000001</v>
      </c>
      <c r="H1394" t="inlineStr">
        <is>
          <t>ZKEL23H</t>
        </is>
      </c>
      <c r="K1394" t="inlineStr">
        <is>
          <t>S2</t>
        </is>
      </c>
      <c r="L1394" t="inlineStr">
        <is>
          <t>4G</t>
        </is>
      </c>
      <c r="M1394" t="inlineStr">
        <is>
          <t>1800</t>
        </is>
      </c>
      <c r="N1394" t="inlineStr"/>
      <c r="O1394" t="n">
        <v>6</v>
      </c>
      <c r="P1394" t="n">
        <v>120</v>
      </c>
      <c r="Q1394" t="n">
        <v>0</v>
      </c>
      <c r="Y1394" t="inlineStr">
        <is>
          <t>2T2R</t>
        </is>
      </c>
      <c r="AB1394" t="inlineStr">
        <is>
          <t>R9254E S1800</t>
        </is>
      </c>
      <c r="AC1394" t="inlineStr">
        <is>
          <t>R9254E S1800*3</t>
        </is>
      </c>
    </row>
    <row r="1395" hidden="1" ht="15" customHeight="1" s="99">
      <c r="A1395" t="inlineStr">
        <is>
          <t>ZKEL23</t>
        </is>
      </c>
      <c r="B1395" t="inlineStr"/>
      <c r="F1395">
        <f>_xlfn.XLOOKUP(A1395,'[1]4G Parameters'!$E:$E,'[1]4G Parameters'!$J:$J)</f>
        <v/>
      </c>
      <c r="G1395">
        <f>_xlfn.XLOOKUP(A1395,'[1]4G Parameters'!$E:$E,'[1]4G Parameters'!$I:$I)</f>
        <v/>
      </c>
      <c r="H1395" t="inlineStr">
        <is>
          <t>ZKEL23R</t>
        </is>
      </c>
      <c r="K1395" t="inlineStr">
        <is>
          <t>S3</t>
        </is>
      </c>
      <c r="L1395" t="inlineStr">
        <is>
          <t>2G</t>
        </is>
      </c>
      <c r="M1395" t="inlineStr">
        <is>
          <t>1800</t>
        </is>
      </c>
      <c r="N1395" t="inlineStr"/>
      <c r="O1395" t="n">
        <v>40</v>
      </c>
      <c r="P1395" t="n">
        <v>240</v>
      </c>
      <c r="Q1395" t="n">
        <v>2</v>
      </c>
      <c r="Y1395" t="inlineStr"/>
      <c r="AB1395" t="inlineStr">
        <is>
          <t>R9254E S1800</t>
        </is>
      </c>
      <c r="AC1395" t="inlineStr">
        <is>
          <t>R9254E S1800*3</t>
        </is>
      </c>
    </row>
    <row r="1396" hidden="1" ht="15" customHeight="1" s="99">
      <c r="A1396" t="inlineStr">
        <is>
          <t>ZKEL23</t>
        </is>
      </c>
      <c r="B1396" t="inlineStr">
        <is>
          <t>ZKEL23_00L00_Nungamuwa_Kd</t>
        </is>
      </c>
      <c r="F1396" t="n">
        <v>6.96429</v>
      </c>
      <c r="G1396" t="n">
        <v>79.91370000000001</v>
      </c>
      <c r="H1396" t="inlineStr">
        <is>
          <t>ZKEL23I</t>
        </is>
      </c>
      <c r="K1396" t="inlineStr">
        <is>
          <t>S3</t>
        </is>
      </c>
      <c r="L1396" t="inlineStr">
        <is>
          <t>4G</t>
        </is>
      </c>
      <c r="M1396" t="inlineStr">
        <is>
          <t>1800</t>
        </is>
      </c>
      <c r="N1396" t="inlineStr"/>
      <c r="O1396" t="n">
        <v>6</v>
      </c>
      <c r="P1396" t="n">
        <v>240</v>
      </c>
      <c r="Q1396" t="n">
        <v>0</v>
      </c>
      <c r="Y1396" t="inlineStr">
        <is>
          <t>2T2R</t>
        </is>
      </c>
      <c r="AB1396" t="inlineStr">
        <is>
          <t>R9254E S1800</t>
        </is>
      </c>
      <c r="AC1396" t="inlineStr">
        <is>
          <t>R9254E S1800*3</t>
        </is>
      </c>
    </row>
    <row r="1397" hidden="1" ht="15" customHeight="1" s="99">
      <c r="A1397" t="inlineStr">
        <is>
          <t>ZKEL24</t>
        </is>
      </c>
      <c r="B1397" t="inlineStr"/>
      <c r="F1397">
        <f>_xlfn.XLOOKUP(A1397,'[1]4G Parameters'!$E:$E,'[1]4G Parameters'!$J:$J)</f>
        <v/>
      </c>
      <c r="G1397">
        <f>_xlfn.XLOOKUP(A1397,'[1]4G Parameters'!$E:$E,'[1]4G Parameters'!$I:$I)</f>
        <v/>
      </c>
      <c r="H1397" t="inlineStr">
        <is>
          <t>ZKEL24P</t>
        </is>
      </c>
      <c r="K1397" t="inlineStr">
        <is>
          <t>S1</t>
        </is>
      </c>
      <c r="L1397" t="inlineStr">
        <is>
          <t>2G</t>
        </is>
      </c>
      <c r="M1397" t="inlineStr">
        <is>
          <t>1800</t>
        </is>
      </c>
      <c r="N1397" t="inlineStr"/>
      <c r="O1397" t="n">
        <v>18</v>
      </c>
      <c r="P1397" t="n">
        <v>90</v>
      </c>
      <c r="Q1397" t="n">
        <v>2</v>
      </c>
      <c r="Y1397" t="inlineStr"/>
      <c r="AB1397" t="inlineStr">
        <is>
          <t>R9254E S1800</t>
        </is>
      </c>
      <c r="AC1397" t="inlineStr">
        <is>
          <t>R9254E S1800*3</t>
        </is>
      </c>
    </row>
    <row r="1398" hidden="1" ht="15" customHeight="1" s="99">
      <c r="A1398" t="inlineStr">
        <is>
          <t>ZKEL24</t>
        </is>
      </c>
      <c r="B1398" t="inlineStr">
        <is>
          <t>ZKEL24_GUL00_Peliyagoda_Fish_Market_IP_Kd</t>
        </is>
      </c>
      <c r="F1398" t="n">
        <v>6.96868</v>
      </c>
      <c r="G1398" t="n">
        <v>79.88800000000001</v>
      </c>
      <c r="H1398" t="inlineStr">
        <is>
          <t>ZKEL24G</t>
        </is>
      </c>
      <c r="K1398" t="inlineStr">
        <is>
          <t>S1</t>
        </is>
      </c>
      <c r="L1398" t="inlineStr">
        <is>
          <t>4G</t>
        </is>
      </c>
      <c r="M1398" t="inlineStr">
        <is>
          <t>1800</t>
        </is>
      </c>
      <c r="N1398" t="inlineStr"/>
      <c r="O1398" t="n">
        <v>4</v>
      </c>
      <c r="P1398" t="n">
        <v>90</v>
      </c>
      <c r="Q1398" t="n">
        <v>0</v>
      </c>
      <c r="Y1398" t="inlineStr">
        <is>
          <t>4T4R</t>
        </is>
      </c>
      <c r="AB1398" t="inlineStr">
        <is>
          <t>R9254E S1800</t>
        </is>
      </c>
      <c r="AC1398" t="inlineStr">
        <is>
          <t>R9254E S1800*3</t>
        </is>
      </c>
    </row>
    <row r="1399" hidden="1" ht="15" customHeight="1" s="99">
      <c r="A1399" t="inlineStr">
        <is>
          <t>ZKEL24</t>
        </is>
      </c>
      <c r="B1399" t="inlineStr"/>
      <c r="F1399">
        <f>_xlfn.XLOOKUP(A1399,'[1]4G Parameters'!$E:$E,'[1]4G Parameters'!$J:$J)</f>
        <v/>
      </c>
      <c r="G1399">
        <f>_xlfn.XLOOKUP(A1399,'[1]4G Parameters'!$E:$E,'[1]4G Parameters'!$I:$I)</f>
        <v/>
      </c>
      <c r="H1399" t="inlineStr">
        <is>
          <t>ZKEL24Q</t>
        </is>
      </c>
      <c r="K1399" t="inlineStr">
        <is>
          <t>S2</t>
        </is>
      </c>
      <c r="L1399" t="inlineStr">
        <is>
          <t>2G</t>
        </is>
      </c>
      <c r="M1399" t="inlineStr">
        <is>
          <t>1800</t>
        </is>
      </c>
      <c r="N1399" t="inlineStr"/>
      <c r="O1399" t="n">
        <v>18</v>
      </c>
      <c r="P1399" t="n">
        <v>180</v>
      </c>
      <c r="Q1399" t="n">
        <v>2</v>
      </c>
      <c r="Y1399" t="inlineStr"/>
      <c r="AB1399" t="inlineStr">
        <is>
          <t>R9254E S1800</t>
        </is>
      </c>
      <c r="AC1399" t="inlineStr">
        <is>
          <t>R9254E S1800*3</t>
        </is>
      </c>
    </row>
    <row r="1400" hidden="1" ht="15" customHeight="1" s="99">
      <c r="A1400" t="inlineStr">
        <is>
          <t>ZKEL24</t>
        </is>
      </c>
      <c r="B1400" t="inlineStr">
        <is>
          <t>ZKEL24_GUL00_Peliyagoda_Fish_Market_IP_Kd</t>
        </is>
      </c>
      <c r="F1400" t="n">
        <v>6.96868</v>
      </c>
      <c r="G1400" t="n">
        <v>79.88800000000001</v>
      </c>
      <c r="H1400" t="inlineStr">
        <is>
          <t>ZKEL24H</t>
        </is>
      </c>
      <c r="K1400" t="inlineStr">
        <is>
          <t>S2</t>
        </is>
      </c>
      <c r="L1400" t="inlineStr">
        <is>
          <t>4G</t>
        </is>
      </c>
      <c r="M1400" t="inlineStr">
        <is>
          <t>1800</t>
        </is>
      </c>
      <c r="N1400" t="inlineStr"/>
      <c r="O1400" t="n">
        <v>4</v>
      </c>
      <c r="P1400" t="n">
        <v>180</v>
      </c>
      <c r="Q1400" t="n">
        <v>0</v>
      </c>
      <c r="Y1400" t="inlineStr">
        <is>
          <t>4T4R</t>
        </is>
      </c>
      <c r="AB1400" t="inlineStr">
        <is>
          <t>R9254E S1800</t>
        </is>
      </c>
      <c r="AC1400" t="inlineStr">
        <is>
          <t>R9254E S1800*3</t>
        </is>
      </c>
    </row>
    <row r="1401" hidden="1" ht="15" customHeight="1" s="99">
      <c r="A1401" t="inlineStr">
        <is>
          <t>ZKEL24</t>
        </is>
      </c>
      <c r="B1401" t="inlineStr"/>
      <c r="F1401">
        <f>_xlfn.XLOOKUP(A1401,'[1]4G Parameters'!$E:$E,'[1]4G Parameters'!$J:$J)</f>
        <v/>
      </c>
      <c r="G1401">
        <f>_xlfn.XLOOKUP(A1401,'[1]4G Parameters'!$E:$E,'[1]4G Parameters'!$I:$I)</f>
        <v/>
      </c>
      <c r="H1401" t="inlineStr">
        <is>
          <t>ZKEL24R</t>
        </is>
      </c>
      <c r="K1401" t="inlineStr">
        <is>
          <t>S3</t>
        </is>
      </c>
      <c r="L1401" t="inlineStr">
        <is>
          <t>2G</t>
        </is>
      </c>
      <c r="M1401" t="inlineStr">
        <is>
          <t>1800</t>
        </is>
      </c>
      <c r="N1401" t="inlineStr"/>
      <c r="O1401" t="n">
        <v>18</v>
      </c>
      <c r="P1401" t="n">
        <v>330</v>
      </c>
      <c r="Q1401" t="n">
        <v>2</v>
      </c>
      <c r="Y1401" t="inlineStr"/>
      <c r="AB1401" t="inlineStr">
        <is>
          <t>R9254E S1800</t>
        </is>
      </c>
      <c r="AC1401" t="inlineStr">
        <is>
          <t>R9254E S1800*3</t>
        </is>
      </c>
    </row>
    <row r="1402" hidden="1" ht="15" customHeight="1" s="99">
      <c r="A1402" t="inlineStr">
        <is>
          <t>ZKEL24</t>
        </is>
      </c>
      <c r="B1402" t="inlineStr">
        <is>
          <t>ZKEL24_GUL00_Peliyagoda_Fish_Market_IP_Kd</t>
        </is>
      </c>
      <c r="F1402" t="n">
        <v>6.96868</v>
      </c>
      <c r="G1402" t="n">
        <v>79.88800000000001</v>
      </c>
      <c r="H1402" t="inlineStr">
        <is>
          <t>ZKEL24I</t>
        </is>
      </c>
      <c r="K1402" t="inlineStr">
        <is>
          <t>S3</t>
        </is>
      </c>
      <c r="L1402" t="inlineStr">
        <is>
          <t>4G</t>
        </is>
      </c>
      <c r="M1402" t="inlineStr">
        <is>
          <t>1800</t>
        </is>
      </c>
      <c r="N1402" t="inlineStr"/>
      <c r="O1402" t="n">
        <v>4</v>
      </c>
      <c r="P1402" t="n">
        <v>330</v>
      </c>
      <c r="Q1402" t="n">
        <v>0</v>
      </c>
      <c r="Y1402" t="inlineStr">
        <is>
          <t>4T4R</t>
        </is>
      </c>
      <c r="AB1402" t="inlineStr">
        <is>
          <t>R9254E S1800</t>
        </is>
      </c>
      <c r="AC1402" t="inlineStr">
        <is>
          <t>R9254E S1800*3</t>
        </is>
      </c>
    </row>
    <row r="1403" hidden="1" ht="15" customHeight="1" s="99">
      <c r="A1403" t="inlineStr">
        <is>
          <t>ZKEL25</t>
        </is>
      </c>
      <c r="B1403" t="inlineStr"/>
      <c r="D1403" t="inlineStr">
        <is>
          <t>无900</t>
        </is>
      </c>
      <c r="F1403">
        <f>_xlfn.XLOOKUP(A1403,'[1]4G Parameters'!$E:$E,'[1]4G Parameters'!$J:$J)</f>
        <v/>
      </c>
      <c r="G1403">
        <f>_xlfn.XLOOKUP(A1403,'[1]4G Parameters'!$E:$E,'[1]4G Parameters'!$I:$I)</f>
        <v/>
      </c>
      <c r="H1403" t="inlineStr">
        <is>
          <t>ZKEL25P</t>
        </is>
      </c>
      <c r="K1403" t="inlineStr">
        <is>
          <t>S1</t>
        </is>
      </c>
      <c r="L1403" t="inlineStr">
        <is>
          <t>2G</t>
        </is>
      </c>
      <c r="M1403" t="inlineStr">
        <is>
          <t>1800</t>
        </is>
      </c>
      <c r="N1403" t="inlineStr"/>
      <c r="O1403" t="n">
        <v>0</v>
      </c>
      <c r="P1403" t="n">
        <v>75</v>
      </c>
      <c r="Q1403" t="n">
        <v>2</v>
      </c>
      <c r="Y1403" t="inlineStr"/>
      <c r="AB1403" t="inlineStr">
        <is>
          <t>R9264H M901821</t>
        </is>
      </c>
      <c r="AC1403" t="inlineStr">
        <is>
          <t>A9652 S35*3+R9264H M901821*3+R9254E S8500*2</t>
        </is>
      </c>
    </row>
    <row r="1404" hidden="1" ht="15" customHeight="1" s="99">
      <c r="A1404" t="inlineStr">
        <is>
          <t>ZKEL25</t>
        </is>
      </c>
      <c r="B1404" t="inlineStr">
        <is>
          <t>ZKEL25_G0L00_Koholwila2_IP_Kd</t>
        </is>
      </c>
      <c r="D1404" t="inlineStr">
        <is>
          <t>无900</t>
        </is>
      </c>
      <c r="F1404" t="n">
        <v>6.95905</v>
      </c>
      <c r="G1404" t="n">
        <v>79.93170000000001</v>
      </c>
      <c r="H1404" t="inlineStr">
        <is>
          <t>ZKEL25G</t>
        </is>
      </c>
      <c r="K1404" t="inlineStr">
        <is>
          <t>S1</t>
        </is>
      </c>
      <c r="L1404" t="inlineStr">
        <is>
          <t>4G</t>
        </is>
      </c>
      <c r="M1404" t="inlineStr">
        <is>
          <t>1800</t>
        </is>
      </c>
      <c r="N1404" t="inlineStr"/>
      <c r="O1404" t="n">
        <v>70</v>
      </c>
      <c r="P1404" t="n">
        <v>75</v>
      </c>
      <c r="Q1404" t="n">
        <v>0</v>
      </c>
      <c r="Y1404" t="inlineStr">
        <is>
          <t>2T2R</t>
        </is>
      </c>
      <c r="AB1404" t="inlineStr">
        <is>
          <t>R9264H M901821</t>
        </is>
      </c>
      <c r="AC1404" t="inlineStr">
        <is>
          <t>A9652 S35*3+R9264H M901821*3+R9254E S8500*2</t>
        </is>
      </c>
    </row>
    <row r="1405" hidden="1" ht="15" customHeight="1" s="99">
      <c r="A1405" t="inlineStr">
        <is>
          <t>ZKEL25</t>
        </is>
      </c>
      <c r="B1405" t="inlineStr"/>
      <c r="D1405" t="inlineStr">
        <is>
          <t>无900</t>
        </is>
      </c>
      <c r="F1405">
        <f>_xlfn.XLOOKUP(A1405,'[1]4G Parameters'!$E:$E,'[1]4G Parameters'!$J:$J)</f>
        <v/>
      </c>
      <c r="G1405">
        <f>_xlfn.XLOOKUP(A1405,'[1]4G Parameters'!$E:$E,'[1]4G Parameters'!$I:$I)</f>
        <v/>
      </c>
      <c r="H1405" t="inlineStr">
        <is>
          <t>ZKEL25Q</t>
        </is>
      </c>
      <c r="K1405" t="inlineStr">
        <is>
          <t>S2</t>
        </is>
      </c>
      <c r="L1405" t="inlineStr">
        <is>
          <t>2G</t>
        </is>
      </c>
      <c r="M1405" t="inlineStr">
        <is>
          <t>1800</t>
        </is>
      </c>
      <c r="N1405" t="inlineStr"/>
      <c r="O1405" t="n">
        <v>0</v>
      </c>
      <c r="P1405" t="n">
        <v>125</v>
      </c>
      <c r="Q1405" t="n">
        <v>2</v>
      </c>
      <c r="Y1405" t="inlineStr"/>
      <c r="AB1405" t="inlineStr">
        <is>
          <t>R9264H M901821</t>
        </is>
      </c>
      <c r="AC1405" t="inlineStr">
        <is>
          <t>A9652 S35*3+R9264H M901821*3+R9254E S8500*2</t>
        </is>
      </c>
    </row>
    <row r="1406" hidden="1" ht="15" customHeight="1" s="99">
      <c r="A1406" t="inlineStr">
        <is>
          <t>ZKEL25</t>
        </is>
      </c>
      <c r="B1406" t="inlineStr">
        <is>
          <t>ZKEL25_G0L00_Koholwila2_IP_Kd</t>
        </is>
      </c>
      <c r="D1406" t="inlineStr">
        <is>
          <t>无900</t>
        </is>
      </c>
      <c r="F1406" t="n">
        <v>6.95905</v>
      </c>
      <c r="G1406" t="n">
        <v>79.93170000000001</v>
      </c>
      <c r="H1406" t="inlineStr">
        <is>
          <t>ZKEL25H</t>
        </is>
      </c>
      <c r="K1406" t="inlineStr">
        <is>
          <t>S2</t>
        </is>
      </c>
      <c r="L1406" t="inlineStr">
        <is>
          <t>4G</t>
        </is>
      </c>
      <c r="M1406" t="inlineStr">
        <is>
          <t>1800</t>
        </is>
      </c>
      <c r="N1406" t="inlineStr"/>
      <c r="O1406" t="n">
        <v>70</v>
      </c>
      <c r="P1406" t="n">
        <v>125</v>
      </c>
      <c r="Q1406" t="n">
        <v>0</v>
      </c>
      <c r="Y1406" t="inlineStr">
        <is>
          <t>2T2R</t>
        </is>
      </c>
      <c r="AB1406" t="inlineStr">
        <is>
          <t>R9264H M901821</t>
        </is>
      </c>
      <c r="AC1406" t="inlineStr">
        <is>
          <t>A9652 S35*3+R9264H M901821*3+R9254E S8500*2</t>
        </is>
      </c>
    </row>
    <row r="1407" hidden="1" ht="15" customHeight="1" s="99">
      <c r="A1407" t="inlineStr">
        <is>
          <t>ZKEL25</t>
        </is>
      </c>
      <c r="B1407" t="inlineStr"/>
      <c r="D1407" t="inlineStr">
        <is>
          <t>无900</t>
        </is>
      </c>
      <c r="F1407">
        <f>_xlfn.XLOOKUP(A1407,'[1]4G Parameters'!$E:$E,'[1]4G Parameters'!$J:$J)</f>
        <v/>
      </c>
      <c r="G1407">
        <f>_xlfn.XLOOKUP(A1407,'[1]4G Parameters'!$E:$E,'[1]4G Parameters'!$I:$I)</f>
        <v/>
      </c>
      <c r="H1407" t="inlineStr">
        <is>
          <t>ZKEL25R</t>
        </is>
      </c>
      <c r="K1407" t="inlineStr">
        <is>
          <t>S3</t>
        </is>
      </c>
      <c r="L1407" t="inlineStr">
        <is>
          <t>2G</t>
        </is>
      </c>
      <c r="M1407" t="inlineStr">
        <is>
          <t>1800</t>
        </is>
      </c>
      <c r="N1407" t="inlineStr"/>
      <c r="O1407" t="n">
        <v>0</v>
      </c>
      <c r="P1407" t="n">
        <v>250</v>
      </c>
      <c r="Q1407" t="n">
        <v>2</v>
      </c>
      <c r="Y1407" t="inlineStr"/>
      <c r="AB1407" t="inlineStr">
        <is>
          <t>R9264H M901821</t>
        </is>
      </c>
      <c r="AC1407" t="inlineStr">
        <is>
          <t>A9652 S35*3+R9264H M901821*3+R9254E S8500*2</t>
        </is>
      </c>
    </row>
    <row r="1408" hidden="1" ht="15" customHeight="1" s="99">
      <c r="A1408" t="inlineStr">
        <is>
          <t>ZKEL25</t>
        </is>
      </c>
      <c r="B1408" t="inlineStr">
        <is>
          <t>ZKEL25_G0L00_Koholwila2_IP_Kd</t>
        </is>
      </c>
      <c r="D1408" t="inlineStr">
        <is>
          <t>无900</t>
        </is>
      </c>
      <c r="F1408" t="n">
        <v>6.95905</v>
      </c>
      <c r="G1408" t="n">
        <v>79.93170000000001</v>
      </c>
      <c r="H1408" t="inlineStr">
        <is>
          <t>ZKEL25I</t>
        </is>
      </c>
      <c r="K1408" t="inlineStr">
        <is>
          <t>S3</t>
        </is>
      </c>
      <c r="L1408" t="inlineStr">
        <is>
          <t>4G</t>
        </is>
      </c>
      <c r="M1408" t="inlineStr">
        <is>
          <t>1800</t>
        </is>
      </c>
      <c r="N1408" t="inlineStr"/>
      <c r="O1408" t="n">
        <v>70</v>
      </c>
      <c r="P1408" t="n">
        <v>250</v>
      </c>
      <c r="Q1408" t="n">
        <v>0</v>
      </c>
      <c r="Y1408" t="inlineStr">
        <is>
          <t>2T2R</t>
        </is>
      </c>
      <c r="AB1408" t="inlineStr">
        <is>
          <t>R9264H M901821</t>
        </is>
      </c>
      <c r="AC1408" t="inlineStr">
        <is>
          <t>A9652 S35*3+R9264H M901821*3+R9254E S8500*2</t>
        </is>
      </c>
    </row>
    <row r="1409" hidden="1" ht="15" customHeight="1" s="99">
      <c r="A1409" t="inlineStr">
        <is>
          <t>ZKEL26</t>
        </is>
      </c>
      <c r="B1409" t="inlineStr"/>
      <c r="D1409" t="inlineStr">
        <is>
          <t>无2100</t>
        </is>
      </c>
      <c r="F1409">
        <f>_xlfn.XLOOKUP(A1409,'[1]4G Parameters'!$E:$E,'[1]4G Parameters'!$J:$J)</f>
        <v/>
      </c>
      <c r="G1409">
        <f>_xlfn.XLOOKUP(A1409,'[1]4G Parameters'!$E:$E,'[1]4G Parameters'!$I:$I)</f>
        <v/>
      </c>
      <c r="H1409" t="inlineStr">
        <is>
          <t>ZKEL26P</t>
        </is>
      </c>
      <c r="K1409" t="inlineStr">
        <is>
          <t>S1</t>
        </is>
      </c>
      <c r="L1409" t="inlineStr">
        <is>
          <t>2G</t>
        </is>
      </c>
      <c r="M1409" t="inlineStr">
        <is>
          <t>1800</t>
        </is>
      </c>
      <c r="N1409" t="inlineStr"/>
      <c r="O1409" t="n">
        <v>0</v>
      </c>
      <c r="P1409" t="n">
        <v>0</v>
      </c>
      <c r="Q1409" t="n">
        <v>2</v>
      </c>
      <c r="Y1409" t="inlineStr"/>
      <c r="AB1409" t="inlineStr">
        <is>
          <t>R9264 M1821N</t>
        </is>
      </c>
      <c r="AC1409" t="inlineStr">
        <is>
          <t>R9264 M1821N*3</t>
        </is>
      </c>
    </row>
    <row r="1410" hidden="1" ht="15" customHeight="1" s="99">
      <c r="A1410" t="inlineStr">
        <is>
          <t>ZKEL26</t>
        </is>
      </c>
      <c r="B1410" t="inlineStr">
        <is>
          <t>ZKEL26_0UL00_Waragoda_Road2_Kd</t>
        </is>
      </c>
      <c r="D1410" t="inlineStr">
        <is>
          <t>无2100</t>
        </is>
      </c>
      <c r="F1410" t="n">
        <v>6.963</v>
      </c>
      <c r="G1410" t="n">
        <v>79.9003</v>
      </c>
      <c r="H1410" t="inlineStr">
        <is>
          <t>ZKEL26G</t>
        </is>
      </c>
      <c r="K1410" t="inlineStr">
        <is>
          <t>S1</t>
        </is>
      </c>
      <c r="L1410" t="inlineStr">
        <is>
          <t>4G</t>
        </is>
      </c>
      <c r="M1410" t="inlineStr">
        <is>
          <t>1800</t>
        </is>
      </c>
      <c r="N1410" t="inlineStr"/>
      <c r="O1410" t="n">
        <v>9</v>
      </c>
      <c r="P1410" t="n">
        <v>0</v>
      </c>
      <c r="Q1410" t="n">
        <v>0</v>
      </c>
      <c r="Y1410" t="inlineStr">
        <is>
          <t>2T2R</t>
        </is>
      </c>
      <c r="AB1410" t="inlineStr">
        <is>
          <t>R9264 M1821N</t>
        </is>
      </c>
      <c r="AC1410" t="inlineStr">
        <is>
          <t>R9264 M1821N*3</t>
        </is>
      </c>
    </row>
    <row r="1411" hidden="1" ht="15" customHeight="1" s="99">
      <c r="A1411" t="inlineStr">
        <is>
          <t>ZKEL26</t>
        </is>
      </c>
      <c r="B1411" t="inlineStr"/>
      <c r="D1411" t="inlineStr">
        <is>
          <t>无2100</t>
        </is>
      </c>
      <c r="F1411">
        <f>_xlfn.XLOOKUP(A1411,'[1]4G Parameters'!$E:$E,'[1]4G Parameters'!$J:$J)</f>
        <v/>
      </c>
      <c r="G1411">
        <f>_xlfn.XLOOKUP(A1411,'[1]4G Parameters'!$E:$E,'[1]4G Parameters'!$I:$I)</f>
        <v/>
      </c>
      <c r="H1411" t="inlineStr">
        <is>
          <t>ZKEL26Q</t>
        </is>
      </c>
      <c r="K1411" t="inlineStr">
        <is>
          <t>S2</t>
        </is>
      </c>
      <c r="L1411" t="inlineStr">
        <is>
          <t>2G</t>
        </is>
      </c>
      <c r="M1411" t="inlineStr">
        <is>
          <t>1800</t>
        </is>
      </c>
      <c r="N1411" t="inlineStr"/>
      <c r="O1411" t="n">
        <v>0</v>
      </c>
      <c r="P1411" t="n">
        <v>120</v>
      </c>
      <c r="Q1411" t="n">
        <v>2</v>
      </c>
      <c r="Y1411" t="inlineStr"/>
      <c r="AB1411" t="inlineStr">
        <is>
          <t>R9264 M1821N</t>
        </is>
      </c>
      <c r="AC1411" t="inlineStr">
        <is>
          <t>R9264 M1821N*3</t>
        </is>
      </c>
    </row>
    <row r="1412" hidden="1" ht="15" customHeight="1" s="99">
      <c r="A1412" t="inlineStr">
        <is>
          <t>ZKEL26</t>
        </is>
      </c>
      <c r="B1412" t="inlineStr">
        <is>
          <t>ZKEL26_0UL00_Waragoda_Road2_Kd</t>
        </is>
      </c>
      <c r="D1412" t="inlineStr">
        <is>
          <t>无2100</t>
        </is>
      </c>
      <c r="F1412" t="n">
        <v>6.963</v>
      </c>
      <c r="G1412" t="n">
        <v>79.9003</v>
      </c>
      <c r="H1412" t="inlineStr">
        <is>
          <t>ZKEL26H</t>
        </is>
      </c>
      <c r="K1412" t="inlineStr">
        <is>
          <t>S2</t>
        </is>
      </c>
      <c r="L1412" t="inlineStr">
        <is>
          <t>4G</t>
        </is>
      </c>
      <c r="M1412" t="inlineStr">
        <is>
          <t>1800</t>
        </is>
      </c>
      <c r="N1412" t="inlineStr"/>
      <c r="O1412" t="n">
        <v>9</v>
      </c>
      <c r="P1412" t="n">
        <v>120</v>
      </c>
      <c r="Q1412" t="n">
        <v>0</v>
      </c>
      <c r="Y1412" t="inlineStr">
        <is>
          <t>2T2R</t>
        </is>
      </c>
      <c r="AB1412" t="inlineStr">
        <is>
          <t>R9264 M1821N</t>
        </is>
      </c>
      <c r="AC1412" t="inlineStr">
        <is>
          <t>R9264 M1821N*3</t>
        </is>
      </c>
    </row>
    <row r="1413" hidden="1" ht="15" customHeight="1" s="99">
      <c r="A1413" t="inlineStr">
        <is>
          <t>ZKEL26</t>
        </is>
      </c>
      <c r="B1413" t="inlineStr"/>
      <c r="D1413" t="inlineStr">
        <is>
          <t>无2100</t>
        </is>
      </c>
      <c r="F1413">
        <f>_xlfn.XLOOKUP(A1413,'[1]4G Parameters'!$E:$E,'[1]4G Parameters'!$J:$J)</f>
        <v/>
      </c>
      <c r="G1413">
        <f>_xlfn.XLOOKUP(A1413,'[1]4G Parameters'!$E:$E,'[1]4G Parameters'!$I:$I)</f>
        <v/>
      </c>
      <c r="H1413" t="inlineStr">
        <is>
          <t>ZKEL26R</t>
        </is>
      </c>
      <c r="K1413" t="inlineStr">
        <is>
          <t>S3</t>
        </is>
      </c>
      <c r="L1413" t="inlineStr">
        <is>
          <t>2G</t>
        </is>
      </c>
      <c r="M1413" t="inlineStr">
        <is>
          <t>1800</t>
        </is>
      </c>
      <c r="N1413" t="inlineStr"/>
      <c r="O1413" t="n">
        <v>0</v>
      </c>
      <c r="P1413" t="n">
        <v>240</v>
      </c>
      <c r="Q1413" t="n">
        <v>2</v>
      </c>
      <c r="Y1413" t="inlineStr"/>
      <c r="AB1413" t="inlineStr">
        <is>
          <t>R9264 M1821N</t>
        </is>
      </c>
      <c r="AC1413" t="inlineStr">
        <is>
          <t>R9264 M1821N*3</t>
        </is>
      </c>
    </row>
    <row r="1414" hidden="1" ht="15" customHeight="1" s="99">
      <c r="A1414" t="inlineStr">
        <is>
          <t>ZKEL26</t>
        </is>
      </c>
      <c r="B1414" t="inlineStr">
        <is>
          <t>ZKEL26_0UL00_Waragoda_Road2_Kd</t>
        </is>
      </c>
      <c r="D1414" t="inlineStr">
        <is>
          <t>无2100</t>
        </is>
      </c>
      <c r="F1414" t="n">
        <v>6.963</v>
      </c>
      <c r="G1414" t="n">
        <v>79.9003</v>
      </c>
      <c r="H1414" t="inlineStr">
        <is>
          <t>ZKEL26I</t>
        </is>
      </c>
      <c r="K1414" t="inlineStr">
        <is>
          <t>S3</t>
        </is>
      </c>
      <c r="L1414" t="inlineStr">
        <is>
          <t>4G</t>
        </is>
      </c>
      <c r="M1414" t="inlineStr">
        <is>
          <t>1800</t>
        </is>
      </c>
      <c r="N1414" t="inlineStr"/>
      <c r="O1414" t="n">
        <v>9</v>
      </c>
      <c r="P1414" t="n">
        <v>240</v>
      </c>
      <c r="Q1414" t="n">
        <v>0</v>
      </c>
      <c r="Y1414" t="inlineStr">
        <is>
          <t>2T2R</t>
        </is>
      </c>
      <c r="AB1414" t="inlineStr">
        <is>
          <t>R9264 M1821N</t>
        </is>
      </c>
      <c r="AC1414" t="inlineStr">
        <is>
          <t>R9264 M1821N*3</t>
        </is>
      </c>
    </row>
    <row r="1415" hidden="1" ht="15" customHeight="1" s="99">
      <c r="A1415" t="inlineStr">
        <is>
          <t>ZKEL27</t>
        </is>
      </c>
      <c r="B1415" t="inlineStr"/>
      <c r="F1415">
        <f>_xlfn.XLOOKUP(A1415,'[1]4G Parameters'!$E:$E,'[1]4G Parameters'!$J:$J)</f>
        <v/>
      </c>
      <c r="G1415">
        <f>_xlfn.XLOOKUP(A1415,'[1]4G Parameters'!$E:$E,'[1]4G Parameters'!$I:$I)</f>
        <v/>
      </c>
      <c r="H1415" t="inlineStr">
        <is>
          <t>ZKEL27P</t>
        </is>
      </c>
      <c r="K1415" t="inlineStr">
        <is>
          <t>S1</t>
        </is>
      </c>
      <c r="L1415" t="inlineStr">
        <is>
          <t>2G</t>
        </is>
      </c>
      <c r="M1415" t="inlineStr">
        <is>
          <t>1800</t>
        </is>
      </c>
      <c r="N1415" t="inlineStr"/>
      <c r="O1415" t="n">
        <v>0</v>
      </c>
      <c r="P1415" t="n">
        <v>0</v>
      </c>
      <c r="Q1415" t="n">
        <v>2</v>
      </c>
      <c r="Y1415" t="inlineStr"/>
      <c r="AB1415" t="inlineStr">
        <is>
          <t>R9254E S1800</t>
        </is>
      </c>
      <c r="AC1415" t="inlineStr">
        <is>
          <t>R9254E S1800*3</t>
        </is>
      </c>
    </row>
    <row r="1416" hidden="1" ht="15" customHeight="1" s="99">
      <c r="A1416" t="inlineStr">
        <is>
          <t>ZKEL27</t>
        </is>
      </c>
      <c r="B1416" t="inlineStr">
        <is>
          <t>ZKEL27_GUL00_Kelaniya_East_Kd</t>
        </is>
      </c>
      <c r="F1416" t="n">
        <v>6.95289</v>
      </c>
      <c r="G1416" t="n">
        <v>79.92449999999999</v>
      </c>
      <c r="H1416" t="inlineStr">
        <is>
          <t>ZKEL27G</t>
        </is>
      </c>
      <c r="K1416" t="inlineStr">
        <is>
          <t>S1</t>
        </is>
      </c>
      <c r="L1416" t="inlineStr">
        <is>
          <t>4G</t>
        </is>
      </c>
      <c r="M1416" t="inlineStr">
        <is>
          <t>1800</t>
        </is>
      </c>
      <c r="N1416" t="inlineStr"/>
      <c r="O1416" t="n">
        <v>1</v>
      </c>
      <c r="P1416" t="n">
        <v>0</v>
      </c>
      <c r="Q1416" t="n">
        <v>0</v>
      </c>
      <c r="Y1416" t="inlineStr">
        <is>
          <t>2T2R</t>
        </is>
      </c>
      <c r="AB1416" t="inlineStr">
        <is>
          <t>R9254E S1800</t>
        </is>
      </c>
      <c r="AC1416" t="inlineStr">
        <is>
          <t>R9254E S1800*3</t>
        </is>
      </c>
    </row>
    <row r="1417" hidden="1" ht="15" customHeight="1" s="99">
      <c r="A1417" t="inlineStr">
        <is>
          <t>ZKEL27</t>
        </is>
      </c>
      <c r="B1417" t="inlineStr"/>
      <c r="F1417">
        <f>_xlfn.XLOOKUP(A1417,'[1]4G Parameters'!$E:$E,'[1]4G Parameters'!$J:$J)</f>
        <v/>
      </c>
      <c r="G1417">
        <f>_xlfn.XLOOKUP(A1417,'[1]4G Parameters'!$E:$E,'[1]4G Parameters'!$I:$I)</f>
        <v/>
      </c>
      <c r="H1417" t="inlineStr">
        <is>
          <t>ZKEL27Q</t>
        </is>
      </c>
      <c r="K1417" t="inlineStr">
        <is>
          <t>S2</t>
        </is>
      </c>
      <c r="L1417" t="inlineStr">
        <is>
          <t>2G</t>
        </is>
      </c>
      <c r="M1417" t="inlineStr">
        <is>
          <t>1800</t>
        </is>
      </c>
      <c r="N1417" t="inlineStr"/>
      <c r="O1417" t="n">
        <v>0</v>
      </c>
      <c r="P1417" t="n">
        <v>75</v>
      </c>
      <c r="Q1417" t="n">
        <v>2</v>
      </c>
      <c r="Y1417" t="inlineStr"/>
      <c r="AB1417" t="inlineStr">
        <is>
          <t>R9254E S1800</t>
        </is>
      </c>
      <c r="AC1417" t="inlineStr">
        <is>
          <t>R9254E S1800*3</t>
        </is>
      </c>
    </row>
    <row r="1418" hidden="1" ht="15" customHeight="1" s="99">
      <c r="A1418" t="inlineStr">
        <is>
          <t>ZKEL27</t>
        </is>
      </c>
      <c r="B1418" t="inlineStr">
        <is>
          <t>ZKEL27_GUL00_Kelaniya_East_Kd</t>
        </is>
      </c>
      <c r="F1418" t="n">
        <v>6.95289</v>
      </c>
      <c r="G1418" t="n">
        <v>79.92449999999999</v>
      </c>
      <c r="H1418" t="inlineStr">
        <is>
          <t>ZKEL27H</t>
        </is>
      </c>
      <c r="K1418" t="inlineStr">
        <is>
          <t>S2</t>
        </is>
      </c>
      <c r="L1418" t="inlineStr">
        <is>
          <t>4G</t>
        </is>
      </c>
      <c r="M1418" t="inlineStr">
        <is>
          <t>1800</t>
        </is>
      </c>
      <c r="N1418" t="inlineStr"/>
      <c r="O1418" t="n">
        <v>1</v>
      </c>
      <c r="P1418" t="n">
        <v>75</v>
      </c>
      <c r="Q1418" t="n">
        <v>0</v>
      </c>
      <c r="Y1418" t="inlineStr">
        <is>
          <t>2T2R</t>
        </is>
      </c>
      <c r="AB1418" t="inlineStr">
        <is>
          <t>R9254E S1800</t>
        </is>
      </c>
      <c r="AC1418" t="inlineStr">
        <is>
          <t>R9254E S1800*3</t>
        </is>
      </c>
    </row>
    <row r="1419" hidden="1" ht="15" customHeight="1" s="99">
      <c r="A1419" t="inlineStr">
        <is>
          <t>ZKEL27</t>
        </is>
      </c>
      <c r="B1419" t="inlineStr"/>
      <c r="F1419">
        <f>_xlfn.XLOOKUP(A1419,'[1]4G Parameters'!$E:$E,'[1]4G Parameters'!$J:$J)</f>
        <v/>
      </c>
      <c r="G1419">
        <f>_xlfn.XLOOKUP(A1419,'[1]4G Parameters'!$E:$E,'[1]4G Parameters'!$I:$I)</f>
        <v/>
      </c>
      <c r="H1419" t="inlineStr">
        <is>
          <t>ZKEL27R</t>
        </is>
      </c>
      <c r="K1419" t="inlineStr">
        <is>
          <t>S3</t>
        </is>
      </c>
      <c r="L1419" t="inlineStr">
        <is>
          <t>2G</t>
        </is>
      </c>
      <c r="M1419" t="inlineStr">
        <is>
          <t>1800</t>
        </is>
      </c>
      <c r="N1419" t="inlineStr"/>
      <c r="O1419" t="n">
        <v>0</v>
      </c>
      <c r="P1419" t="n">
        <v>285</v>
      </c>
      <c r="Q1419" t="n">
        <v>2</v>
      </c>
      <c r="Y1419" t="inlineStr"/>
      <c r="AB1419" t="inlineStr">
        <is>
          <t>R9254E S1800</t>
        </is>
      </c>
      <c r="AC1419" t="inlineStr">
        <is>
          <t>R9254E S1800*3</t>
        </is>
      </c>
    </row>
    <row r="1420" hidden="1" ht="15" customHeight="1" s="99">
      <c r="A1420" t="inlineStr">
        <is>
          <t>ZKEL27</t>
        </is>
      </c>
      <c r="B1420" t="inlineStr">
        <is>
          <t>ZKEL27_GUL00_Kelaniya_East_Kd</t>
        </is>
      </c>
      <c r="F1420" t="n">
        <v>6.95289</v>
      </c>
      <c r="G1420" t="n">
        <v>79.92449999999999</v>
      </c>
      <c r="H1420" t="inlineStr">
        <is>
          <t>ZKEL27I</t>
        </is>
      </c>
      <c r="K1420" t="inlineStr">
        <is>
          <t>S3</t>
        </is>
      </c>
      <c r="L1420" t="inlineStr">
        <is>
          <t>4G</t>
        </is>
      </c>
      <c r="M1420" t="inlineStr">
        <is>
          <t>1800</t>
        </is>
      </c>
      <c r="N1420" t="inlineStr"/>
      <c r="O1420" t="n">
        <v>1</v>
      </c>
      <c r="P1420" t="n">
        <v>285</v>
      </c>
      <c r="Q1420" t="n">
        <v>0</v>
      </c>
      <c r="Y1420" t="inlineStr">
        <is>
          <t>2T2R</t>
        </is>
      </c>
      <c r="AB1420" t="inlineStr">
        <is>
          <t>R9254E S1800</t>
        </is>
      </c>
      <c r="AC1420" t="inlineStr">
        <is>
          <t>R9254E S1800*3</t>
        </is>
      </c>
    </row>
    <row r="1421" hidden="1" ht="15" customHeight="1" s="99">
      <c r="A1421" t="inlineStr">
        <is>
          <t>ZKEL28</t>
        </is>
      </c>
      <c r="B1421" t="inlineStr"/>
      <c r="F1421">
        <f>_xlfn.XLOOKUP(A1421,'[1]4G Parameters'!$E:$E,'[1]4G Parameters'!$J:$J)</f>
        <v/>
      </c>
      <c r="G1421">
        <f>_xlfn.XLOOKUP(A1421,'[1]4G Parameters'!$E:$E,'[1]4G Parameters'!$I:$I)</f>
        <v/>
      </c>
      <c r="H1421" t="inlineStr">
        <is>
          <t>ZKEL28P</t>
        </is>
      </c>
      <c r="K1421" t="inlineStr">
        <is>
          <t>S1</t>
        </is>
      </c>
      <c r="L1421" t="inlineStr">
        <is>
          <t>2G</t>
        </is>
      </c>
      <c r="M1421" t="inlineStr">
        <is>
          <t>1800</t>
        </is>
      </c>
      <c r="N1421" t="inlineStr"/>
      <c r="O1421" t="n">
        <v>0</v>
      </c>
      <c r="P1421" t="n">
        <v>0</v>
      </c>
      <c r="Q1421" t="n">
        <v>2</v>
      </c>
      <c r="Y1421" t="inlineStr"/>
      <c r="AB1421" t="inlineStr">
        <is>
          <t>R9254E S1800</t>
        </is>
      </c>
      <c r="AC1421" t="inlineStr">
        <is>
          <t>A9652 S35*3+R9254E S1800*3+R9254E S8500*2</t>
        </is>
      </c>
    </row>
    <row r="1422" hidden="1" ht="15" customHeight="1" s="99">
      <c r="A1422" t="inlineStr">
        <is>
          <t>ZKEL28</t>
        </is>
      </c>
      <c r="B1422" t="inlineStr">
        <is>
          <t>ZKEL28_G0L00_Sinharamulla2_Kd</t>
        </is>
      </c>
      <c r="F1422" t="n">
        <v>6.9508</v>
      </c>
      <c r="G1422" t="n">
        <v>79.9136</v>
      </c>
      <c r="H1422" t="inlineStr">
        <is>
          <t>ZKEL28-M-L85-A1</t>
        </is>
      </c>
      <c r="K1422" t="inlineStr">
        <is>
          <t>S1</t>
        </is>
      </c>
      <c r="L1422" t="inlineStr">
        <is>
          <t>4G</t>
        </is>
      </c>
      <c r="M1422" t="inlineStr">
        <is>
          <t>850</t>
        </is>
      </c>
      <c r="N1422" t="inlineStr">
        <is>
          <t>APE4517R0v06</t>
        </is>
      </c>
      <c r="O1422" t="n">
        <v>12</v>
      </c>
      <c r="P1422" t="n">
        <v>0</v>
      </c>
      <c r="Q1422" t="n">
        <v>0</v>
      </c>
      <c r="Y1422" t="inlineStr">
        <is>
          <t>2T2R</t>
        </is>
      </c>
      <c r="AB1422" t="inlineStr">
        <is>
          <t>R9254E S8500</t>
        </is>
      </c>
      <c r="AC1422" t="inlineStr">
        <is>
          <t>A9652 S35*3+R9254E S1800*3+R9254E S8500*2</t>
        </is>
      </c>
    </row>
    <row r="1423" hidden="1" ht="15" customHeight="1" s="99">
      <c r="A1423" t="inlineStr">
        <is>
          <t>ZKEL28</t>
        </is>
      </c>
      <c r="B1423" t="inlineStr">
        <is>
          <t>ZKEL28_G0L00_Sinharamulla2_Kd</t>
        </is>
      </c>
      <c r="F1423" t="n">
        <v>6.9508</v>
      </c>
      <c r="G1423" t="n">
        <v>79.9136</v>
      </c>
      <c r="H1423" t="inlineStr">
        <is>
          <t>ZKEL28G</t>
        </is>
      </c>
      <c r="K1423" t="inlineStr">
        <is>
          <t>S1</t>
        </is>
      </c>
      <c r="L1423" t="inlineStr">
        <is>
          <t>4G</t>
        </is>
      </c>
      <c r="M1423" t="inlineStr">
        <is>
          <t>1800</t>
        </is>
      </c>
      <c r="N1423" t="inlineStr">
        <is>
          <t>APE4517R0v06</t>
        </is>
      </c>
      <c r="O1423" t="n">
        <v>12</v>
      </c>
      <c r="P1423" t="n">
        <v>0</v>
      </c>
      <c r="Q1423" t="n">
        <v>0</v>
      </c>
      <c r="Y1423" t="inlineStr">
        <is>
          <t>2T2R</t>
        </is>
      </c>
      <c r="AB1423" t="inlineStr">
        <is>
          <t>R9254E S1800</t>
        </is>
      </c>
      <c r="AC1423" t="inlineStr">
        <is>
          <t>A9652 S35*3+R9254E S1800*3+R9254E S8500*2</t>
        </is>
      </c>
    </row>
    <row r="1424" hidden="1" ht="15" customHeight="1" s="99">
      <c r="A1424" t="inlineStr">
        <is>
          <t>ZKEL28</t>
        </is>
      </c>
      <c r="B1424" t="inlineStr"/>
      <c r="F1424">
        <f>_xlfn.XLOOKUP(A1424,'[1]4G Parameters'!$E:$E,'[1]4G Parameters'!$J:$J)</f>
        <v/>
      </c>
      <c r="G1424">
        <f>_xlfn.XLOOKUP(A1424,'[1]4G Parameters'!$E:$E,'[1]4G Parameters'!$I:$I)</f>
        <v/>
      </c>
      <c r="H1424" t="inlineStr">
        <is>
          <t>ZKEL28Q</t>
        </is>
      </c>
      <c r="K1424" t="inlineStr">
        <is>
          <t>S2</t>
        </is>
      </c>
      <c r="L1424" t="inlineStr">
        <is>
          <t>2G</t>
        </is>
      </c>
      <c r="M1424" t="inlineStr">
        <is>
          <t>1800</t>
        </is>
      </c>
      <c r="N1424" t="inlineStr"/>
      <c r="O1424" t="n">
        <v>0</v>
      </c>
      <c r="P1424" t="n">
        <v>120</v>
      </c>
      <c r="Q1424" t="n">
        <v>2</v>
      </c>
      <c r="Y1424" t="inlineStr"/>
      <c r="AB1424" t="inlineStr">
        <is>
          <t>R9254E S1800</t>
        </is>
      </c>
      <c r="AC1424" t="inlineStr">
        <is>
          <t>A9652 S35*3+R9254E S1800*3+R9254E S8500*2</t>
        </is>
      </c>
    </row>
    <row r="1425" hidden="1" ht="15" customHeight="1" s="99">
      <c r="A1425" t="inlineStr">
        <is>
          <t>ZKEL28</t>
        </is>
      </c>
      <c r="B1425" t="inlineStr">
        <is>
          <t>ZKEL28_G0L00_Sinharamulla2_Kd</t>
        </is>
      </c>
      <c r="F1425" t="n">
        <v>6.9508</v>
      </c>
      <c r="G1425" t="n">
        <v>79.9136</v>
      </c>
      <c r="H1425" t="inlineStr">
        <is>
          <t>ZKEL28-M-L85-B1</t>
        </is>
      </c>
      <c r="K1425" t="inlineStr">
        <is>
          <t>S2</t>
        </is>
      </c>
      <c r="L1425" t="inlineStr">
        <is>
          <t>4G</t>
        </is>
      </c>
      <c r="M1425" t="inlineStr">
        <is>
          <t>850</t>
        </is>
      </c>
      <c r="N1425" t="inlineStr">
        <is>
          <t>APE4517R0v06</t>
        </is>
      </c>
      <c r="O1425" t="n">
        <v>12</v>
      </c>
      <c r="P1425" t="n">
        <v>120</v>
      </c>
      <c r="Q1425" t="n">
        <v>0</v>
      </c>
      <c r="Y1425" t="inlineStr">
        <is>
          <t>2T2R</t>
        </is>
      </c>
      <c r="AB1425" t="inlineStr">
        <is>
          <t>R9254E S8500</t>
        </is>
      </c>
      <c r="AC1425" t="inlineStr">
        <is>
          <t>A9652 S35*3+R9254E S1800*3+R9254E S8500*2</t>
        </is>
      </c>
    </row>
    <row r="1426" hidden="1" ht="15" customHeight="1" s="99">
      <c r="A1426" t="inlineStr">
        <is>
          <t>ZKEL28</t>
        </is>
      </c>
      <c r="B1426" t="inlineStr">
        <is>
          <t>ZKEL28_G0L00_Sinharamulla2_Kd</t>
        </is>
      </c>
      <c r="F1426" t="n">
        <v>6.9508</v>
      </c>
      <c r="G1426" t="n">
        <v>79.9136</v>
      </c>
      <c r="H1426" t="inlineStr">
        <is>
          <t>ZKEL28H</t>
        </is>
      </c>
      <c r="K1426" t="inlineStr">
        <is>
          <t>S2</t>
        </is>
      </c>
      <c r="L1426" t="inlineStr">
        <is>
          <t>4G</t>
        </is>
      </c>
      <c r="M1426" t="inlineStr">
        <is>
          <t>1800</t>
        </is>
      </c>
      <c r="N1426" t="inlineStr">
        <is>
          <t>APE4517R0v06</t>
        </is>
      </c>
      <c r="O1426" t="n">
        <v>12</v>
      </c>
      <c r="P1426" t="n">
        <v>120</v>
      </c>
      <c r="Q1426" t="n">
        <v>0</v>
      </c>
      <c r="Y1426" t="inlineStr">
        <is>
          <t>2T2R</t>
        </is>
      </c>
      <c r="AB1426" t="inlineStr">
        <is>
          <t>R9254E S1800</t>
        </is>
      </c>
      <c r="AC1426" t="inlineStr">
        <is>
          <t>A9652 S35*3+R9254E S1800*3+R9254E S8500*2</t>
        </is>
      </c>
    </row>
    <row r="1427" hidden="1" ht="15" customHeight="1" s="99">
      <c r="A1427" t="inlineStr">
        <is>
          <t>ZKEL28</t>
        </is>
      </c>
      <c r="B1427" t="inlineStr"/>
      <c r="F1427">
        <f>_xlfn.XLOOKUP(A1427,'[1]4G Parameters'!$E:$E,'[1]4G Parameters'!$J:$J)</f>
        <v/>
      </c>
      <c r="G1427">
        <f>_xlfn.XLOOKUP(A1427,'[1]4G Parameters'!$E:$E,'[1]4G Parameters'!$I:$I)</f>
        <v/>
      </c>
      <c r="H1427" t="inlineStr">
        <is>
          <t>ZKEL28R</t>
        </is>
      </c>
      <c r="K1427" t="inlineStr">
        <is>
          <t>S3</t>
        </is>
      </c>
      <c r="L1427" t="inlineStr">
        <is>
          <t>2G</t>
        </is>
      </c>
      <c r="M1427" t="inlineStr">
        <is>
          <t>1800</t>
        </is>
      </c>
      <c r="N1427" t="inlineStr"/>
      <c r="O1427" t="n">
        <v>0</v>
      </c>
      <c r="P1427" t="n">
        <v>240</v>
      </c>
      <c r="Q1427" t="n">
        <v>2</v>
      </c>
      <c r="Y1427" t="inlineStr"/>
      <c r="AB1427" t="inlineStr">
        <is>
          <t>R9254E S1800</t>
        </is>
      </c>
      <c r="AC1427" t="inlineStr">
        <is>
          <t>A9652 S35*3+R9254E S1800*3+R9254E S8500*2</t>
        </is>
      </c>
    </row>
    <row r="1428" hidden="1" ht="15" customHeight="1" s="99">
      <c r="A1428" t="inlineStr">
        <is>
          <t>ZKEL28</t>
        </is>
      </c>
      <c r="B1428" t="inlineStr">
        <is>
          <t>ZKEL28_G0L00_Sinharamulla2_Kd</t>
        </is>
      </c>
      <c r="F1428" t="n">
        <v>6.9508</v>
      </c>
      <c r="G1428" t="n">
        <v>79.9136</v>
      </c>
      <c r="H1428" t="inlineStr">
        <is>
          <t>ZKEL28-M-L85-C1</t>
        </is>
      </c>
      <c r="K1428" t="inlineStr">
        <is>
          <t>S3</t>
        </is>
      </c>
      <c r="L1428" t="inlineStr">
        <is>
          <t>4G</t>
        </is>
      </c>
      <c r="M1428" t="inlineStr">
        <is>
          <t>850</t>
        </is>
      </c>
      <c r="N1428" t="inlineStr">
        <is>
          <t>APE4517R0v06</t>
        </is>
      </c>
      <c r="O1428" t="n">
        <v>12</v>
      </c>
      <c r="P1428" t="n">
        <v>240</v>
      </c>
      <c r="Q1428" t="n">
        <v>0</v>
      </c>
      <c r="Y1428" t="inlineStr">
        <is>
          <t>2T2R</t>
        </is>
      </c>
      <c r="AB1428" t="inlineStr">
        <is>
          <t>R9254E S8500</t>
        </is>
      </c>
      <c r="AC1428" t="inlineStr">
        <is>
          <t>A9652 S35*3+R9254E S1800*3+R9254E S8500*2</t>
        </is>
      </c>
    </row>
    <row r="1429" hidden="1" ht="15" customHeight="1" s="99">
      <c r="A1429" t="inlineStr">
        <is>
          <t>ZKEL28</t>
        </is>
      </c>
      <c r="B1429" t="inlineStr">
        <is>
          <t>ZKEL28_G0L00_Sinharamulla2_Kd</t>
        </is>
      </c>
      <c r="F1429" t="n">
        <v>6.9508</v>
      </c>
      <c r="G1429" t="n">
        <v>79.9136</v>
      </c>
      <c r="H1429" t="inlineStr">
        <is>
          <t>ZKEL28I</t>
        </is>
      </c>
      <c r="K1429" t="inlineStr">
        <is>
          <t>S3</t>
        </is>
      </c>
      <c r="L1429" t="inlineStr">
        <is>
          <t>4G</t>
        </is>
      </c>
      <c r="M1429" t="inlineStr">
        <is>
          <t>1800</t>
        </is>
      </c>
      <c r="N1429" t="inlineStr">
        <is>
          <t>APE4517R0v06</t>
        </is>
      </c>
      <c r="O1429" t="n">
        <v>12</v>
      </c>
      <c r="P1429" t="n">
        <v>240</v>
      </c>
      <c r="Q1429" t="n">
        <v>0</v>
      </c>
      <c r="Y1429" t="inlineStr">
        <is>
          <t>2T2R</t>
        </is>
      </c>
      <c r="AB1429" t="inlineStr">
        <is>
          <t>R9254E S1800</t>
        </is>
      </c>
      <c r="AC1429" t="inlineStr">
        <is>
          <t>A9652 S35*3+R9254E S1800*3+R9254E S8500*2</t>
        </is>
      </c>
    </row>
    <row r="1430" hidden="1" ht="15" customHeight="1" s="99">
      <c r="A1430" t="inlineStr">
        <is>
          <t>ZKEL35</t>
        </is>
      </c>
      <c r="B1430" t="inlineStr"/>
      <c r="D1430" t="inlineStr">
        <is>
          <t>无900+2100</t>
        </is>
      </c>
      <c r="F1430">
        <f>_xlfn.XLOOKUP(A1430,'[1]4G Parameters'!$E:$E,'[1]4G Parameters'!$J:$J)</f>
        <v/>
      </c>
      <c r="G1430">
        <f>_xlfn.XLOOKUP(A1430,'[1]4G Parameters'!$E:$E,'[1]4G Parameters'!$I:$I)</f>
        <v/>
      </c>
      <c r="H1430" t="inlineStr">
        <is>
          <t>ZKEL35P</t>
        </is>
      </c>
      <c r="K1430" t="inlineStr">
        <is>
          <t>S1</t>
        </is>
      </c>
      <c r="L1430" t="inlineStr">
        <is>
          <t>2G</t>
        </is>
      </c>
      <c r="M1430" t="inlineStr">
        <is>
          <t>1800</t>
        </is>
      </c>
      <c r="N1430" t="inlineStr"/>
      <c r="O1430" t="n">
        <v>12</v>
      </c>
      <c r="P1430" t="n">
        <v>0</v>
      </c>
      <c r="Q1430" t="n">
        <v>2</v>
      </c>
      <c r="Y1430" t="inlineStr"/>
      <c r="AB1430" t="inlineStr">
        <is>
          <t>R9264H M901821</t>
        </is>
      </c>
      <c r="AC1430" t="inlineStr">
        <is>
          <t>R9264H M901821*3</t>
        </is>
      </c>
    </row>
    <row r="1431" hidden="1" ht="15" customHeight="1" s="99">
      <c r="A1431" t="inlineStr">
        <is>
          <t>ZKEL35</t>
        </is>
      </c>
      <c r="B1431" t="inlineStr">
        <is>
          <t>ZKEL35_G0L00_Polhena_8_Kd</t>
        </is>
      </c>
      <c r="D1431" t="inlineStr">
        <is>
          <t>无900+2100</t>
        </is>
      </c>
      <c r="F1431" t="n">
        <v>6.960173</v>
      </c>
      <c r="G1431" t="n">
        <v>79.92115</v>
      </c>
      <c r="H1431" t="inlineStr">
        <is>
          <t>ZKEL35G</t>
        </is>
      </c>
      <c r="K1431" t="inlineStr">
        <is>
          <t>S1</t>
        </is>
      </c>
      <c r="L1431" t="inlineStr">
        <is>
          <t>4G</t>
        </is>
      </c>
      <c r="M1431" t="inlineStr">
        <is>
          <t>1800</t>
        </is>
      </c>
      <c r="N1431" t="inlineStr"/>
      <c r="O1431" t="n">
        <v>12</v>
      </c>
      <c r="P1431" t="n">
        <v>0</v>
      </c>
      <c r="Q1431" t="n">
        <v>0</v>
      </c>
      <c r="Y1431" t="inlineStr">
        <is>
          <t>2T2R</t>
        </is>
      </c>
      <c r="AB1431" t="inlineStr">
        <is>
          <t>R9264H M901821</t>
        </is>
      </c>
      <c r="AC1431" t="inlineStr">
        <is>
          <t>R9264H M901821*3</t>
        </is>
      </c>
    </row>
    <row r="1432" hidden="1" ht="15" customHeight="1" s="99">
      <c r="A1432" t="inlineStr">
        <is>
          <t>ZKEL35</t>
        </is>
      </c>
      <c r="B1432" t="inlineStr"/>
      <c r="D1432" t="inlineStr">
        <is>
          <t>无900+2100</t>
        </is>
      </c>
      <c r="F1432">
        <f>_xlfn.XLOOKUP(A1432,'[1]4G Parameters'!$E:$E,'[1]4G Parameters'!$J:$J)</f>
        <v/>
      </c>
      <c r="G1432">
        <f>_xlfn.XLOOKUP(A1432,'[1]4G Parameters'!$E:$E,'[1]4G Parameters'!$I:$I)</f>
        <v/>
      </c>
      <c r="H1432" t="inlineStr">
        <is>
          <t>ZKEL35Q</t>
        </is>
      </c>
      <c r="K1432" t="inlineStr">
        <is>
          <t>S2</t>
        </is>
      </c>
      <c r="L1432" t="inlineStr">
        <is>
          <t>2G</t>
        </is>
      </c>
      <c r="M1432" t="inlineStr">
        <is>
          <t>1800</t>
        </is>
      </c>
      <c r="N1432" t="inlineStr"/>
      <c r="O1432" t="n">
        <v>12</v>
      </c>
      <c r="P1432" t="n">
        <v>120</v>
      </c>
      <c r="Q1432" t="n">
        <v>2</v>
      </c>
      <c r="Y1432" t="inlineStr"/>
      <c r="AB1432" t="inlineStr">
        <is>
          <t>R9264H M901821</t>
        </is>
      </c>
      <c r="AC1432" t="inlineStr">
        <is>
          <t>R9264H M901821*3</t>
        </is>
      </c>
    </row>
    <row r="1433" hidden="1" ht="15" customHeight="1" s="99">
      <c r="A1433" t="inlineStr">
        <is>
          <t>ZKEL35</t>
        </is>
      </c>
      <c r="B1433" t="inlineStr">
        <is>
          <t>ZKEL35_G0L00_Polhena_8_Kd</t>
        </is>
      </c>
      <c r="D1433" t="inlineStr">
        <is>
          <t>无900+2100</t>
        </is>
      </c>
      <c r="F1433" t="n">
        <v>6.960173</v>
      </c>
      <c r="G1433" t="n">
        <v>79.92115</v>
      </c>
      <c r="H1433" t="inlineStr">
        <is>
          <t>ZKEL35H</t>
        </is>
      </c>
      <c r="K1433" t="inlineStr">
        <is>
          <t>S2</t>
        </is>
      </c>
      <c r="L1433" t="inlineStr">
        <is>
          <t>4G</t>
        </is>
      </c>
      <c r="M1433" t="inlineStr">
        <is>
          <t>1800</t>
        </is>
      </c>
      <c r="N1433" t="inlineStr"/>
      <c r="O1433" t="n">
        <v>12</v>
      </c>
      <c r="P1433" t="n">
        <v>120</v>
      </c>
      <c r="Q1433" t="n">
        <v>0</v>
      </c>
      <c r="Y1433" t="inlineStr">
        <is>
          <t>2T2R</t>
        </is>
      </c>
      <c r="AB1433" t="inlineStr">
        <is>
          <t>R9264H M901821</t>
        </is>
      </c>
      <c r="AC1433" t="inlineStr">
        <is>
          <t>R9264H M901821*3</t>
        </is>
      </c>
    </row>
    <row r="1434" hidden="1" ht="15" customHeight="1" s="99">
      <c r="A1434" t="inlineStr">
        <is>
          <t>ZKEL35</t>
        </is>
      </c>
      <c r="B1434" t="inlineStr"/>
      <c r="D1434" t="inlineStr">
        <is>
          <t>无900+2100</t>
        </is>
      </c>
      <c r="F1434">
        <f>_xlfn.XLOOKUP(A1434,'[1]4G Parameters'!$E:$E,'[1]4G Parameters'!$J:$J)</f>
        <v/>
      </c>
      <c r="G1434">
        <f>_xlfn.XLOOKUP(A1434,'[1]4G Parameters'!$E:$E,'[1]4G Parameters'!$I:$I)</f>
        <v/>
      </c>
      <c r="H1434" t="inlineStr">
        <is>
          <t>ZKEL35R</t>
        </is>
      </c>
      <c r="K1434" t="inlineStr">
        <is>
          <t>S3</t>
        </is>
      </c>
      <c r="L1434" t="inlineStr">
        <is>
          <t>2G</t>
        </is>
      </c>
      <c r="M1434" t="inlineStr">
        <is>
          <t>1800</t>
        </is>
      </c>
      <c r="N1434" t="inlineStr"/>
      <c r="O1434" t="n">
        <v>12</v>
      </c>
      <c r="P1434" t="n">
        <v>240</v>
      </c>
      <c r="Q1434" t="n">
        <v>2</v>
      </c>
      <c r="Y1434" t="inlineStr"/>
      <c r="AB1434" t="inlineStr">
        <is>
          <t>R9264H M901821</t>
        </is>
      </c>
      <c r="AC1434" t="inlineStr">
        <is>
          <t>R9264H M901821*3</t>
        </is>
      </c>
    </row>
    <row r="1435" hidden="1" ht="15" customHeight="1" s="99">
      <c r="A1435" t="inlineStr">
        <is>
          <t>ZKEL35</t>
        </is>
      </c>
      <c r="B1435" t="inlineStr">
        <is>
          <t>ZKEL35_G0L00_Polhena_8_Kd</t>
        </is>
      </c>
      <c r="D1435" t="inlineStr">
        <is>
          <t>无900+2100</t>
        </is>
      </c>
      <c r="F1435" t="n">
        <v>6.960173</v>
      </c>
      <c r="G1435" t="n">
        <v>79.92115</v>
      </c>
      <c r="H1435" t="inlineStr">
        <is>
          <t>ZKEL35I</t>
        </is>
      </c>
      <c r="K1435" t="inlineStr">
        <is>
          <t>S3</t>
        </is>
      </c>
      <c r="L1435" t="inlineStr">
        <is>
          <t>4G</t>
        </is>
      </c>
      <c r="M1435" t="inlineStr">
        <is>
          <t>1800</t>
        </is>
      </c>
      <c r="N1435" t="inlineStr"/>
      <c r="O1435" t="n">
        <v>12</v>
      </c>
      <c r="P1435" t="n">
        <v>240</v>
      </c>
      <c r="Q1435" t="n">
        <v>0</v>
      </c>
      <c r="Y1435" t="inlineStr">
        <is>
          <t>2T2R</t>
        </is>
      </c>
      <c r="AB1435" t="inlineStr">
        <is>
          <t>R9264H M901821</t>
        </is>
      </c>
      <c r="AC1435" t="inlineStr">
        <is>
          <t>R9264H M901821*3</t>
        </is>
      </c>
    </row>
    <row r="1436" hidden="1" ht="15" customHeight="1" s="99">
      <c r="A1436" t="inlineStr">
        <is>
          <t>ZKEL38</t>
        </is>
      </c>
      <c r="B1436" t="inlineStr"/>
      <c r="F1436">
        <f>_xlfn.XLOOKUP(A1436,'[1]4G Parameters'!$E:$E,'[1]4G Parameters'!$J:$J)</f>
        <v/>
      </c>
      <c r="G1436">
        <f>_xlfn.XLOOKUP(A1436,'[1]4G Parameters'!$E:$E,'[1]4G Parameters'!$I:$I)</f>
        <v/>
      </c>
      <c r="H1436" t="inlineStr">
        <is>
          <t>ZKEL38A</t>
        </is>
      </c>
      <c r="K1436" t="inlineStr">
        <is>
          <t>S1</t>
        </is>
      </c>
      <c r="L1436" t="inlineStr">
        <is>
          <t>2G</t>
        </is>
      </c>
      <c r="M1436" t="inlineStr">
        <is>
          <t>900</t>
        </is>
      </c>
      <c r="N1436" t="inlineStr"/>
      <c r="O1436" t="n">
        <v>37</v>
      </c>
      <c r="P1436" t="n">
        <v>0</v>
      </c>
      <c r="Q1436" t="n">
        <v>2</v>
      </c>
      <c r="Y1436" t="inlineStr"/>
      <c r="AB1436" t="inlineStr">
        <is>
          <t>R9264H M901821</t>
        </is>
      </c>
      <c r="AC1436" t="inlineStr">
        <is>
          <t>A9652 S35*3+R9264H M901821*3</t>
        </is>
      </c>
    </row>
    <row r="1437" hidden="1" ht="15" customHeight="1" s="99">
      <c r="A1437" t="inlineStr">
        <is>
          <t>ZKEL38</t>
        </is>
      </c>
      <c r="B1437" t="inlineStr"/>
      <c r="F1437">
        <f>_xlfn.XLOOKUP(A1437,'[1]4G Parameters'!$E:$E,'[1]4G Parameters'!$J:$J)</f>
        <v/>
      </c>
      <c r="G1437">
        <f>_xlfn.XLOOKUP(A1437,'[1]4G Parameters'!$E:$E,'[1]4G Parameters'!$I:$I)</f>
        <v/>
      </c>
      <c r="H1437" t="inlineStr">
        <is>
          <t>ZKEL38P</t>
        </is>
      </c>
      <c r="K1437" t="inlineStr">
        <is>
          <t>S1</t>
        </is>
      </c>
      <c r="L1437" t="inlineStr">
        <is>
          <t>2G</t>
        </is>
      </c>
      <c r="M1437" t="inlineStr">
        <is>
          <t>1800</t>
        </is>
      </c>
      <c r="N1437" t="inlineStr"/>
      <c r="O1437" t="n">
        <v>37</v>
      </c>
      <c r="P1437" t="n">
        <v>0</v>
      </c>
      <c r="Q1437" t="n">
        <v>2</v>
      </c>
      <c r="Y1437" t="inlineStr"/>
      <c r="AB1437" t="inlineStr">
        <is>
          <t>R9264H M901821</t>
        </is>
      </c>
      <c r="AC1437" t="inlineStr">
        <is>
          <t>A9652 S35*3+R9264H M901821*3</t>
        </is>
      </c>
    </row>
    <row r="1438" hidden="1" ht="15" customHeight="1" s="99">
      <c r="A1438" t="inlineStr">
        <is>
          <t>ZKEL38</t>
        </is>
      </c>
      <c r="B1438" t="inlineStr">
        <is>
          <t>ZKEL38_G0L00_Dalugamgoda_TXD_Kd</t>
        </is>
      </c>
      <c r="F1438" t="n">
        <v>6.966944</v>
      </c>
      <c r="G1438" t="n">
        <v>79.916944</v>
      </c>
      <c r="H1438" t="inlineStr">
        <is>
          <t>ZKEL38G</t>
        </is>
      </c>
      <c r="K1438" t="inlineStr">
        <is>
          <t>S1</t>
        </is>
      </c>
      <c r="L1438" t="inlineStr">
        <is>
          <t>4G</t>
        </is>
      </c>
      <c r="M1438" t="inlineStr">
        <is>
          <t>1800</t>
        </is>
      </c>
      <c r="N1438" t="inlineStr">
        <is>
          <t>ATR4517R0v06</t>
        </is>
      </c>
      <c r="O1438" t="n">
        <v>50</v>
      </c>
      <c r="P1438" t="n">
        <v>0</v>
      </c>
      <c r="Q1438" t="n">
        <v>0</v>
      </c>
      <c r="Y1438" t="inlineStr">
        <is>
          <t>2T2R</t>
        </is>
      </c>
      <c r="AB1438" t="inlineStr">
        <is>
          <t>R9264H M901821</t>
        </is>
      </c>
      <c r="AC1438" t="inlineStr">
        <is>
          <t>A9652 S35*3+R9264H M901821*3</t>
        </is>
      </c>
    </row>
    <row r="1439" hidden="1" ht="15" customHeight="1" s="99">
      <c r="A1439" t="inlineStr">
        <is>
          <t>ZKEL38</t>
        </is>
      </c>
      <c r="B1439" t="inlineStr"/>
      <c r="F1439">
        <f>_xlfn.XLOOKUP(A1439,'[1]4G Parameters'!$E:$E,'[1]4G Parameters'!$J:$J)</f>
        <v/>
      </c>
      <c r="G1439">
        <f>_xlfn.XLOOKUP(A1439,'[1]4G Parameters'!$E:$E,'[1]4G Parameters'!$I:$I)</f>
        <v/>
      </c>
      <c r="H1439" t="inlineStr">
        <is>
          <t>ZKEL38B</t>
        </is>
      </c>
      <c r="K1439" t="inlineStr">
        <is>
          <t>S2</t>
        </is>
      </c>
      <c r="L1439" t="inlineStr">
        <is>
          <t>2G</t>
        </is>
      </c>
      <c r="M1439" t="inlineStr">
        <is>
          <t>900</t>
        </is>
      </c>
      <c r="N1439" t="inlineStr"/>
      <c r="O1439" t="n">
        <v>37</v>
      </c>
      <c r="P1439" t="n">
        <v>120</v>
      </c>
      <c r="Q1439" t="n">
        <v>2</v>
      </c>
      <c r="Y1439" t="inlineStr"/>
      <c r="AB1439" t="inlineStr">
        <is>
          <t>R9264H M901821</t>
        </is>
      </c>
      <c r="AC1439" t="inlineStr">
        <is>
          <t>A9652 S35*3+R9264H M901821*3</t>
        </is>
      </c>
    </row>
    <row r="1440" hidden="1" ht="15" customHeight="1" s="99">
      <c r="A1440" t="inlineStr">
        <is>
          <t>ZKEL38</t>
        </is>
      </c>
      <c r="B1440" t="inlineStr"/>
      <c r="F1440">
        <f>_xlfn.XLOOKUP(A1440,'[1]4G Parameters'!$E:$E,'[1]4G Parameters'!$J:$J)</f>
        <v/>
      </c>
      <c r="G1440">
        <f>_xlfn.XLOOKUP(A1440,'[1]4G Parameters'!$E:$E,'[1]4G Parameters'!$I:$I)</f>
        <v/>
      </c>
      <c r="H1440" t="inlineStr">
        <is>
          <t>ZKEL38Q</t>
        </is>
      </c>
      <c r="K1440" t="inlineStr">
        <is>
          <t>S2</t>
        </is>
      </c>
      <c r="L1440" t="inlineStr">
        <is>
          <t>2G</t>
        </is>
      </c>
      <c r="M1440" t="inlineStr">
        <is>
          <t>1800</t>
        </is>
      </c>
      <c r="N1440" t="inlineStr"/>
      <c r="O1440" t="n">
        <v>37</v>
      </c>
      <c r="P1440" t="n">
        <v>120</v>
      </c>
      <c r="Q1440" t="n">
        <v>2</v>
      </c>
      <c r="Y1440" t="inlineStr"/>
      <c r="AB1440" t="inlineStr">
        <is>
          <t>R9264H M901821</t>
        </is>
      </c>
      <c r="AC1440" t="inlineStr">
        <is>
          <t>A9652 S35*3+R9264H M901821*3</t>
        </is>
      </c>
    </row>
    <row r="1441" hidden="1" ht="15" customHeight="1" s="99">
      <c r="A1441" t="inlineStr">
        <is>
          <t>ZKEL38</t>
        </is>
      </c>
      <c r="B1441" t="inlineStr">
        <is>
          <t>ZKEL38_G0L00_Dalugamgoda_TXD_Kd</t>
        </is>
      </c>
      <c r="F1441" t="n">
        <v>6.966944</v>
      </c>
      <c r="G1441" t="n">
        <v>79.916944</v>
      </c>
      <c r="H1441" t="inlineStr">
        <is>
          <t>ZKEL38H</t>
        </is>
      </c>
      <c r="K1441" t="inlineStr">
        <is>
          <t>S2</t>
        </is>
      </c>
      <c r="L1441" t="inlineStr">
        <is>
          <t>4G</t>
        </is>
      </c>
      <c r="M1441" t="inlineStr">
        <is>
          <t>1800</t>
        </is>
      </c>
      <c r="N1441" t="inlineStr">
        <is>
          <t>ATR4517R0v06</t>
        </is>
      </c>
      <c r="O1441" t="n">
        <v>50</v>
      </c>
      <c r="P1441" t="n">
        <v>120</v>
      </c>
      <c r="Q1441" t="n">
        <v>0</v>
      </c>
      <c r="Y1441" t="inlineStr">
        <is>
          <t>2T2R</t>
        </is>
      </c>
      <c r="AB1441" t="inlineStr">
        <is>
          <t>R9264H M901821</t>
        </is>
      </c>
      <c r="AC1441" t="inlineStr">
        <is>
          <t>A9652 S35*3+R9264H M901821*3</t>
        </is>
      </c>
    </row>
    <row r="1442" hidden="1" ht="15" customHeight="1" s="99">
      <c r="A1442" t="inlineStr">
        <is>
          <t>ZKEL38</t>
        </is>
      </c>
      <c r="B1442" t="inlineStr"/>
      <c r="F1442">
        <f>_xlfn.XLOOKUP(A1442,'[1]4G Parameters'!$E:$E,'[1]4G Parameters'!$J:$J)</f>
        <v/>
      </c>
      <c r="G1442">
        <f>_xlfn.XLOOKUP(A1442,'[1]4G Parameters'!$E:$E,'[1]4G Parameters'!$I:$I)</f>
        <v/>
      </c>
      <c r="H1442" t="inlineStr">
        <is>
          <t>ZKEL38C</t>
        </is>
      </c>
      <c r="K1442" t="inlineStr">
        <is>
          <t>S3</t>
        </is>
      </c>
      <c r="L1442" t="inlineStr">
        <is>
          <t>2G</t>
        </is>
      </c>
      <c r="M1442" t="inlineStr">
        <is>
          <t>900</t>
        </is>
      </c>
      <c r="N1442" t="inlineStr"/>
      <c r="O1442" t="n">
        <v>37</v>
      </c>
      <c r="P1442" t="n">
        <v>240</v>
      </c>
      <c r="Q1442" t="n">
        <v>2</v>
      </c>
      <c r="Y1442" t="inlineStr"/>
      <c r="AB1442" t="inlineStr">
        <is>
          <t>R9264H M901821</t>
        </is>
      </c>
      <c r="AC1442" t="inlineStr">
        <is>
          <t>A9652 S35*3+R9264H M901821*3</t>
        </is>
      </c>
    </row>
    <row r="1443" hidden="1" ht="15" customHeight="1" s="99">
      <c r="A1443" t="inlineStr">
        <is>
          <t>ZKEL38</t>
        </is>
      </c>
      <c r="B1443" t="inlineStr"/>
      <c r="F1443">
        <f>_xlfn.XLOOKUP(A1443,'[1]4G Parameters'!$E:$E,'[1]4G Parameters'!$J:$J)</f>
        <v/>
      </c>
      <c r="G1443">
        <f>_xlfn.XLOOKUP(A1443,'[1]4G Parameters'!$E:$E,'[1]4G Parameters'!$I:$I)</f>
        <v/>
      </c>
      <c r="H1443" t="inlineStr">
        <is>
          <t>ZKEL38R</t>
        </is>
      </c>
      <c r="K1443" t="inlineStr">
        <is>
          <t>S3</t>
        </is>
      </c>
      <c r="L1443" t="inlineStr">
        <is>
          <t>2G</t>
        </is>
      </c>
      <c r="M1443" t="inlineStr">
        <is>
          <t>1800</t>
        </is>
      </c>
      <c r="N1443" t="inlineStr"/>
      <c r="O1443" t="n">
        <v>37</v>
      </c>
      <c r="P1443" t="n">
        <v>240</v>
      </c>
      <c r="Q1443" t="n">
        <v>2</v>
      </c>
      <c r="Y1443" t="inlineStr"/>
      <c r="AB1443" t="inlineStr">
        <is>
          <t>R9264H M901821</t>
        </is>
      </c>
      <c r="AC1443" t="inlineStr">
        <is>
          <t>A9652 S35*3+R9264H M901821*3</t>
        </is>
      </c>
    </row>
    <row r="1444" hidden="1" ht="15" customHeight="1" s="99">
      <c r="A1444" t="inlineStr">
        <is>
          <t>ZKEL38</t>
        </is>
      </c>
      <c r="B1444" t="inlineStr">
        <is>
          <t>ZKEL38_G0L00_Dalugamgoda_TXD_Kd</t>
        </is>
      </c>
      <c r="F1444" t="n">
        <v>6.966944</v>
      </c>
      <c r="G1444" t="n">
        <v>79.916944</v>
      </c>
      <c r="H1444" t="inlineStr">
        <is>
          <t>ZKEL38I</t>
        </is>
      </c>
      <c r="K1444" t="inlineStr">
        <is>
          <t>S3</t>
        </is>
      </c>
      <c r="L1444" t="inlineStr">
        <is>
          <t>4G</t>
        </is>
      </c>
      <c r="M1444" t="inlineStr">
        <is>
          <t>1800</t>
        </is>
      </c>
      <c r="N1444" t="inlineStr">
        <is>
          <t>ATR4517R0v06</t>
        </is>
      </c>
      <c r="O1444" t="n">
        <v>50</v>
      </c>
      <c r="P1444" t="n">
        <v>240</v>
      </c>
      <c r="Q1444" t="n">
        <v>0</v>
      </c>
      <c r="Y1444" t="inlineStr">
        <is>
          <t>2T2R</t>
        </is>
      </c>
      <c r="AB1444" t="inlineStr">
        <is>
          <t>R9264H M901821</t>
        </is>
      </c>
      <c r="AC1444" t="inlineStr">
        <is>
          <t>A9652 S35*3+R9264H M901821*3</t>
        </is>
      </c>
    </row>
  </sheetData>
  <autoFilter ref="A1:AL1444">
    <filterColumn colId="37" hiddenButton="0" showButton="1">
      <customFilters>
        <customFilter val="pilot'" operator="equal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AA16"/>
  <sheetViews>
    <sheetView zoomScale="85" zoomScaleNormal="85" workbookViewId="0">
      <pane xSplit="1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T2" sqref="T2:T16"/>
    </sheetView>
  </sheetViews>
  <sheetFormatPr baseColWidth="8" defaultColWidth="9.723809523809519" defaultRowHeight="12"/>
  <cols>
    <col width="35.6095238095238" customWidth="1" style="56" min="1" max="1"/>
    <col width="17.3142857142857" customWidth="1" style="56" min="2" max="2"/>
    <col width="9.723809523809519" customWidth="1" style="56" min="3" max="3"/>
    <col width="16.7904761904762" customWidth="1" style="56" min="4" max="4"/>
    <col width="14.0095238095238" customWidth="1" style="56" min="5" max="7"/>
    <col width="31.0095238095238" customWidth="1" style="56" min="8" max="8"/>
    <col width="11.9047619047619" customWidth="1" style="56" min="9" max="9"/>
    <col width="19.6761904761905" customWidth="1" style="56" min="10" max="10"/>
    <col width="14.9333333333333" customWidth="1" style="56" min="11" max="11"/>
    <col width="9.723809523809519" customWidth="1" style="56" min="12" max="20"/>
    <col width="16.2761904761905" customWidth="1" style="56" min="21" max="21"/>
    <col width="12.9333333333333" customWidth="1" style="56" min="22" max="22"/>
    <col width="16.0380952380952" customWidth="1" style="56" min="23" max="23"/>
    <col width="16.9047619047619" customWidth="1" style="56" min="24" max="24"/>
    <col width="9.723809523809519" customWidth="1" style="56" min="25" max="25"/>
    <col width="21.0666666666667" customWidth="1" style="56" min="26" max="26"/>
    <col width="9.723809523809519" customWidth="1" style="56" min="27" max="27"/>
    <col width="9.723809523809519" customWidth="1" style="56" min="28" max="16384"/>
  </cols>
  <sheetData>
    <row r="1" ht="26" customFormat="1" customHeight="1" s="1">
      <c r="A1" s="75" t="inlineStr">
        <is>
          <t>Cell Name</t>
        </is>
      </c>
      <c r="B1" s="76" t="inlineStr">
        <is>
          <t>Site Name</t>
        </is>
      </c>
      <c r="C1" s="76" t="inlineStr">
        <is>
          <t>Sector ID</t>
        </is>
      </c>
      <c r="D1" s="76" t="inlineStr">
        <is>
          <t>RRU Type</t>
        </is>
      </c>
      <c r="E1" s="76" t="inlineStr">
        <is>
          <t>TX/RX mode</t>
        </is>
      </c>
      <c r="F1" s="76" t="inlineStr">
        <is>
          <t>Band</t>
        </is>
      </c>
      <c r="G1" s="78" t="inlineStr">
        <is>
          <t>NE Name</t>
        </is>
      </c>
      <c r="H1" s="78" t="inlineStr">
        <is>
          <t>BTS Name</t>
        </is>
      </c>
      <c r="I1" s="78" t="inlineStr">
        <is>
          <t>Site ID</t>
        </is>
      </c>
      <c r="J1" s="76" t="inlineStr">
        <is>
          <t>CI</t>
        </is>
      </c>
      <c r="K1" s="76" t="inlineStr">
        <is>
          <t>BSC Name</t>
        </is>
      </c>
      <c r="L1" s="75" t="inlineStr">
        <is>
          <t>BSC ID</t>
        </is>
      </c>
      <c r="M1" s="76" t="inlineStr">
        <is>
          <t>MCC</t>
        </is>
      </c>
      <c r="N1" s="76" t="inlineStr">
        <is>
          <t>MNC</t>
        </is>
      </c>
      <c r="O1" s="76" t="inlineStr">
        <is>
          <t>NCC</t>
        </is>
      </c>
      <c r="P1" s="76" t="inlineStr">
        <is>
          <t>BCC</t>
        </is>
      </c>
      <c r="Q1" s="76" t="inlineStr">
        <is>
          <t>BSIC</t>
        </is>
      </c>
      <c r="R1" s="75" t="inlineStr">
        <is>
          <t>BCCH</t>
        </is>
      </c>
      <c r="S1" s="75" t="inlineStr">
        <is>
          <t>LAC</t>
        </is>
      </c>
      <c r="T1" s="76" t="inlineStr">
        <is>
          <t>RAC</t>
        </is>
      </c>
      <c r="U1" s="76" t="inlineStr">
        <is>
          <t>Band</t>
        </is>
      </c>
      <c r="V1" s="76" t="inlineStr">
        <is>
          <t>Total TRX</t>
        </is>
      </c>
      <c r="W1" s="76" t="inlineStr">
        <is>
          <t>TRX Power(W)</t>
        </is>
      </c>
      <c r="X1" s="78" t="inlineStr">
        <is>
          <t>Hop Type</t>
        </is>
      </c>
      <c r="Y1" s="78" t="inlineStr">
        <is>
          <t>HSN</t>
        </is>
      </c>
      <c r="Z1" s="75" t="inlineStr">
        <is>
          <t>TCH/MAList</t>
        </is>
      </c>
      <c r="AA1" s="78" t="inlineStr">
        <is>
          <t>MAIO</t>
        </is>
      </c>
    </row>
    <row r="2">
      <c r="A2" s="1" t="inlineStr">
        <is>
          <t>01208171_IC_Pisco</t>
        </is>
      </c>
      <c r="B2" s="1">
        <f>_xlfn.XLOOKUP(A2,'RF Parameter'!I:I,'RF Parameter'!A:A)</f>
        <v/>
      </c>
      <c r="C2" s="1">
        <f>_xlfn.XLOOKUP(A2,'RF Parameter'!I:I,'RF Parameter'!K:K)</f>
        <v/>
      </c>
      <c r="D2" s="56">
        <f>_xlfn.XLOOKUP(A2,'RF Parameter'!I:I,'RF Parameter'!AB:AB)</f>
        <v/>
      </c>
      <c r="E2" s="56">
        <f>_xlfn.XLOOKUP(A2,'RF Parameter'!I:I,'RF Parameter'!AA:AA)</f>
        <v/>
      </c>
      <c r="F2" s="56">
        <f>_xlfn.XLOOKUP(A2,'RF Parameter'!I:I,'RF Parameter'!M:M)</f>
        <v/>
      </c>
      <c r="G2" s="1">
        <f>_xlfn.XLOOKUP(A2,'RF Parameter'!I:I,'RF Parameter'!B:B)</f>
        <v/>
      </c>
      <c r="H2" s="1" t="inlineStr">
        <is>
          <t>0120817_IC_Pisco</t>
        </is>
      </c>
      <c r="I2" s="56" t="n">
        <v>817</v>
      </c>
      <c r="J2" s="56" t="n">
        <v>8171</v>
      </c>
      <c r="K2" s="1" t="n"/>
      <c r="M2" s="56" t="n">
        <v>716</v>
      </c>
      <c r="N2" s="56" t="n">
        <v>17</v>
      </c>
      <c r="O2" s="1" t="n">
        <v>5</v>
      </c>
      <c r="P2" s="1" t="n">
        <v>1</v>
      </c>
      <c r="Q2" s="56">
        <f>O2&amp;P2</f>
        <v/>
      </c>
      <c r="R2" s="1" t="n">
        <v>731</v>
      </c>
      <c r="S2" s="56" t="n">
        <v>25652</v>
      </c>
      <c r="T2" s="56" t="n">
        <v>98</v>
      </c>
      <c r="U2" s="56" t="inlineStr">
        <is>
          <t>G1900</t>
        </is>
      </c>
      <c r="V2" s="56" t="n">
        <v>1</v>
      </c>
      <c r="W2" s="56" t="n">
        <v>20</v>
      </c>
      <c r="X2" s="56" t="inlineStr">
        <is>
          <t>NO_FH</t>
        </is>
      </c>
      <c r="Y2" s="56" t="inlineStr">
        <is>
          <t>-</t>
        </is>
      </c>
      <c r="Z2" s="56" t="inlineStr">
        <is>
          <t>-</t>
        </is>
      </c>
      <c r="AA2" s="56" t="inlineStr">
        <is>
          <t>-</t>
        </is>
      </c>
    </row>
    <row r="3">
      <c r="A3" s="1" t="inlineStr">
        <is>
          <t>01208172_IC_Pisco</t>
        </is>
      </c>
      <c r="B3" s="1">
        <f>_xlfn.XLOOKUP(A3,'RF Parameter'!I:I,'RF Parameter'!A:A)</f>
        <v/>
      </c>
      <c r="C3" s="1">
        <f>_xlfn.XLOOKUP(A3,'RF Parameter'!I:I,'RF Parameter'!K:K)</f>
        <v/>
      </c>
      <c r="D3" s="56">
        <f>_xlfn.XLOOKUP(A3,'RF Parameter'!I:I,'RF Parameter'!AB:AB)</f>
        <v/>
      </c>
      <c r="E3" s="56">
        <f>_xlfn.XLOOKUP(A3,'RF Parameter'!I:I,'RF Parameter'!AA:AA)</f>
        <v/>
      </c>
      <c r="F3" s="56">
        <f>_xlfn.XLOOKUP(A3,'RF Parameter'!I:I,'RF Parameter'!M:M)</f>
        <v/>
      </c>
      <c r="G3" s="1">
        <f>_xlfn.XLOOKUP(A3,'RF Parameter'!I:I,'RF Parameter'!B:B)</f>
        <v/>
      </c>
      <c r="H3" s="1" t="inlineStr">
        <is>
          <t>0120817_IC_Pisco</t>
        </is>
      </c>
      <c r="I3" s="56" t="n">
        <v>817</v>
      </c>
      <c r="J3" s="56" t="n">
        <v>8172</v>
      </c>
      <c r="K3" s="1" t="n"/>
      <c r="M3" s="56" t="n">
        <v>716</v>
      </c>
      <c r="N3" s="56" t="n">
        <v>17</v>
      </c>
      <c r="O3" s="1" t="n">
        <v>0</v>
      </c>
      <c r="P3" s="1" t="n">
        <v>3</v>
      </c>
      <c r="Q3" s="56">
        <f>O3&amp;P3</f>
        <v/>
      </c>
      <c r="R3" s="1" t="n">
        <v>735</v>
      </c>
      <c r="S3" s="56" t="n">
        <v>25652</v>
      </c>
      <c r="T3" s="56" t="n">
        <v>98</v>
      </c>
      <c r="U3" s="56" t="inlineStr">
        <is>
          <t>G1900</t>
        </is>
      </c>
      <c r="V3" s="56" t="n">
        <v>1</v>
      </c>
      <c r="W3" s="56" t="n">
        <v>15</v>
      </c>
      <c r="X3" s="56" t="inlineStr">
        <is>
          <t>NO_FH</t>
        </is>
      </c>
      <c r="Y3" s="56" t="inlineStr">
        <is>
          <t>-</t>
        </is>
      </c>
      <c r="Z3" s="56" t="inlineStr">
        <is>
          <t>-</t>
        </is>
      </c>
      <c r="AA3" s="56" t="inlineStr">
        <is>
          <t>-</t>
        </is>
      </c>
    </row>
    <row r="4">
      <c r="A4" s="1" t="inlineStr">
        <is>
          <t>01208173_IC_Pisco</t>
        </is>
      </c>
      <c r="B4" s="1">
        <f>_xlfn.XLOOKUP(A4,'RF Parameter'!I:I,'RF Parameter'!A:A)</f>
        <v/>
      </c>
      <c r="C4" s="1">
        <f>_xlfn.XLOOKUP(A4,'RF Parameter'!I:I,'RF Parameter'!K:K)</f>
        <v/>
      </c>
      <c r="D4" s="56">
        <f>_xlfn.XLOOKUP(A4,'RF Parameter'!I:I,'RF Parameter'!AB:AB)</f>
        <v/>
      </c>
      <c r="E4" s="56">
        <f>_xlfn.XLOOKUP(A4,'RF Parameter'!I:I,'RF Parameter'!AA:AA)</f>
        <v/>
      </c>
      <c r="F4" s="56">
        <f>_xlfn.XLOOKUP(A4,'RF Parameter'!I:I,'RF Parameter'!M:M)</f>
        <v/>
      </c>
      <c r="G4" s="1">
        <f>_xlfn.XLOOKUP(A4,'RF Parameter'!I:I,'RF Parameter'!B:B)</f>
        <v/>
      </c>
      <c r="H4" s="1" t="inlineStr">
        <is>
          <t>0120817_IC_Pisco</t>
        </is>
      </c>
      <c r="I4" s="56" t="n">
        <v>817</v>
      </c>
      <c r="J4" s="56" t="n">
        <v>8173</v>
      </c>
      <c r="K4" s="1" t="n"/>
      <c r="M4" s="56" t="n">
        <v>716</v>
      </c>
      <c r="N4" s="56" t="n">
        <v>17</v>
      </c>
      <c r="O4" s="1" t="n">
        <v>6</v>
      </c>
      <c r="P4" s="1" t="n">
        <v>0</v>
      </c>
      <c r="Q4" s="56">
        <f>O4&amp;P4</f>
        <v/>
      </c>
      <c r="R4" s="1" t="n">
        <v>587</v>
      </c>
      <c r="S4" s="56" t="n">
        <v>25652</v>
      </c>
      <c r="T4" s="56" t="n">
        <v>98</v>
      </c>
      <c r="U4" s="56" t="inlineStr">
        <is>
          <t>G1900</t>
        </is>
      </c>
      <c r="V4" s="56" t="n">
        <v>1</v>
      </c>
      <c r="W4" s="56" t="n">
        <v>20</v>
      </c>
      <c r="X4" s="56" t="inlineStr">
        <is>
          <t>NO_FH</t>
        </is>
      </c>
      <c r="Y4" s="56" t="inlineStr">
        <is>
          <t>-</t>
        </is>
      </c>
      <c r="Z4" s="56" t="inlineStr">
        <is>
          <t>-</t>
        </is>
      </c>
      <c r="AA4" s="56" t="inlineStr">
        <is>
          <t>-</t>
        </is>
      </c>
    </row>
    <row r="5">
      <c r="A5" s="1" t="inlineStr">
        <is>
          <t>01222541_IC_Garzas_Mir_1900</t>
        </is>
      </c>
      <c r="B5" s="1">
        <f>_xlfn.XLOOKUP(A5,'RF Parameter'!I:I,'RF Parameter'!A:A)</f>
        <v/>
      </c>
      <c r="C5" s="1">
        <f>_xlfn.XLOOKUP(A5,'RF Parameter'!I:I,'RF Parameter'!K:K)</f>
        <v/>
      </c>
      <c r="D5" s="56">
        <f>_xlfn.XLOOKUP(A5,'RF Parameter'!I:I,'RF Parameter'!AB:AB)</f>
        <v/>
      </c>
      <c r="E5" s="56">
        <f>_xlfn.XLOOKUP(A5,'RF Parameter'!I:I,'RF Parameter'!AA:AA)</f>
        <v/>
      </c>
      <c r="F5" s="56">
        <f>_xlfn.XLOOKUP(A5,'RF Parameter'!I:I,'RF Parameter'!M:M)</f>
        <v/>
      </c>
      <c r="G5" s="1">
        <f>_xlfn.XLOOKUP(A5,'RF Parameter'!I:I,'RF Parameter'!B:B)</f>
        <v/>
      </c>
      <c r="H5" s="1" t="inlineStr">
        <is>
          <t>0122254_IC_Garzas_Mir_1900</t>
        </is>
      </c>
      <c r="I5" s="56" t="n">
        <v>2254</v>
      </c>
      <c r="J5" s="56" t="n">
        <v>22541</v>
      </c>
      <c r="K5" s="1" t="n"/>
      <c r="M5" s="56" t="n">
        <v>716</v>
      </c>
      <c r="N5" s="56" t="n">
        <v>17</v>
      </c>
      <c r="O5" s="1" t="n">
        <v>5</v>
      </c>
      <c r="P5" s="1" t="n">
        <v>2</v>
      </c>
      <c r="Q5" s="56">
        <f>O5&amp;P5</f>
        <v/>
      </c>
      <c r="R5" s="1" t="n">
        <v>732</v>
      </c>
      <c r="S5" s="56" t="n">
        <v>25652</v>
      </c>
      <c r="T5" s="56" t="n">
        <v>98</v>
      </c>
      <c r="U5" s="56" t="inlineStr">
        <is>
          <t>G1900</t>
        </is>
      </c>
      <c r="V5" s="56" t="n">
        <v>1</v>
      </c>
      <c r="W5" s="56" t="n">
        <v>20</v>
      </c>
      <c r="X5" s="56" t="inlineStr">
        <is>
          <t>NO_FH</t>
        </is>
      </c>
      <c r="Y5" s="56" t="inlineStr">
        <is>
          <t>-</t>
        </is>
      </c>
      <c r="Z5" s="56" t="inlineStr">
        <is>
          <t>-</t>
        </is>
      </c>
      <c r="AA5" s="56" t="inlineStr">
        <is>
          <t>-</t>
        </is>
      </c>
    </row>
    <row r="6">
      <c r="A6" s="1" t="inlineStr">
        <is>
          <t>01222542_IC_Garzas_Mir_1900</t>
        </is>
      </c>
      <c r="B6" s="1">
        <f>_xlfn.XLOOKUP(A6,'RF Parameter'!I:I,'RF Parameter'!A:A)</f>
        <v/>
      </c>
      <c r="C6" s="1">
        <f>_xlfn.XLOOKUP(A6,'RF Parameter'!I:I,'RF Parameter'!K:K)</f>
        <v/>
      </c>
      <c r="D6" s="56">
        <f>_xlfn.XLOOKUP(A6,'RF Parameter'!I:I,'RF Parameter'!AB:AB)</f>
        <v/>
      </c>
      <c r="E6" s="56">
        <f>_xlfn.XLOOKUP(A6,'RF Parameter'!I:I,'RF Parameter'!AA:AA)</f>
        <v/>
      </c>
      <c r="F6" s="56">
        <f>_xlfn.XLOOKUP(A6,'RF Parameter'!I:I,'RF Parameter'!M:M)</f>
        <v/>
      </c>
      <c r="G6" s="1">
        <f>_xlfn.XLOOKUP(A6,'RF Parameter'!I:I,'RF Parameter'!B:B)</f>
        <v/>
      </c>
      <c r="H6" s="1" t="inlineStr">
        <is>
          <t>0122254_IC_Garzas_Mir_1900</t>
        </is>
      </c>
      <c r="I6" s="56" t="n">
        <v>2254</v>
      </c>
      <c r="J6" s="56" t="n">
        <v>22542</v>
      </c>
      <c r="K6" s="1" t="n"/>
      <c r="M6" s="56" t="n">
        <v>716</v>
      </c>
      <c r="N6" s="56" t="n">
        <v>17</v>
      </c>
      <c r="O6" s="1" t="n">
        <v>4</v>
      </c>
      <c r="P6" s="1" t="n">
        <v>7</v>
      </c>
      <c r="Q6" s="56">
        <f>O6&amp;P6</f>
        <v/>
      </c>
      <c r="R6" s="1" t="n">
        <v>679</v>
      </c>
      <c r="S6" s="56" t="n">
        <v>25652</v>
      </c>
      <c r="T6" s="56" t="n">
        <v>98</v>
      </c>
      <c r="U6" s="56" t="inlineStr">
        <is>
          <t>G1900</t>
        </is>
      </c>
      <c r="V6" s="56" t="n">
        <v>1</v>
      </c>
      <c r="W6" s="56" t="n">
        <v>20</v>
      </c>
      <c r="X6" s="56" t="inlineStr">
        <is>
          <t>NO_FH</t>
        </is>
      </c>
      <c r="Y6" s="56" t="inlineStr">
        <is>
          <t>-</t>
        </is>
      </c>
      <c r="Z6" s="56" t="inlineStr">
        <is>
          <t>-</t>
        </is>
      </c>
      <c r="AA6" s="56" t="inlineStr">
        <is>
          <t>-</t>
        </is>
      </c>
    </row>
    <row r="7">
      <c r="A7" s="1" t="inlineStr">
        <is>
          <t>01222543_IC_Garzas_Mir_1900</t>
        </is>
      </c>
      <c r="B7" s="1">
        <f>_xlfn.XLOOKUP(A7,'RF Parameter'!I:I,'RF Parameter'!A:A)</f>
        <v/>
      </c>
      <c r="C7" s="1">
        <f>_xlfn.XLOOKUP(A7,'RF Parameter'!I:I,'RF Parameter'!K:K)</f>
        <v/>
      </c>
      <c r="D7" s="56">
        <f>_xlfn.XLOOKUP(A7,'RF Parameter'!I:I,'RF Parameter'!AB:AB)</f>
        <v/>
      </c>
      <c r="E7" s="56">
        <f>_xlfn.XLOOKUP(A7,'RF Parameter'!I:I,'RF Parameter'!AA:AA)</f>
        <v/>
      </c>
      <c r="F7" s="56">
        <f>_xlfn.XLOOKUP(A7,'RF Parameter'!I:I,'RF Parameter'!M:M)</f>
        <v/>
      </c>
      <c r="G7" s="1">
        <f>_xlfn.XLOOKUP(A7,'RF Parameter'!I:I,'RF Parameter'!B:B)</f>
        <v/>
      </c>
      <c r="H7" s="1" t="inlineStr">
        <is>
          <t>0122254_IC_Garzas_Mir_1900</t>
        </is>
      </c>
      <c r="I7" s="56" t="n">
        <v>2254</v>
      </c>
      <c r="J7" s="56" t="n">
        <v>22543</v>
      </c>
      <c r="K7" s="1" t="n"/>
      <c r="M7" s="56" t="n">
        <v>716</v>
      </c>
      <c r="N7" s="56" t="n">
        <v>17</v>
      </c>
      <c r="O7" s="1" t="n">
        <v>2</v>
      </c>
      <c r="P7" s="1" t="n">
        <v>3</v>
      </c>
      <c r="Q7" s="56">
        <f>O7&amp;P7</f>
        <v/>
      </c>
      <c r="R7" s="1" t="n">
        <v>675</v>
      </c>
      <c r="S7" s="56" t="n">
        <v>25652</v>
      </c>
      <c r="T7" s="56" t="n">
        <v>98</v>
      </c>
      <c r="U7" s="56" t="inlineStr">
        <is>
          <t>G1900</t>
        </is>
      </c>
      <c r="V7" s="56" t="n">
        <v>1</v>
      </c>
      <c r="W7" s="56" t="n">
        <v>20</v>
      </c>
      <c r="X7" s="56" t="inlineStr">
        <is>
          <t>NO_FH</t>
        </is>
      </c>
      <c r="Y7" s="56" t="inlineStr">
        <is>
          <t>-</t>
        </is>
      </c>
      <c r="Z7" s="56" t="inlineStr">
        <is>
          <t>-</t>
        </is>
      </c>
      <c r="AA7" s="56" t="inlineStr">
        <is>
          <t>-</t>
        </is>
      </c>
    </row>
    <row r="8">
      <c r="A8" s="1" t="inlineStr">
        <is>
          <t>01222471_IC_San_Clemente</t>
        </is>
      </c>
      <c r="B8" s="1">
        <f>_xlfn.XLOOKUP(A8,'RF Parameter'!I:I,'RF Parameter'!A:A)</f>
        <v/>
      </c>
      <c r="C8" s="1">
        <f>_xlfn.XLOOKUP(A8,'RF Parameter'!I:I,'RF Parameter'!K:K)</f>
        <v/>
      </c>
      <c r="D8" s="56">
        <f>_xlfn.XLOOKUP(A8,'RF Parameter'!I:I,'RF Parameter'!AB:AB)</f>
        <v/>
      </c>
      <c r="E8" s="56">
        <f>_xlfn.XLOOKUP(A8,'RF Parameter'!I:I,'RF Parameter'!AA:AA)</f>
        <v/>
      </c>
      <c r="F8" s="56">
        <f>_xlfn.XLOOKUP(A8,'RF Parameter'!I:I,'RF Parameter'!M:M)</f>
        <v/>
      </c>
      <c r="G8" s="1">
        <f>_xlfn.XLOOKUP(A8,'RF Parameter'!I:I,'RF Parameter'!B:B)</f>
        <v/>
      </c>
      <c r="H8" s="1" t="inlineStr">
        <is>
          <t>0122247_IC_San_Clemente</t>
        </is>
      </c>
      <c r="I8" s="56" t="n">
        <v>2247</v>
      </c>
      <c r="J8" s="56" t="n">
        <v>22471</v>
      </c>
      <c r="K8" s="1" t="n"/>
      <c r="M8" s="56" t="n">
        <v>716</v>
      </c>
      <c r="N8" s="56" t="n">
        <v>17</v>
      </c>
      <c r="O8" s="1" t="n">
        <v>6</v>
      </c>
      <c r="P8" s="1" t="n">
        <v>5</v>
      </c>
      <c r="Q8" s="56">
        <f>O8&amp;P8</f>
        <v/>
      </c>
      <c r="R8" s="1" t="n">
        <v>677</v>
      </c>
      <c r="S8" s="56" t="n">
        <v>25652</v>
      </c>
      <c r="T8" s="56" t="n">
        <v>98</v>
      </c>
      <c r="U8" s="56" t="inlineStr">
        <is>
          <t>G1900</t>
        </is>
      </c>
      <c r="V8" s="56" t="n">
        <v>1</v>
      </c>
      <c r="W8" s="56" t="n">
        <v>15</v>
      </c>
      <c r="X8" s="56" t="inlineStr">
        <is>
          <t>NO_FH</t>
        </is>
      </c>
      <c r="Y8" s="56" t="inlineStr">
        <is>
          <t>-</t>
        </is>
      </c>
      <c r="Z8" s="56" t="inlineStr">
        <is>
          <t>-</t>
        </is>
      </c>
      <c r="AA8" s="56" t="inlineStr">
        <is>
          <t>-</t>
        </is>
      </c>
    </row>
    <row r="9">
      <c r="A9" s="1" t="inlineStr">
        <is>
          <t>01222472_IC_San_Clemente</t>
        </is>
      </c>
      <c r="B9" s="1">
        <f>_xlfn.XLOOKUP(A9,'RF Parameter'!I:I,'RF Parameter'!A:A)</f>
        <v/>
      </c>
      <c r="C9" s="1">
        <f>_xlfn.XLOOKUP(A9,'RF Parameter'!I:I,'RF Parameter'!K:K)</f>
        <v/>
      </c>
      <c r="D9" s="56">
        <f>_xlfn.XLOOKUP(A9,'RF Parameter'!I:I,'RF Parameter'!AB:AB)</f>
        <v/>
      </c>
      <c r="E9" s="56">
        <f>_xlfn.XLOOKUP(A9,'RF Parameter'!I:I,'RF Parameter'!AA:AA)</f>
        <v/>
      </c>
      <c r="F9" s="56">
        <f>_xlfn.XLOOKUP(A9,'RF Parameter'!I:I,'RF Parameter'!M:M)</f>
        <v/>
      </c>
      <c r="G9" s="1">
        <f>_xlfn.XLOOKUP(A9,'RF Parameter'!I:I,'RF Parameter'!B:B)</f>
        <v/>
      </c>
      <c r="H9" s="1" t="inlineStr">
        <is>
          <t>0122247_IC_San_Clemente</t>
        </is>
      </c>
      <c r="I9" s="56" t="n">
        <v>2247</v>
      </c>
      <c r="J9" s="56" t="n">
        <v>22472</v>
      </c>
      <c r="K9" s="1" t="n"/>
      <c r="M9" s="56" t="n">
        <v>716</v>
      </c>
      <c r="N9" s="56" t="n">
        <v>17</v>
      </c>
      <c r="O9" s="1" t="n">
        <v>5</v>
      </c>
      <c r="P9" s="1" t="n">
        <v>3</v>
      </c>
      <c r="Q9" s="56">
        <f>O9&amp;P9</f>
        <v/>
      </c>
      <c r="R9" s="1" t="n">
        <v>734</v>
      </c>
      <c r="S9" s="56" t="n">
        <v>25652</v>
      </c>
      <c r="T9" s="56" t="n">
        <v>98</v>
      </c>
      <c r="U9" s="56" t="inlineStr">
        <is>
          <t>G1900</t>
        </is>
      </c>
      <c r="V9" s="56" t="n">
        <v>1</v>
      </c>
      <c r="W9" s="56" t="n">
        <v>15</v>
      </c>
      <c r="X9" s="56" t="inlineStr">
        <is>
          <t>NO_FH</t>
        </is>
      </c>
      <c r="Y9" s="56" t="inlineStr">
        <is>
          <t>-</t>
        </is>
      </c>
      <c r="Z9" s="56" t="inlineStr">
        <is>
          <t>-</t>
        </is>
      </c>
      <c r="AA9" s="56" t="inlineStr">
        <is>
          <t>-</t>
        </is>
      </c>
    </row>
    <row r="10">
      <c r="A10" s="1" t="inlineStr">
        <is>
          <t>01222473_IC_San_Clemente</t>
        </is>
      </c>
      <c r="B10" s="1">
        <f>_xlfn.XLOOKUP(A10,'RF Parameter'!I:I,'RF Parameter'!A:A)</f>
        <v/>
      </c>
      <c r="C10" s="1">
        <f>_xlfn.XLOOKUP(A10,'RF Parameter'!I:I,'RF Parameter'!K:K)</f>
        <v/>
      </c>
      <c r="D10" s="56">
        <f>_xlfn.XLOOKUP(A10,'RF Parameter'!I:I,'RF Parameter'!AB:AB)</f>
        <v/>
      </c>
      <c r="E10" s="56">
        <f>_xlfn.XLOOKUP(A10,'RF Parameter'!I:I,'RF Parameter'!AA:AA)</f>
        <v/>
      </c>
      <c r="F10" s="56">
        <f>_xlfn.XLOOKUP(A10,'RF Parameter'!I:I,'RF Parameter'!M:M)</f>
        <v/>
      </c>
      <c r="G10" s="1">
        <f>_xlfn.XLOOKUP(A10,'RF Parameter'!I:I,'RF Parameter'!B:B)</f>
        <v/>
      </c>
      <c r="H10" s="1" t="inlineStr">
        <is>
          <t>0122247_IC_San_Clemente</t>
        </is>
      </c>
      <c r="I10" s="56" t="n">
        <v>2247</v>
      </c>
      <c r="J10" s="56" t="n">
        <v>22473</v>
      </c>
      <c r="K10" s="1" t="n"/>
      <c r="M10" s="56" t="n">
        <v>716</v>
      </c>
      <c r="N10" s="56" t="n">
        <v>17</v>
      </c>
      <c r="O10" s="1" t="n">
        <v>0</v>
      </c>
      <c r="P10" s="1" t="n">
        <v>6</v>
      </c>
      <c r="Q10" s="56">
        <f>O10&amp;P10</f>
        <v/>
      </c>
      <c r="R10" s="1" t="n">
        <v>674</v>
      </c>
      <c r="S10" s="56" t="n">
        <v>25652</v>
      </c>
      <c r="T10" s="56" t="n">
        <v>98</v>
      </c>
      <c r="U10" s="56" t="inlineStr">
        <is>
          <t>G1900</t>
        </is>
      </c>
      <c r="V10" s="56" t="n">
        <v>1</v>
      </c>
      <c r="W10" s="56" t="n">
        <v>15</v>
      </c>
      <c r="X10" s="56" t="inlineStr">
        <is>
          <t>NO_FH</t>
        </is>
      </c>
      <c r="Y10" s="56" t="inlineStr">
        <is>
          <t>-</t>
        </is>
      </c>
      <c r="Z10" s="56" t="inlineStr">
        <is>
          <t>-</t>
        </is>
      </c>
      <c r="AA10" s="56" t="inlineStr">
        <is>
          <t>-</t>
        </is>
      </c>
    </row>
    <row r="11">
      <c r="A11" s="1" t="inlineStr">
        <is>
          <t>01246821_IC_Clemente_Bajo</t>
        </is>
      </c>
      <c r="B11" s="1">
        <f>_xlfn.XLOOKUP(A11,'RF Parameter'!I:I,'RF Parameter'!A:A)</f>
        <v/>
      </c>
      <c r="C11" s="1">
        <f>_xlfn.XLOOKUP(A11,'RF Parameter'!I:I,'RF Parameter'!K:K)</f>
        <v/>
      </c>
      <c r="D11" s="56">
        <f>_xlfn.XLOOKUP(A11,'RF Parameter'!I:I,'RF Parameter'!AB:AB)</f>
        <v/>
      </c>
      <c r="E11" s="56">
        <f>_xlfn.XLOOKUP(A11,'RF Parameter'!I:I,'RF Parameter'!AA:AA)</f>
        <v/>
      </c>
      <c r="F11" s="56">
        <f>_xlfn.XLOOKUP(A11,'RF Parameter'!I:I,'RF Parameter'!M:M)</f>
        <v/>
      </c>
      <c r="G11" s="1">
        <f>_xlfn.XLOOKUP(A11,'RF Parameter'!I:I,'RF Parameter'!B:B)</f>
        <v/>
      </c>
      <c r="H11" s="1" t="inlineStr">
        <is>
          <t>0124682_IC_Clemente_Bajo</t>
        </is>
      </c>
      <c r="I11" s="56" t="n">
        <v>4682</v>
      </c>
      <c r="J11" s="56" t="n">
        <v>46821</v>
      </c>
      <c r="K11" s="1" t="n"/>
      <c r="M11" s="56" t="n">
        <v>716</v>
      </c>
      <c r="N11" s="56" t="n">
        <v>17</v>
      </c>
      <c r="O11" s="1" t="n">
        <v>6</v>
      </c>
      <c r="P11" s="1" t="n">
        <v>4</v>
      </c>
      <c r="Q11" s="56">
        <f>O11&amp;P11</f>
        <v/>
      </c>
      <c r="R11" s="1" t="n">
        <v>733</v>
      </c>
      <c r="S11" s="56" t="n">
        <v>25652</v>
      </c>
      <c r="T11" s="56" t="n">
        <v>98</v>
      </c>
      <c r="U11" s="56" t="inlineStr">
        <is>
          <t>G1900</t>
        </is>
      </c>
      <c r="V11" s="56" t="n">
        <v>1</v>
      </c>
      <c r="W11" s="56" t="n">
        <v>15</v>
      </c>
      <c r="X11" s="56" t="inlineStr">
        <is>
          <t>NO_FH</t>
        </is>
      </c>
      <c r="Y11" s="56" t="inlineStr">
        <is>
          <t>-</t>
        </is>
      </c>
      <c r="Z11" s="56" t="inlineStr">
        <is>
          <t>-</t>
        </is>
      </c>
      <c r="AA11" s="56" t="inlineStr">
        <is>
          <t>-</t>
        </is>
      </c>
    </row>
    <row r="12">
      <c r="A12" s="1" t="inlineStr">
        <is>
          <t>01246822_IC_Clemente_Bajo</t>
        </is>
      </c>
      <c r="B12" s="1">
        <f>_xlfn.XLOOKUP(A12,'RF Parameter'!I:I,'RF Parameter'!A:A)</f>
        <v/>
      </c>
      <c r="C12" s="1">
        <f>_xlfn.XLOOKUP(A12,'RF Parameter'!I:I,'RF Parameter'!K:K)</f>
        <v/>
      </c>
      <c r="D12" s="56">
        <f>_xlfn.XLOOKUP(A12,'RF Parameter'!I:I,'RF Parameter'!AB:AB)</f>
        <v/>
      </c>
      <c r="E12" s="56">
        <f>_xlfn.XLOOKUP(A12,'RF Parameter'!I:I,'RF Parameter'!AA:AA)</f>
        <v/>
      </c>
      <c r="F12" s="56">
        <f>_xlfn.XLOOKUP(A12,'RF Parameter'!I:I,'RF Parameter'!M:M)</f>
        <v/>
      </c>
      <c r="G12" s="1">
        <f>_xlfn.XLOOKUP(A12,'RF Parameter'!I:I,'RF Parameter'!B:B)</f>
        <v/>
      </c>
      <c r="H12" s="1" t="inlineStr">
        <is>
          <t>0124682_IC_Clemente_Bajo</t>
        </is>
      </c>
      <c r="I12" s="56" t="n">
        <v>4682</v>
      </c>
      <c r="J12" s="56" t="n">
        <v>46822</v>
      </c>
      <c r="K12" s="1" t="n"/>
      <c r="M12" s="56" t="n">
        <v>716</v>
      </c>
      <c r="N12" s="56" t="n">
        <v>17</v>
      </c>
      <c r="O12" s="1" t="n">
        <v>7</v>
      </c>
      <c r="P12" s="1" t="n">
        <v>0</v>
      </c>
      <c r="Q12" s="56">
        <f>O12&amp;P12</f>
        <v/>
      </c>
      <c r="R12" s="1" t="n">
        <v>679</v>
      </c>
      <c r="S12" s="56" t="n">
        <v>25652</v>
      </c>
      <c r="T12" s="56" t="n">
        <v>98</v>
      </c>
      <c r="U12" s="56" t="inlineStr">
        <is>
          <t>G1900</t>
        </is>
      </c>
      <c r="V12" s="56" t="n">
        <v>1</v>
      </c>
      <c r="W12" s="56" t="n">
        <v>15</v>
      </c>
      <c r="X12" s="56" t="inlineStr">
        <is>
          <t>NO_FH</t>
        </is>
      </c>
      <c r="Y12" s="56" t="inlineStr">
        <is>
          <t>-</t>
        </is>
      </c>
      <c r="Z12" s="56" t="inlineStr">
        <is>
          <t>-</t>
        </is>
      </c>
      <c r="AA12" s="56" t="inlineStr">
        <is>
          <t>-</t>
        </is>
      </c>
    </row>
    <row r="13">
      <c r="A13" s="1" t="inlineStr">
        <is>
          <t>01246823_IC_Clemente_Bajo</t>
        </is>
      </c>
      <c r="B13" s="1">
        <f>_xlfn.XLOOKUP(A13,'RF Parameter'!I:I,'RF Parameter'!A:A)</f>
        <v/>
      </c>
      <c r="C13" s="1">
        <f>_xlfn.XLOOKUP(A13,'RF Parameter'!I:I,'RF Parameter'!K:K)</f>
        <v/>
      </c>
      <c r="D13" s="56">
        <f>_xlfn.XLOOKUP(A13,'RF Parameter'!I:I,'RF Parameter'!AB:AB)</f>
        <v/>
      </c>
      <c r="E13" s="56">
        <f>_xlfn.XLOOKUP(A13,'RF Parameter'!I:I,'RF Parameter'!AA:AA)</f>
        <v/>
      </c>
      <c r="F13" s="56">
        <f>_xlfn.XLOOKUP(A13,'RF Parameter'!I:I,'RF Parameter'!M:M)</f>
        <v/>
      </c>
      <c r="G13" s="1">
        <f>_xlfn.XLOOKUP(A13,'RF Parameter'!I:I,'RF Parameter'!B:B)</f>
        <v/>
      </c>
      <c r="H13" s="1" t="inlineStr">
        <is>
          <t>0124682_IC_Clemente_Bajo</t>
        </is>
      </c>
      <c r="I13" s="56" t="n">
        <v>4682</v>
      </c>
      <c r="J13" s="56" t="n">
        <v>46823</v>
      </c>
      <c r="K13" s="1" t="n"/>
      <c r="M13" s="56" t="n">
        <v>716</v>
      </c>
      <c r="N13" s="56" t="n">
        <v>17</v>
      </c>
      <c r="O13" s="1" t="n">
        <v>2</v>
      </c>
      <c r="P13" s="1" t="n">
        <v>6</v>
      </c>
      <c r="Q13" s="56">
        <f>O13&amp;P13</f>
        <v/>
      </c>
      <c r="R13" s="1" t="n">
        <v>735</v>
      </c>
      <c r="S13" s="56" t="n">
        <v>25652</v>
      </c>
      <c r="T13" s="56" t="n">
        <v>98</v>
      </c>
      <c r="U13" s="56" t="inlineStr">
        <is>
          <t>G1900</t>
        </is>
      </c>
      <c r="V13" s="56" t="n">
        <v>1</v>
      </c>
      <c r="W13" s="56" t="n">
        <v>15</v>
      </c>
      <c r="X13" s="56" t="inlineStr">
        <is>
          <t>NO_FH</t>
        </is>
      </c>
      <c r="Y13" s="56" t="inlineStr">
        <is>
          <t>-</t>
        </is>
      </c>
      <c r="Z13" s="56" t="inlineStr">
        <is>
          <t>-</t>
        </is>
      </c>
      <c r="AA13" s="56" t="inlineStr">
        <is>
          <t>-</t>
        </is>
      </c>
    </row>
    <row r="14">
      <c r="A14" s="1" t="inlineStr">
        <is>
          <t>01246911_IC_Villa_Amaru</t>
        </is>
      </c>
      <c r="B14" s="1">
        <f>_xlfn.XLOOKUP(A14,'RF Parameter'!I:I,'RF Parameter'!A:A)</f>
        <v/>
      </c>
      <c r="C14" s="1">
        <f>_xlfn.XLOOKUP(A14,'RF Parameter'!I:I,'RF Parameter'!K:K)</f>
        <v/>
      </c>
      <c r="D14" s="56">
        <f>_xlfn.XLOOKUP(A14,'RF Parameter'!I:I,'RF Parameter'!AB:AB)</f>
        <v/>
      </c>
      <c r="E14" s="56">
        <f>_xlfn.XLOOKUP(A14,'RF Parameter'!I:I,'RF Parameter'!AA:AA)</f>
        <v/>
      </c>
      <c r="F14" s="56">
        <f>_xlfn.XLOOKUP(A14,'RF Parameter'!I:I,'RF Parameter'!M:M)</f>
        <v/>
      </c>
      <c r="G14" s="1">
        <f>_xlfn.XLOOKUP(A14,'RF Parameter'!I:I,'RF Parameter'!B:B)</f>
        <v/>
      </c>
      <c r="H14" s="1" t="inlineStr">
        <is>
          <t>0124691_IC_Villa_Amaru</t>
        </is>
      </c>
      <c r="I14" s="56" t="n">
        <v>4691</v>
      </c>
      <c r="J14" s="56" t="n">
        <v>46911</v>
      </c>
      <c r="K14" s="1" t="n"/>
      <c r="M14" s="56" t="n">
        <v>716</v>
      </c>
      <c r="N14" s="56" t="n">
        <v>17</v>
      </c>
      <c r="O14" s="1" t="n">
        <v>1</v>
      </c>
      <c r="P14" s="1" t="n">
        <v>4</v>
      </c>
      <c r="Q14" s="56">
        <f>O14&amp;P14</f>
        <v/>
      </c>
      <c r="R14" s="1" t="n">
        <v>678</v>
      </c>
      <c r="S14" s="56" t="n">
        <v>25652</v>
      </c>
      <c r="T14" s="56" t="n">
        <v>98</v>
      </c>
      <c r="U14" s="56" t="inlineStr">
        <is>
          <t>G1900</t>
        </is>
      </c>
      <c r="V14" s="56" t="n">
        <v>1</v>
      </c>
      <c r="W14" s="56" t="n">
        <v>15</v>
      </c>
      <c r="X14" s="56" t="inlineStr">
        <is>
          <t>NO_FH</t>
        </is>
      </c>
      <c r="Y14" s="56" t="inlineStr">
        <is>
          <t>-</t>
        </is>
      </c>
      <c r="Z14" s="56" t="inlineStr">
        <is>
          <t>-</t>
        </is>
      </c>
      <c r="AA14" s="56" t="inlineStr">
        <is>
          <t>-</t>
        </is>
      </c>
    </row>
    <row r="15">
      <c r="A15" s="1" t="inlineStr">
        <is>
          <t>01246912_IC_Villa_Amaru</t>
        </is>
      </c>
      <c r="B15" s="1">
        <f>_xlfn.XLOOKUP(A15,'RF Parameter'!I:I,'RF Parameter'!A:A)</f>
        <v/>
      </c>
      <c r="C15" s="1">
        <f>_xlfn.XLOOKUP(A15,'RF Parameter'!I:I,'RF Parameter'!K:K)</f>
        <v/>
      </c>
      <c r="D15" s="56">
        <f>_xlfn.XLOOKUP(A15,'RF Parameter'!I:I,'RF Parameter'!AB:AB)</f>
        <v/>
      </c>
      <c r="E15" s="56">
        <f>_xlfn.XLOOKUP(A15,'RF Parameter'!I:I,'RF Parameter'!AA:AA)</f>
        <v/>
      </c>
      <c r="F15" s="56">
        <f>_xlfn.XLOOKUP(A15,'RF Parameter'!I:I,'RF Parameter'!M:M)</f>
        <v/>
      </c>
      <c r="G15" s="1">
        <f>_xlfn.XLOOKUP(A15,'RF Parameter'!I:I,'RF Parameter'!B:B)</f>
        <v/>
      </c>
      <c r="H15" s="1" t="inlineStr">
        <is>
          <t>0124691_IC_Villa_Amaru</t>
        </is>
      </c>
      <c r="I15" s="56" t="n">
        <v>4691</v>
      </c>
      <c r="J15" s="56" t="n">
        <v>46912</v>
      </c>
      <c r="K15" s="1" t="n"/>
      <c r="M15" s="56" t="n">
        <v>716</v>
      </c>
      <c r="N15" s="56" t="n">
        <v>17</v>
      </c>
      <c r="O15" s="1" t="n">
        <v>7</v>
      </c>
      <c r="P15" s="1" t="n">
        <v>1</v>
      </c>
      <c r="Q15" s="56">
        <f>O15&amp;P15</f>
        <v/>
      </c>
      <c r="R15" s="1" t="n">
        <v>734</v>
      </c>
      <c r="S15" s="56" t="n">
        <v>25652</v>
      </c>
      <c r="T15" s="56" t="n">
        <v>98</v>
      </c>
      <c r="U15" s="56" t="inlineStr">
        <is>
          <t>G1900</t>
        </is>
      </c>
      <c r="V15" s="56" t="n">
        <v>1</v>
      </c>
      <c r="W15" s="56" t="n">
        <v>15</v>
      </c>
      <c r="X15" s="56" t="inlineStr">
        <is>
          <t>NO_FH</t>
        </is>
      </c>
      <c r="Y15" s="56" t="inlineStr">
        <is>
          <t>-</t>
        </is>
      </c>
      <c r="Z15" s="56" t="inlineStr">
        <is>
          <t>-</t>
        </is>
      </c>
      <c r="AA15" s="56" t="inlineStr">
        <is>
          <t>-</t>
        </is>
      </c>
    </row>
    <row r="16">
      <c r="A16" s="1" t="inlineStr">
        <is>
          <t>01246913_IC_Villa_Amaru</t>
        </is>
      </c>
      <c r="B16" s="1">
        <f>_xlfn.XLOOKUP(A16,'RF Parameter'!I:I,'RF Parameter'!A:A)</f>
        <v/>
      </c>
      <c r="C16" s="1">
        <f>_xlfn.XLOOKUP(A16,'RF Parameter'!I:I,'RF Parameter'!K:K)</f>
        <v/>
      </c>
      <c r="D16" s="56">
        <f>_xlfn.XLOOKUP(A16,'RF Parameter'!I:I,'RF Parameter'!AB:AB)</f>
        <v/>
      </c>
      <c r="E16" s="56">
        <f>_xlfn.XLOOKUP(A16,'RF Parameter'!I:I,'RF Parameter'!AA:AA)</f>
        <v/>
      </c>
      <c r="F16" s="56">
        <f>_xlfn.XLOOKUP(A16,'RF Parameter'!I:I,'RF Parameter'!M:M)</f>
        <v/>
      </c>
      <c r="G16" s="1">
        <f>_xlfn.XLOOKUP(A16,'RF Parameter'!I:I,'RF Parameter'!B:B)</f>
        <v/>
      </c>
      <c r="H16" s="1" t="inlineStr">
        <is>
          <t>0124691_IC_Villa_Amaru</t>
        </is>
      </c>
      <c r="I16" s="56" t="n">
        <v>4691</v>
      </c>
      <c r="J16" s="56" t="n">
        <v>46913</v>
      </c>
      <c r="K16" s="1" t="n"/>
      <c r="M16" s="56" t="n">
        <v>716</v>
      </c>
      <c r="N16" s="56" t="n">
        <v>17</v>
      </c>
      <c r="O16" s="1" t="n">
        <v>0</v>
      </c>
      <c r="P16" s="1" t="n">
        <v>3</v>
      </c>
      <c r="Q16" s="56">
        <f>O16&amp;P16</f>
        <v/>
      </c>
      <c r="R16" s="1" t="n">
        <v>675</v>
      </c>
      <c r="S16" s="56" t="n">
        <v>25652</v>
      </c>
      <c r="T16" s="56" t="n">
        <v>98</v>
      </c>
      <c r="U16" s="56" t="inlineStr">
        <is>
          <t>G1900</t>
        </is>
      </c>
      <c r="V16" s="56" t="n">
        <v>1</v>
      </c>
      <c r="W16" s="56" t="n">
        <v>15</v>
      </c>
      <c r="X16" s="56" t="inlineStr">
        <is>
          <t>NO_FH</t>
        </is>
      </c>
      <c r="Y16" s="56" t="inlineStr">
        <is>
          <t>-</t>
        </is>
      </c>
      <c r="Z16" s="56" t="inlineStr">
        <is>
          <t>-</t>
        </is>
      </c>
      <c r="AA16" s="56" t="inlineStr">
        <is>
          <t>-</t>
        </is>
      </c>
    </row>
  </sheetData>
  <autoFilter ref="A1:AA16"/>
  <conditionalFormatting sqref="G1">
    <cfRule type="duplicateValues" priority="2" dxfId="0"/>
  </conditionalFormatting>
  <conditionalFormatting sqref="H1">
    <cfRule type="duplicateValues" priority="3" dxfId="0"/>
  </conditionalFormatting>
  <conditionalFormatting sqref="I1">
    <cfRule type="duplicateValues" priority="5" dxfId="0"/>
  </conditionalFormatting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23">
    <outlinePr summaryBelow="1" summaryRight="1"/>
    <pageSetUpPr/>
  </sheetPr>
  <dimension ref="A1:AB16"/>
  <sheetViews>
    <sheetView zoomScale="85" zoomScaleNormal="85" workbookViewId="0">
      <pane xSplit="1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17" sqref="G17"/>
    </sheetView>
  </sheetViews>
  <sheetFormatPr baseColWidth="8" defaultColWidth="9.723809523809519" defaultRowHeight="12"/>
  <cols>
    <col width="30.9047619047619" customWidth="1" style="65" min="1" max="1"/>
    <col width="16.3619047619048" customWidth="1" style="65" min="2" max="2"/>
    <col width="11.7238095238095" customWidth="1" style="5" min="3" max="3"/>
    <col width="19.1333333333333" customWidth="1" style="65" min="4" max="4"/>
    <col width="11.0952380952381" customWidth="1" style="65" min="5" max="5"/>
    <col width="13.6380952380952" customWidth="1" style="5" min="6" max="6"/>
    <col width="29.8190476190476" customWidth="1" style="5" min="7" max="8"/>
    <col width="11.552380952381" customWidth="1" style="65" min="9" max="9"/>
    <col width="9.361904761904761" customWidth="1" style="65" min="10" max="10"/>
    <col width="11.752380952381" customWidth="1" style="45" min="11" max="11"/>
    <col width="10.152380952381" customWidth="1" style="45" min="12" max="12"/>
    <col width="11.6571428571429" customWidth="1" style="65" min="13" max="13"/>
    <col width="11.0952380952381" customWidth="1" style="65" min="14" max="14"/>
    <col width="11.0095238095238" customWidth="1" style="65" min="15" max="15"/>
    <col width="12.0952380952381" customWidth="1" style="5" min="16" max="16"/>
    <col width="9.09523809523809" customWidth="1" style="65" min="17" max="17"/>
    <col width="9.276190476190481" customWidth="1" style="65" min="18" max="18"/>
    <col width="10.8190476190476" customWidth="1" style="65" min="19" max="19"/>
    <col width="12.9809523809524" customWidth="1" style="65" min="20" max="20"/>
    <col width="13.6380952380952" customWidth="1" style="5" min="21" max="21"/>
    <col width="13.6380952380952" customWidth="1" style="65" min="22" max="22"/>
    <col width="13.6380952380952" customWidth="1" style="5" min="23" max="23"/>
    <col width="18.0952380952381" customWidth="1" style="45" min="24" max="25"/>
    <col width="12.0952380952381" customWidth="1" style="65" min="26" max="27"/>
    <col width="13.6380952380952" customWidth="1" style="5" min="28" max="28"/>
    <col width="9.723809523809519" customWidth="1" style="74" min="29" max="16384"/>
  </cols>
  <sheetData>
    <row r="1" ht="31" customFormat="1" customHeight="1" s="64">
      <c r="A1" s="67" t="inlineStr">
        <is>
          <t>Cell Name</t>
        </is>
      </c>
      <c r="B1" s="32" t="inlineStr">
        <is>
          <t>Site Name</t>
        </is>
      </c>
      <c r="C1" s="68" t="inlineStr">
        <is>
          <t>Sector ID</t>
        </is>
      </c>
      <c r="D1" s="68" t="inlineStr">
        <is>
          <t>RRU Type</t>
        </is>
      </c>
      <c r="E1" s="68" t="inlineStr">
        <is>
          <t>TX/RX mode</t>
        </is>
      </c>
      <c r="F1" s="69" t="inlineStr">
        <is>
          <t>Band</t>
        </is>
      </c>
      <c r="G1" s="69" t="inlineStr">
        <is>
          <t>NE Name</t>
        </is>
      </c>
      <c r="H1" s="67" t="inlineStr">
        <is>
          <t>NodeB Name</t>
        </is>
      </c>
      <c r="I1" s="67" t="inlineStr">
        <is>
          <t>RNC Name</t>
        </is>
      </c>
      <c r="J1" s="67" t="inlineStr">
        <is>
          <t>RNC ID</t>
        </is>
      </c>
      <c r="K1" s="72" t="inlineStr">
        <is>
          <t>Nodeb ID</t>
        </is>
      </c>
      <c r="L1" s="71" t="inlineStr">
        <is>
          <t>CI</t>
        </is>
      </c>
      <c r="M1" s="72" t="inlineStr">
        <is>
          <t>MORAN</t>
        </is>
      </c>
      <c r="N1" s="71" t="inlineStr">
        <is>
          <t>MCC</t>
        </is>
      </c>
      <c r="O1" s="71" t="inlineStr">
        <is>
          <t>MNC</t>
        </is>
      </c>
      <c r="P1" s="72" t="inlineStr">
        <is>
          <t>PSC</t>
        </is>
      </c>
      <c r="Q1" s="72" t="inlineStr">
        <is>
          <t>LAC</t>
        </is>
      </c>
      <c r="R1" s="72" t="inlineStr">
        <is>
          <t>RAC</t>
        </is>
      </c>
      <c r="S1" s="72" t="inlineStr">
        <is>
          <t>URA</t>
        </is>
      </c>
      <c r="T1" s="71" t="inlineStr">
        <is>
          <t>SAC</t>
        </is>
      </c>
      <c r="U1" s="72" t="inlineStr">
        <is>
          <t>Cell Power(W)</t>
        </is>
      </c>
      <c r="V1" s="72" t="inlineStr">
        <is>
          <t>Cell Power(dBm)</t>
        </is>
      </c>
      <c r="W1" s="72" t="inlineStr">
        <is>
          <t>Pilot Power(dBm)</t>
        </is>
      </c>
      <c r="X1" s="71" t="inlineStr">
        <is>
          <t>DL Center Frequency</t>
        </is>
      </c>
      <c r="Y1" s="71" t="inlineStr">
        <is>
          <t>UL Center Frequency</t>
        </is>
      </c>
      <c r="Z1" s="71" t="inlineStr">
        <is>
          <t>DL UARFCN</t>
        </is>
      </c>
      <c r="AA1" s="71" t="inlineStr">
        <is>
          <t>UL UARFCN</t>
        </is>
      </c>
      <c r="AB1" s="73" t="inlineStr">
        <is>
          <t>Bandwidth</t>
        </is>
      </c>
    </row>
    <row r="2">
      <c r="A2" s="1" t="inlineStr">
        <is>
          <t>01308171_IC_Pisco</t>
        </is>
      </c>
      <c r="B2" s="65">
        <f>_xlfn.XLOOKUP(A2,'RF Parameter'!I:I,'RF Parameter'!A:A)</f>
        <v/>
      </c>
      <c r="C2" s="5">
        <f>_xlfn.XLOOKUP(A2,'RF Parameter'!I:I,'RF Parameter'!K:K)</f>
        <v/>
      </c>
      <c r="D2" s="65">
        <f>_xlfn.XLOOKUP(A2,'RF Parameter'!I:I,'RF Parameter'!AB:AB)</f>
        <v/>
      </c>
      <c r="E2" s="65">
        <f>_xlfn.XLOOKUP(A2,'RF Parameter'!I:I,'RF Parameter'!AA:AA)</f>
        <v/>
      </c>
      <c r="F2" s="5">
        <f>_xlfn.XLOOKUP(A2,'RF Parameter'!I:I,'RF Parameter'!M:M)</f>
        <v/>
      </c>
      <c r="G2" s="1">
        <f>_xlfn.XLOOKUP(A2,'RF Parameter'!I:I,'RF Parameter'!B:B)</f>
        <v/>
      </c>
      <c r="H2" s="1">
        <f>G2</f>
        <v/>
      </c>
      <c r="K2" s="45" t="n">
        <v>817</v>
      </c>
      <c r="L2" s="1" t="n">
        <v>8171</v>
      </c>
      <c r="M2" s="65" t="inlineStr">
        <is>
          <t>No</t>
        </is>
      </c>
      <c r="N2" s="1" t="n">
        <v>716</v>
      </c>
      <c r="O2" s="1" t="n">
        <v>17</v>
      </c>
      <c r="P2" s="5" t="n">
        <v>0</v>
      </c>
      <c r="Q2" s="65" t="n">
        <v>35652</v>
      </c>
      <c r="R2" s="65" t="n">
        <v>108</v>
      </c>
      <c r="S2" s="65" t="n">
        <v>106</v>
      </c>
      <c r="T2" s="1" t="n">
        <v>8171</v>
      </c>
      <c r="U2" s="5" t="n">
        <v>30</v>
      </c>
      <c r="V2" s="1" t="n">
        <v>44.7</v>
      </c>
      <c r="W2" s="1" t="n">
        <v>34.7</v>
      </c>
      <c r="X2" s="45">
        <f>Z2/5+1850.1</f>
        <v/>
      </c>
      <c r="Y2" s="45">
        <f>AA2/5+1850.1</f>
        <v/>
      </c>
      <c r="Z2" s="65" t="n">
        <v>487</v>
      </c>
      <c r="AA2" s="74" t="n">
        <v>87</v>
      </c>
      <c r="AB2" s="5" t="inlineStr">
        <is>
          <t>5M</t>
        </is>
      </c>
    </row>
    <row r="3">
      <c r="A3" s="1" t="inlineStr">
        <is>
          <t>01308172_IC_Pisco</t>
        </is>
      </c>
      <c r="B3" s="65">
        <f>_xlfn.XLOOKUP(A3,'RF Parameter'!I:I,'RF Parameter'!A:A)</f>
        <v/>
      </c>
      <c r="C3" s="5">
        <f>_xlfn.XLOOKUP(A3,'RF Parameter'!I:I,'RF Parameter'!K:K)</f>
        <v/>
      </c>
      <c r="D3" s="65">
        <f>_xlfn.XLOOKUP(A3,'RF Parameter'!I:I,'RF Parameter'!AB:AB)</f>
        <v/>
      </c>
      <c r="E3" s="65">
        <f>_xlfn.XLOOKUP(A3,'RF Parameter'!I:I,'RF Parameter'!AA:AA)</f>
        <v/>
      </c>
      <c r="F3" s="5">
        <f>_xlfn.XLOOKUP(A3,'RF Parameter'!I:I,'RF Parameter'!M:M)</f>
        <v/>
      </c>
      <c r="G3" s="1">
        <f>_xlfn.XLOOKUP(A3,'RF Parameter'!I:I,'RF Parameter'!B:B)</f>
        <v/>
      </c>
      <c r="H3" s="1">
        <f>G3</f>
        <v/>
      </c>
      <c r="K3" s="45" t="n">
        <v>817</v>
      </c>
      <c r="L3" s="1" t="n">
        <v>8172</v>
      </c>
      <c r="M3" s="65" t="inlineStr">
        <is>
          <t>No</t>
        </is>
      </c>
      <c r="N3" s="1" t="n">
        <v>716</v>
      </c>
      <c r="O3" s="1" t="n">
        <v>17</v>
      </c>
      <c r="P3" s="5" t="n">
        <v>44</v>
      </c>
      <c r="Q3" s="65" t="n">
        <v>35652</v>
      </c>
      <c r="R3" s="65" t="n">
        <v>108</v>
      </c>
      <c r="S3" s="65" t="n">
        <v>106</v>
      </c>
      <c r="T3" s="1" t="n">
        <v>8172</v>
      </c>
      <c r="U3" s="5" t="n">
        <v>40</v>
      </c>
      <c r="V3" s="1" t="n">
        <v>46</v>
      </c>
      <c r="W3" s="1" t="n">
        <v>36</v>
      </c>
      <c r="X3" s="45">
        <f>Z3/5+1850.1</f>
        <v/>
      </c>
      <c r="Y3" s="45">
        <f>AA3/5+1850.1</f>
        <v/>
      </c>
      <c r="Z3" s="65" t="n">
        <v>487</v>
      </c>
      <c r="AA3" s="74" t="n">
        <v>87</v>
      </c>
      <c r="AB3" s="5" t="inlineStr">
        <is>
          <t>5M</t>
        </is>
      </c>
    </row>
    <row r="4">
      <c r="A4" s="1" t="inlineStr">
        <is>
          <t>01308173_IC_Pisco</t>
        </is>
      </c>
      <c r="B4" s="65">
        <f>_xlfn.XLOOKUP(A4,'RF Parameter'!I:I,'RF Parameter'!A:A)</f>
        <v/>
      </c>
      <c r="C4" s="5">
        <f>_xlfn.XLOOKUP(A4,'RF Parameter'!I:I,'RF Parameter'!K:K)</f>
        <v/>
      </c>
      <c r="D4" s="65">
        <f>_xlfn.XLOOKUP(A4,'RF Parameter'!I:I,'RF Parameter'!AB:AB)</f>
        <v/>
      </c>
      <c r="E4" s="65">
        <f>_xlfn.XLOOKUP(A4,'RF Parameter'!I:I,'RF Parameter'!AA:AA)</f>
        <v/>
      </c>
      <c r="F4" s="5">
        <f>_xlfn.XLOOKUP(A4,'RF Parameter'!I:I,'RF Parameter'!M:M)</f>
        <v/>
      </c>
      <c r="G4" s="1">
        <f>_xlfn.XLOOKUP(A4,'RF Parameter'!I:I,'RF Parameter'!B:B)</f>
        <v/>
      </c>
      <c r="H4" s="1">
        <f>G4</f>
        <v/>
      </c>
      <c r="K4" s="45" t="n">
        <v>817</v>
      </c>
      <c r="L4" s="1" t="n">
        <v>8173</v>
      </c>
      <c r="M4" s="65" t="inlineStr">
        <is>
          <t>No</t>
        </is>
      </c>
      <c r="N4" s="1" t="n">
        <v>716</v>
      </c>
      <c r="O4" s="1" t="n">
        <v>17</v>
      </c>
      <c r="P4" s="5" t="n">
        <v>45</v>
      </c>
      <c r="Q4" s="65" t="n">
        <v>35652</v>
      </c>
      <c r="R4" s="65" t="n">
        <v>108</v>
      </c>
      <c r="S4" s="65" t="n">
        <v>106</v>
      </c>
      <c r="T4" s="1" t="n">
        <v>8173</v>
      </c>
      <c r="U4" s="5" t="n">
        <v>40</v>
      </c>
      <c r="V4" s="1" t="n">
        <v>46</v>
      </c>
      <c r="W4" s="1" t="n">
        <v>36</v>
      </c>
      <c r="X4" s="45">
        <f>Z4/5+1850.1</f>
        <v/>
      </c>
      <c r="Y4" s="45">
        <f>AA4/5+1850.1</f>
        <v/>
      </c>
      <c r="Z4" s="65" t="n">
        <v>487</v>
      </c>
      <c r="AA4" s="74" t="n">
        <v>87</v>
      </c>
      <c r="AB4" s="5" t="inlineStr">
        <is>
          <t>5M</t>
        </is>
      </c>
    </row>
    <row r="5">
      <c r="A5" s="1" t="inlineStr">
        <is>
          <t>01322471_IC_San_Clemente</t>
        </is>
      </c>
      <c r="B5" s="65">
        <f>_xlfn.XLOOKUP(A5,'RF Parameter'!I:I,'RF Parameter'!A:A)</f>
        <v/>
      </c>
      <c r="C5" s="5">
        <f>_xlfn.XLOOKUP(A5,'RF Parameter'!I:I,'RF Parameter'!K:K)</f>
        <v/>
      </c>
      <c r="D5" s="65">
        <f>_xlfn.XLOOKUP(A5,'RF Parameter'!I:I,'RF Parameter'!AB:AB)</f>
        <v/>
      </c>
      <c r="E5" s="65">
        <f>_xlfn.XLOOKUP(A5,'RF Parameter'!I:I,'RF Parameter'!AA:AA)</f>
        <v/>
      </c>
      <c r="F5" s="5">
        <f>_xlfn.XLOOKUP(A5,'RF Parameter'!I:I,'RF Parameter'!M:M)</f>
        <v/>
      </c>
      <c r="G5" s="1">
        <f>_xlfn.XLOOKUP(A5,'RF Parameter'!I:I,'RF Parameter'!B:B)</f>
        <v/>
      </c>
      <c r="H5" s="1">
        <f>G5</f>
        <v/>
      </c>
      <c r="K5" s="45" t="n">
        <v>2247</v>
      </c>
      <c r="L5" s="1" t="n">
        <v>22471</v>
      </c>
      <c r="M5" s="65" t="inlineStr">
        <is>
          <t>No</t>
        </is>
      </c>
      <c r="N5" s="1" t="n">
        <v>716</v>
      </c>
      <c r="O5" s="1" t="n">
        <v>17</v>
      </c>
      <c r="P5" s="5" t="n">
        <v>360</v>
      </c>
      <c r="Q5" s="65" t="n">
        <v>35652</v>
      </c>
      <c r="R5" s="65" t="n">
        <v>108</v>
      </c>
      <c r="S5" s="65" t="n">
        <v>106</v>
      </c>
      <c r="T5" s="1" t="n">
        <v>22471</v>
      </c>
      <c r="U5" s="5" t="n">
        <v>30</v>
      </c>
      <c r="V5" s="1" t="n">
        <v>44.7</v>
      </c>
      <c r="W5" s="1" t="n">
        <v>36</v>
      </c>
      <c r="X5" s="45">
        <f>Z5/5+1850.1</f>
        <v/>
      </c>
      <c r="Y5" s="45">
        <f>AA5/5+1850.1</f>
        <v/>
      </c>
      <c r="Z5" s="65" t="n">
        <v>487</v>
      </c>
      <c r="AA5" s="74" t="n">
        <v>87</v>
      </c>
      <c r="AB5" s="5" t="inlineStr">
        <is>
          <t>5M</t>
        </is>
      </c>
    </row>
    <row r="6">
      <c r="A6" s="1" t="inlineStr">
        <is>
          <t>01322472_IC_San_Clemente</t>
        </is>
      </c>
      <c r="B6" s="65">
        <f>_xlfn.XLOOKUP(A6,'RF Parameter'!I:I,'RF Parameter'!A:A)</f>
        <v/>
      </c>
      <c r="C6" s="5">
        <f>_xlfn.XLOOKUP(A6,'RF Parameter'!I:I,'RF Parameter'!K:K)</f>
        <v/>
      </c>
      <c r="D6" s="65">
        <f>_xlfn.XLOOKUP(A6,'RF Parameter'!I:I,'RF Parameter'!AB:AB)</f>
        <v/>
      </c>
      <c r="E6" s="65">
        <f>_xlfn.XLOOKUP(A6,'RF Parameter'!I:I,'RF Parameter'!AA:AA)</f>
        <v/>
      </c>
      <c r="F6" s="5">
        <f>_xlfn.XLOOKUP(A6,'RF Parameter'!I:I,'RF Parameter'!M:M)</f>
        <v/>
      </c>
      <c r="G6" s="1">
        <f>_xlfn.XLOOKUP(A6,'RF Parameter'!I:I,'RF Parameter'!B:B)</f>
        <v/>
      </c>
      <c r="H6" s="1">
        <f>G6</f>
        <v/>
      </c>
      <c r="K6" s="45" t="n">
        <v>2247</v>
      </c>
      <c r="L6" s="1" t="n">
        <v>22472</v>
      </c>
      <c r="M6" s="65" t="inlineStr">
        <is>
          <t>No</t>
        </is>
      </c>
      <c r="N6" s="1" t="n">
        <v>716</v>
      </c>
      <c r="O6" s="1" t="n">
        <v>17</v>
      </c>
      <c r="P6" s="5" t="n">
        <v>361</v>
      </c>
      <c r="Q6" s="65" t="n">
        <v>35652</v>
      </c>
      <c r="R6" s="65" t="n">
        <v>108</v>
      </c>
      <c r="S6" s="65" t="n">
        <v>106</v>
      </c>
      <c r="T6" s="1" t="n">
        <v>22472</v>
      </c>
      <c r="U6" s="5" t="n">
        <v>49</v>
      </c>
      <c r="V6" s="1" t="n">
        <v>46.9</v>
      </c>
      <c r="W6" s="1" t="n">
        <v>36</v>
      </c>
      <c r="X6" s="45">
        <f>Z6/5+1850.1</f>
        <v/>
      </c>
      <c r="Y6" s="45">
        <f>AA6/5+1850.1</f>
        <v/>
      </c>
      <c r="Z6" s="65" t="n">
        <v>487</v>
      </c>
      <c r="AA6" s="74" t="n">
        <v>87</v>
      </c>
      <c r="AB6" s="5" t="inlineStr">
        <is>
          <t>5M</t>
        </is>
      </c>
    </row>
    <row r="7">
      <c r="A7" s="1" t="inlineStr">
        <is>
          <t>01322473_IC_San_Clemente</t>
        </is>
      </c>
      <c r="B7" s="65">
        <f>_xlfn.XLOOKUP(A7,'RF Parameter'!I:I,'RF Parameter'!A:A)</f>
        <v/>
      </c>
      <c r="C7" s="5">
        <f>_xlfn.XLOOKUP(A7,'RF Parameter'!I:I,'RF Parameter'!K:K)</f>
        <v/>
      </c>
      <c r="D7" s="65">
        <f>_xlfn.XLOOKUP(A7,'RF Parameter'!I:I,'RF Parameter'!AB:AB)</f>
        <v/>
      </c>
      <c r="E7" s="65">
        <f>_xlfn.XLOOKUP(A7,'RF Parameter'!I:I,'RF Parameter'!AA:AA)</f>
        <v/>
      </c>
      <c r="F7" s="5">
        <f>_xlfn.XLOOKUP(A7,'RF Parameter'!I:I,'RF Parameter'!M:M)</f>
        <v/>
      </c>
      <c r="G7" s="1">
        <f>_xlfn.XLOOKUP(A7,'RF Parameter'!I:I,'RF Parameter'!B:B)</f>
        <v/>
      </c>
      <c r="H7" s="1">
        <f>G7</f>
        <v/>
      </c>
      <c r="K7" s="45" t="n">
        <v>2247</v>
      </c>
      <c r="L7" s="1" t="n">
        <v>22473</v>
      </c>
      <c r="M7" s="65" t="inlineStr">
        <is>
          <t>No</t>
        </is>
      </c>
      <c r="N7" s="1" t="n">
        <v>716</v>
      </c>
      <c r="O7" s="1" t="n">
        <v>17</v>
      </c>
      <c r="P7" s="5" t="n">
        <v>362</v>
      </c>
      <c r="Q7" s="65" t="n">
        <v>35652</v>
      </c>
      <c r="R7" s="65" t="n">
        <v>108</v>
      </c>
      <c r="S7" s="65" t="n">
        <v>106</v>
      </c>
      <c r="T7" s="1" t="n">
        <v>22473</v>
      </c>
      <c r="U7" s="5" t="n">
        <v>49</v>
      </c>
      <c r="V7" s="1" t="n">
        <v>46.9</v>
      </c>
      <c r="W7" s="1" t="n">
        <v>34.7</v>
      </c>
      <c r="X7" s="45">
        <f>Z7/5+1850.1</f>
        <v/>
      </c>
      <c r="Y7" s="45">
        <f>AA7/5+1850.1</f>
        <v/>
      </c>
      <c r="Z7" s="65" t="n">
        <v>487</v>
      </c>
      <c r="AA7" s="74" t="n">
        <v>87</v>
      </c>
      <c r="AB7" s="5" t="inlineStr">
        <is>
          <t>5M</t>
        </is>
      </c>
    </row>
    <row r="8">
      <c r="A8" s="1" t="inlineStr">
        <is>
          <t>01322541_IC_Garzas_Mir_1900</t>
        </is>
      </c>
      <c r="B8" s="65">
        <f>_xlfn.XLOOKUP(A8,'RF Parameter'!I:I,'RF Parameter'!A:A)</f>
        <v/>
      </c>
      <c r="C8" s="5">
        <f>_xlfn.XLOOKUP(A8,'RF Parameter'!I:I,'RF Parameter'!K:K)</f>
        <v/>
      </c>
      <c r="D8" s="65">
        <f>_xlfn.XLOOKUP(A8,'RF Parameter'!I:I,'RF Parameter'!AB:AB)</f>
        <v/>
      </c>
      <c r="E8" s="65">
        <f>_xlfn.XLOOKUP(A8,'RF Parameter'!I:I,'RF Parameter'!AA:AA)</f>
        <v/>
      </c>
      <c r="F8" s="5">
        <f>_xlfn.XLOOKUP(A8,'RF Parameter'!I:I,'RF Parameter'!M:M)</f>
        <v/>
      </c>
      <c r="G8" s="1">
        <f>_xlfn.XLOOKUP(A8,'RF Parameter'!I:I,'RF Parameter'!B:B)</f>
        <v/>
      </c>
      <c r="H8" s="1">
        <f>G8</f>
        <v/>
      </c>
      <c r="K8" s="45" t="n">
        <v>2254</v>
      </c>
      <c r="L8" s="1" t="n">
        <v>22541</v>
      </c>
      <c r="M8" s="65" t="inlineStr">
        <is>
          <t>No</t>
        </is>
      </c>
      <c r="N8" s="1" t="n">
        <v>716</v>
      </c>
      <c r="O8" s="1" t="n">
        <v>17</v>
      </c>
      <c r="P8" s="5" t="n">
        <v>317</v>
      </c>
      <c r="Q8" s="65" t="n">
        <v>35652</v>
      </c>
      <c r="R8" s="65" t="n">
        <v>108</v>
      </c>
      <c r="S8" s="65" t="n">
        <v>106</v>
      </c>
      <c r="T8" s="1" t="n">
        <v>22541</v>
      </c>
      <c r="U8" s="5" t="n">
        <v>30</v>
      </c>
      <c r="V8" s="1" t="n">
        <v>44.7</v>
      </c>
      <c r="W8" s="1" t="n">
        <v>34.7</v>
      </c>
      <c r="X8" s="45">
        <f>Z8/5+1850.1</f>
        <v/>
      </c>
      <c r="Y8" s="45">
        <f>AA8/5+1850.1</f>
        <v/>
      </c>
      <c r="Z8" s="65" t="n">
        <v>487</v>
      </c>
      <c r="AA8" s="74" t="n">
        <v>87</v>
      </c>
      <c r="AB8" s="5" t="inlineStr">
        <is>
          <t>5M</t>
        </is>
      </c>
    </row>
    <row r="9">
      <c r="A9" s="1" t="inlineStr">
        <is>
          <t>01322542_IC_Garzas_Mir_1900</t>
        </is>
      </c>
      <c r="B9" s="65">
        <f>_xlfn.XLOOKUP(A9,'RF Parameter'!I:I,'RF Parameter'!A:A)</f>
        <v/>
      </c>
      <c r="C9" s="5">
        <f>_xlfn.XLOOKUP(A9,'RF Parameter'!I:I,'RF Parameter'!K:K)</f>
        <v/>
      </c>
      <c r="D9" s="65">
        <f>_xlfn.XLOOKUP(A9,'RF Parameter'!I:I,'RF Parameter'!AB:AB)</f>
        <v/>
      </c>
      <c r="E9" s="65">
        <f>_xlfn.XLOOKUP(A9,'RF Parameter'!I:I,'RF Parameter'!AA:AA)</f>
        <v/>
      </c>
      <c r="F9" s="5">
        <f>_xlfn.XLOOKUP(A9,'RF Parameter'!I:I,'RF Parameter'!M:M)</f>
        <v/>
      </c>
      <c r="G9" s="1">
        <f>_xlfn.XLOOKUP(A9,'RF Parameter'!I:I,'RF Parameter'!B:B)</f>
        <v/>
      </c>
      <c r="H9" s="1">
        <f>G9</f>
        <v/>
      </c>
      <c r="K9" s="45" t="n">
        <v>2254</v>
      </c>
      <c r="L9" s="1" t="n">
        <v>22542</v>
      </c>
      <c r="M9" s="65" t="inlineStr">
        <is>
          <t>No</t>
        </is>
      </c>
      <c r="N9" s="1" t="n">
        <v>716</v>
      </c>
      <c r="O9" s="1" t="n">
        <v>17</v>
      </c>
      <c r="P9" s="5" t="n">
        <v>318</v>
      </c>
      <c r="Q9" s="65" t="n">
        <v>35652</v>
      </c>
      <c r="R9" s="65" t="n">
        <v>108</v>
      </c>
      <c r="S9" s="65" t="n">
        <v>106</v>
      </c>
      <c r="T9" s="1" t="n">
        <v>22542</v>
      </c>
      <c r="U9" s="5" t="n">
        <v>30</v>
      </c>
      <c r="V9" s="1" t="n">
        <v>44.7</v>
      </c>
      <c r="W9" s="1" t="n">
        <v>34.7</v>
      </c>
      <c r="X9" s="45">
        <f>Z9/5+1850.1</f>
        <v/>
      </c>
      <c r="Y9" s="45">
        <f>AA9/5+1850.1</f>
        <v/>
      </c>
      <c r="Z9" s="65" t="n">
        <v>487</v>
      </c>
      <c r="AA9" s="74" t="n">
        <v>87</v>
      </c>
      <c r="AB9" s="5" t="inlineStr">
        <is>
          <t>5M</t>
        </is>
      </c>
    </row>
    <row r="10">
      <c r="A10" s="1" t="inlineStr">
        <is>
          <t>01322543_IC_Garzas_Mir_1900</t>
        </is>
      </c>
      <c r="B10" s="65">
        <f>_xlfn.XLOOKUP(A10,'RF Parameter'!I:I,'RF Parameter'!A:A)</f>
        <v/>
      </c>
      <c r="C10" s="5">
        <f>_xlfn.XLOOKUP(A10,'RF Parameter'!I:I,'RF Parameter'!K:K)</f>
        <v/>
      </c>
      <c r="D10" s="65">
        <f>_xlfn.XLOOKUP(A10,'RF Parameter'!I:I,'RF Parameter'!AB:AB)</f>
        <v/>
      </c>
      <c r="E10" s="65">
        <f>_xlfn.XLOOKUP(A10,'RF Parameter'!I:I,'RF Parameter'!AA:AA)</f>
        <v/>
      </c>
      <c r="F10" s="5">
        <f>_xlfn.XLOOKUP(A10,'RF Parameter'!I:I,'RF Parameter'!M:M)</f>
        <v/>
      </c>
      <c r="G10" s="1">
        <f>_xlfn.XLOOKUP(A10,'RF Parameter'!I:I,'RF Parameter'!B:B)</f>
        <v/>
      </c>
      <c r="H10" s="1">
        <f>G10</f>
        <v/>
      </c>
      <c r="K10" s="45" t="n">
        <v>2254</v>
      </c>
      <c r="L10" s="1" t="n">
        <v>22543</v>
      </c>
      <c r="M10" s="65" t="inlineStr">
        <is>
          <t>No</t>
        </is>
      </c>
      <c r="N10" s="1" t="n">
        <v>716</v>
      </c>
      <c r="O10" s="1" t="n">
        <v>17</v>
      </c>
      <c r="P10" s="5" t="n">
        <v>319</v>
      </c>
      <c r="Q10" s="65" t="n">
        <v>35652</v>
      </c>
      <c r="R10" s="65" t="n">
        <v>108</v>
      </c>
      <c r="S10" s="65" t="n">
        <v>106</v>
      </c>
      <c r="T10" s="1" t="n">
        <v>22543</v>
      </c>
      <c r="U10" s="5" t="n">
        <v>49</v>
      </c>
      <c r="V10" s="1" t="n">
        <v>46.9</v>
      </c>
      <c r="W10" s="1" t="n">
        <v>36.9</v>
      </c>
      <c r="X10" s="45">
        <f>Z10/5+1850.1</f>
        <v/>
      </c>
      <c r="Y10" s="45">
        <f>AA10/5+1850.1</f>
        <v/>
      </c>
      <c r="Z10" s="65" t="n">
        <v>487</v>
      </c>
      <c r="AA10" s="74" t="n">
        <v>87</v>
      </c>
      <c r="AB10" s="5" t="inlineStr">
        <is>
          <t>5M</t>
        </is>
      </c>
    </row>
    <row r="11">
      <c r="A11" s="1" t="inlineStr">
        <is>
          <t>01346821_IC_Clemente_Bajo</t>
        </is>
      </c>
      <c r="B11" s="65">
        <f>_xlfn.XLOOKUP(A11,'RF Parameter'!I:I,'RF Parameter'!A:A)</f>
        <v/>
      </c>
      <c r="C11" s="5">
        <f>_xlfn.XLOOKUP(A11,'RF Parameter'!I:I,'RF Parameter'!K:K)</f>
        <v/>
      </c>
      <c r="D11" s="65">
        <f>_xlfn.XLOOKUP(A11,'RF Parameter'!I:I,'RF Parameter'!AB:AB)</f>
        <v/>
      </c>
      <c r="E11" s="65">
        <f>_xlfn.XLOOKUP(A11,'RF Parameter'!I:I,'RF Parameter'!AA:AA)</f>
        <v/>
      </c>
      <c r="F11" s="5">
        <f>_xlfn.XLOOKUP(A11,'RF Parameter'!I:I,'RF Parameter'!M:M)</f>
        <v/>
      </c>
      <c r="G11" s="1">
        <f>_xlfn.XLOOKUP(A11,'RF Parameter'!I:I,'RF Parameter'!B:B)</f>
        <v/>
      </c>
      <c r="H11" s="1">
        <f>G11</f>
        <v/>
      </c>
      <c r="K11" s="45" t="n">
        <v>4682</v>
      </c>
      <c r="L11" s="1" t="n">
        <v>46821</v>
      </c>
      <c r="M11" s="65" t="inlineStr">
        <is>
          <t>No</t>
        </is>
      </c>
      <c r="N11" s="1" t="n">
        <v>716</v>
      </c>
      <c r="O11" s="1" t="n">
        <v>17</v>
      </c>
      <c r="P11" s="5" t="n">
        <v>75</v>
      </c>
      <c r="Q11" s="65" t="n">
        <v>35652</v>
      </c>
      <c r="R11" s="65" t="n">
        <v>108</v>
      </c>
      <c r="S11" s="65" t="n">
        <v>106</v>
      </c>
      <c r="T11" s="1" t="n">
        <v>46821</v>
      </c>
      <c r="U11" s="5" t="n">
        <v>20</v>
      </c>
      <c r="V11" s="1" t="n">
        <v>43</v>
      </c>
      <c r="W11" s="1" t="n">
        <v>33</v>
      </c>
      <c r="X11" s="45">
        <f>Z11/5+1850.1</f>
        <v/>
      </c>
      <c r="Y11" s="45">
        <f>AA11/5+1850.1</f>
        <v/>
      </c>
      <c r="Z11" s="65" t="n">
        <v>487</v>
      </c>
      <c r="AA11" s="74" t="n">
        <v>87</v>
      </c>
      <c r="AB11" s="5" t="inlineStr">
        <is>
          <t>5M</t>
        </is>
      </c>
    </row>
    <row r="12">
      <c r="A12" s="1" t="inlineStr">
        <is>
          <t>01346822_IC_Clemente_Bajo</t>
        </is>
      </c>
      <c r="B12" s="65">
        <f>_xlfn.XLOOKUP(A12,'RF Parameter'!I:I,'RF Parameter'!A:A)</f>
        <v/>
      </c>
      <c r="C12" s="5">
        <f>_xlfn.XLOOKUP(A12,'RF Parameter'!I:I,'RF Parameter'!K:K)</f>
        <v/>
      </c>
      <c r="D12" s="65">
        <f>_xlfn.XLOOKUP(A12,'RF Parameter'!I:I,'RF Parameter'!AB:AB)</f>
        <v/>
      </c>
      <c r="E12" s="65">
        <f>_xlfn.XLOOKUP(A12,'RF Parameter'!I:I,'RF Parameter'!AA:AA)</f>
        <v/>
      </c>
      <c r="F12" s="5">
        <f>_xlfn.XLOOKUP(A12,'RF Parameter'!I:I,'RF Parameter'!M:M)</f>
        <v/>
      </c>
      <c r="G12" s="1">
        <f>_xlfn.XLOOKUP(A12,'RF Parameter'!I:I,'RF Parameter'!B:B)</f>
        <v/>
      </c>
      <c r="H12" s="1">
        <f>G12</f>
        <v/>
      </c>
      <c r="K12" s="45" t="n">
        <v>4682</v>
      </c>
      <c r="L12" s="1" t="n">
        <v>46822</v>
      </c>
      <c r="M12" s="65" t="inlineStr">
        <is>
          <t>No</t>
        </is>
      </c>
      <c r="N12" s="1" t="n">
        <v>716</v>
      </c>
      <c r="O12" s="1" t="n">
        <v>17</v>
      </c>
      <c r="P12" s="5" t="n">
        <v>76</v>
      </c>
      <c r="Q12" s="65" t="n">
        <v>35652</v>
      </c>
      <c r="R12" s="65" t="n">
        <v>108</v>
      </c>
      <c r="S12" s="65" t="n">
        <v>106</v>
      </c>
      <c r="T12" s="1" t="n">
        <v>46822</v>
      </c>
      <c r="U12" s="5" t="n">
        <v>20</v>
      </c>
      <c r="V12" s="1" t="n">
        <v>43</v>
      </c>
      <c r="W12" s="1" t="n">
        <v>33</v>
      </c>
      <c r="X12" s="45">
        <f>Z12/5+1850.1</f>
        <v/>
      </c>
      <c r="Y12" s="45">
        <f>AA12/5+1850.1</f>
        <v/>
      </c>
      <c r="Z12" s="65" t="n">
        <v>487</v>
      </c>
      <c r="AA12" s="74" t="n">
        <v>87</v>
      </c>
      <c r="AB12" s="5" t="inlineStr">
        <is>
          <t>5M</t>
        </is>
      </c>
    </row>
    <row r="13">
      <c r="A13" s="1" t="inlineStr">
        <is>
          <t>01346823_IC_Clemente_Bajo</t>
        </is>
      </c>
      <c r="B13" s="65">
        <f>_xlfn.XLOOKUP(A13,'RF Parameter'!I:I,'RF Parameter'!A:A)</f>
        <v/>
      </c>
      <c r="C13" s="5">
        <f>_xlfn.XLOOKUP(A13,'RF Parameter'!I:I,'RF Parameter'!K:K)</f>
        <v/>
      </c>
      <c r="D13" s="65">
        <f>_xlfn.XLOOKUP(A13,'RF Parameter'!I:I,'RF Parameter'!AB:AB)</f>
        <v/>
      </c>
      <c r="E13" s="65">
        <f>_xlfn.XLOOKUP(A13,'RF Parameter'!I:I,'RF Parameter'!AA:AA)</f>
        <v/>
      </c>
      <c r="F13" s="5">
        <f>_xlfn.XLOOKUP(A13,'RF Parameter'!I:I,'RF Parameter'!M:M)</f>
        <v/>
      </c>
      <c r="G13" s="1">
        <f>_xlfn.XLOOKUP(A13,'RF Parameter'!I:I,'RF Parameter'!B:B)</f>
        <v/>
      </c>
      <c r="H13" s="1">
        <f>G13</f>
        <v/>
      </c>
      <c r="K13" s="45" t="n">
        <v>4682</v>
      </c>
      <c r="L13" s="1" t="n">
        <v>46823</v>
      </c>
      <c r="M13" s="65" t="inlineStr">
        <is>
          <t>No</t>
        </is>
      </c>
      <c r="N13" s="1" t="n">
        <v>716</v>
      </c>
      <c r="O13" s="1" t="n">
        <v>17</v>
      </c>
      <c r="P13" s="5" t="n">
        <v>77</v>
      </c>
      <c r="Q13" s="65" t="n">
        <v>35652</v>
      </c>
      <c r="R13" s="65" t="n">
        <v>108</v>
      </c>
      <c r="S13" s="65" t="n">
        <v>106</v>
      </c>
      <c r="T13" s="1" t="n">
        <v>46823</v>
      </c>
      <c r="U13" s="5" t="n">
        <v>20</v>
      </c>
      <c r="V13" s="1" t="n">
        <v>43</v>
      </c>
      <c r="W13" s="1" t="n">
        <v>33</v>
      </c>
      <c r="X13" s="45">
        <f>Z13/5+1850.1</f>
        <v/>
      </c>
      <c r="Y13" s="45">
        <f>AA13/5+1850.1</f>
        <v/>
      </c>
      <c r="Z13" s="65" t="n">
        <v>487</v>
      </c>
      <c r="AA13" s="74" t="n">
        <v>87</v>
      </c>
      <c r="AB13" s="5" t="inlineStr">
        <is>
          <t>5M</t>
        </is>
      </c>
    </row>
    <row r="14">
      <c r="A14" s="1" t="inlineStr">
        <is>
          <t>01346911_IC_Villa_Amaru</t>
        </is>
      </c>
      <c r="B14" s="65">
        <f>_xlfn.XLOOKUP(A14,'RF Parameter'!I:I,'RF Parameter'!A:A)</f>
        <v/>
      </c>
      <c r="C14" s="5">
        <f>_xlfn.XLOOKUP(A14,'RF Parameter'!I:I,'RF Parameter'!K:K)</f>
        <v/>
      </c>
      <c r="D14" s="65">
        <f>_xlfn.XLOOKUP(A14,'RF Parameter'!I:I,'RF Parameter'!AB:AB)</f>
        <v/>
      </c>
      <c r="E14" s="65">
        <f>_xlfn.XLOOKUP(A14,'RF Parameter'!I:I,'RF Parameter'!AA:AA)</f>
        <v/>
      </c>
      <c r="F14" s="5">
        <f>_xlfn.XLOOKUP(A14,'RF Parameter'!I:I,'RF Parameter'!M:M)</f>
        <v/>
      </c>
      <c r="G14" s="1">
        <f>_xlfn.XLOOKUP(A14,'RF Parameter'!I:I,'RF Parameter'!B:B)</f>
        <v/>
      </c>
      <c r="H14" s="1">
        <f>G14</f>
        <v/>
      </c>
      <c r="K14" s="45" t="n">
        <v>4691</v>
      </c>
      <c r="L14" s="1" t="n">
        <v>46911</v>
      </c>
      <c r="M14" s="65" t="inlineStr">
        <is>
          <t>No</t>
        </is>
      </c>
      <c r="N14" s="1" t="n">
        <v>716</v>
      </c>
      <c r="O14" s="1" t="n">
        <v>17</v>
      </c>
      <c r="P14" s="5" t="n">
        <v>51</v>
      </c>
      <c r="Q14" s="65" t="n">
        <v>35652</v>
      </c>
      <c r="R14" s="65" t="n">
        <v>108</v>
      </c>
      <c r="S14" s="65" t="n">
        <v>106</v>
      </c>
      <c r="T14" s="1" t="n">
        <v>46911</v>
      </c>
      <c r="U14" s="5" t="n">
        <v>20</v>
      </c>
      <c r="V14" s="1" t="n">
        <v>43</v>
      </c>
      <c r="W14" s="1" t="n">
        <v>33</v>
      </c>
      <c r="X14" s="45">
        <f>Z14/5+1850.1</f>
        <v/>
      </c>
      <c r="Y14" s="45">
        <f>AA14/5+1850.1</f>
        <v/>
      </c>
      <c r="Z14" s="65" t="n">
        <v>487</v>
      </c>
      <c r="AA14" s="74" t="n">
        <v>87</v>
      </c>
      <c r="AB14" s="5" t="inlineStr">
        <is>
          <t>5M</t>
        </is>
      </c>
    </row>
    <row r="15">
      <c r="A15" s="1" t="inlineStr">
        <is>
          <t>01346912_IC_Villa_Amaru</t>
        </is>
      </c>
      <c r="B15" s="65">
        <f>_xlfn.XLOOKUP(A15,'RF Parameter'!I:I,'RF Parameter'!A:A)</f>
        <v/>
      </c>
      <c r="C15" s="5">
        <f>_xlfn.XLOOKUP(A15,'RF Parameter'!I:I,'RF Parameter'!K:K)</f>
        <v/>
      </c>
      <c r="D15" s="65">
        <f>_xlfn.XLOOKUP(A15,'RF Parameter'!I:I,'RF Parameter'!AB:AB)</f>
        <v/>
      </c>
      <c r="E15" s="65">
        <f>_xlfn.XLOOKUP(A15,'RF Parameter'!I:I,'RF Parameter'!AA:AA)</f>
        <v/>
      </c>
      <c r="F15" s="5">
        <f>_xlfn.XLOOKUP(A15,'RF Parameter'!I:I,'RF Parameter'!M:M)</f>
        <v/>
      </c>
      <c r="G15" s="1">
        <f>_xlfn.XLOOKUP(A15,'RF Parameter'!I:I,'RF Parameter'!B:B)</f>
        <v/>
      </c>
      <c r="H15" s="1">
        <f>G15</f>
        <v/>
      </c>
      <c r="K15" s="45" t="n">
        <v>4691</v>
      </c>
      <c r="L15" s="1" t="n">
        <v>46912</v>
      </c>
      <c r="M15" s="65" t="inlineStr">
        <is>
          <t>No</t>
        </is>
      </c>
      <c r="N15" s="1" t="n">
        <v>716</v>
      </c>
      <c r="O15" s="1" t="n">
        <v>17</v>
      </c>
      <c r="P15" s="5" t="n">
        <v>52</v>
      </c>
      <c r="Q15" s="65" t="n">
        <v>35652</v>
      </c>
      <c r="R15" s="65" t="n">
        <v>108</v>
      </c>
      <c r="S15" s="65" t="n">
        <v>106</v>
      </c>
      <c r="T15" s="1" t="n">
        <v>46912</v>
      </c>
      <c r="U15" s="5" t="n">
        <v>20</v>
      </c>
      <c r="V15" s="1" t="n">
        <v>43</v>
      </c>
      <c r="W15" s="1" t="n">
        <v>33</v>
      </c>
      <c r="X15" s="45">
        <f>Z15/5+1850.1</f>
        <v/>
      </c>
      <c r="Y15" s="45">
        <f>AA15/5+1850.1</f>
        <v/>
      </c>
      <c r="Z15" s="65" t="n">
        <v>487</v>
      </c>
      <c r="AA15" s="74" t="n">
        <v>87</v>
      </c>
      <c r="AB15" s="5" t="inlineStr">
        <is>
          <t>5M</t>
        </is>
      </c>
    </row>
    <row r="16">
      <c r="A16" s="1" t="inlineStr">
        <is>
          <t>01346913_IC_Villa_Amaru</t>
        </is>
      </c>
      <c r="B16" s="65">
        <f>_xlfn.XLOOKUP(A16,'RF Parameter'!I:I,'RF Parameter'!A:A)</f>
        <v/>
      </c>
      <c r="C16" s="5">
        <f>_xlfn.XLOOKUP(A16,'RF Parameter'!I:I,'RF Parameter'!K:K)</f>
        <v/>
      </c>
      <c r="D16" s="65">
        <f>_xlfn.XLOOKUP(A16,'RF Parameter'!I:I,'RF Parameter'!AB:AB)</f>
        <v/>
      </c>
      <c r="E16" s="65">
        <f>_xlfn.XLOOKUP(A16,'RF Parameter'!I:I,'RF Parameter'!AA:AA)</f>
        <v/>
      </c>
      <c r="F16" s="5">
        <f>_xlfn.XLOOKUP(A16,'RF Parameter'!I:I,'RF Parameter'!M:M)</f>
        <v/>
      </c>
      <c r="G16" s="1">
        <f>_xlfn.XLOOKUP(A16,'RF Parameter'!I:I,'RF Parameter'!B:B)</f>
        <v/>
      </c>
      <c r="H16" s="1">
        <f>G16</f>
        <v/>
      </c>
      <c r="K16" s="45" t="n">
        <v>4691</v>
      </c>
      <c r="L16" s="1" t="n">
        <v>46913</v>
      </c>
      <c r="M16" s="65" t="inlineStr">
        <is>
          <t>No</t>
        </is>
      </c>
      <c r="N16" s="1" t="n">
        <v>716</v>
      </c>
      <c r="O16" s="1" t="n">
        <v>17</v>
      </c>
      <c r="P16" s="5" t="n">
        <v>53</v>
      </c>
      <c r="Q16" s="65" t="n">
        <v>35652</v>
      </c>
      <c r="R16" s="65" t="n">
        <v>108</v>
      </c>
      <c r="S16" s="65" t="n">
        <v>106</v>
      </c>
      <c r="T16" s="1" t="n">
        <v>46913</v>
      </c>
      <c r="U16" s="5" t="n">
        <v>20</v>
      </c>
      <c r="V16" s="1" t="n">
        <v>43</v>
      </c>
      <c r="W16" s="1" t="n">
        <v>33</v>
      </c>
      <c r="X16" s="45">
        <f>Z16/5+1850.1</f>
        <v/>
      </c>
      <c r="Y16" s="45">
        <f>AA16/5+1850.1</f>
        <v/>
      </c>
      <c r="Z16" s="65" t="n">
        <v>487</v>
      </c>
      <c r="AA16" s="74" t="n">
        <v>87</v>
      </c>
      <c r="AB16" s="5" t="inlineStr">
        <is>
          <t>5M</t>
        </is>
      </c>
    </row>
  </sheetData>
  <autoFilter ref="A1:AB16"/>
  <conditionalFormatting sqref="Z1:AA1">
    <cfRule type="duplicateValues" priority="718" dxfId="0"/>
  </conditionalFormatting>
  <conditionalFormatting sqref="A1 C1 F1:M1 P1:Y1 AB1">
    <cfRule type="duplicateValues" priority="1451" dxfId="0"/>
  </conditionalFormatting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34" filterMode="1">
    <outlinePr summaryBelow="1" summaryRight="1"/>
    <pageSetUpPr/>
  </sheetPr>
  <dimension ref="A1:AH85"/>
  <sheetViews>
    <sheetView zoomScale="85" zoomScaleNormal="85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N1" sqref="N1"/>
    </sheetView>
  </sheetViews>
  <sheetFormatPr baseColWidth="8" defaultColWidth="9.723809523809519" defaultRowHeight="12"/>
  <cols>
    <col width="32.5047619047619" customWidth="1" style="44" min="1" max="1"/>
    <col width="34.2190476190476" customWidth="1" style="45" min="2" max="2"/>
    <col width="7.90476190476191" customWidth="1" style="45" min="3" max="3"/>
    <col width="9.723809523809519" customWidth="1" style="44" min="4" max="4"/>
    <col width="15.1809523809524" customWidth="1" style="44" min="5" max="5"/>
    <col width="15" customWidth="1" style="44" min="6" max="6"/>
    <col width="37.2190476190476" customWidth="1" style="44" min="7" max="7"/>
    <col width="12.2952380952381" customWidth="1" style="45" min="8" max="9"/>
    <col width="29.8190476190476" customWidth="1" style="44" min="10" max="10"/>
    <col width="16.0380952380952" customWidth="1" style="44" min="11" max="11"/>
    <col width="9.723809523809519" customWidth="1" style="45" min="12" max="13"/>
    <col width="11.8761904761905" customWidth="1" style="44" min="14" max="14"/>
    <col width="9.40952380952381" customWidth="1" style="44" min="15" max="15"/>
    <col width="16.0380952380952" customWidth="1" style="44" min="16" max="16"/>
    <col width="9.723809523809519" customWidth="1" style="45" min="17" max="17"/>
    <col width="9.361904761904761" customWidth="1" style="45" min="18" max="19"/>
    <col width="15" customWidth="1" style="45" min="20" max="23"/>
    <col width="17" customWidth="1" style="44" min="24" max="24"/>
    <col width="14.8666666666667" customWidth="1" style="44" min="25" max="25"/>
    <col width="12.7238095238095" customWidth="1" style="44" min="26" max="26"/>
    <col width="9.723809523809519" customWidth="1" style="44" min="27" max="27"/>
    <col width="14.752380952381" customWidth="1" style="44" min="28" max="30"/>
    <col width="18.2952380952381" customWidth="1" style="44" min="31" max="31"/>
    <col width="9.361904761904761" customWidth="1" style="45" min="32" max="32"/>
    <col width="18.2857142857143" customWidth="1" style="45" min="33" max="33"/>
    <col width="9.723809523809519" customWidth="1" style="45" min="34" max="34"/>
    <col width="9.723809523809519" customWidth="1" style="45" min="35" max="16384"/>
  </cols>
  <sheetData>
    <row r="1" ht="36" customFormat="1" customHeight="1" s="56">
      <c r="A1" s="46" t="inlineStr">
        <is>
          <t>Cell Name</t>
        </is>
      </c>
      <c r="B1" s="62" t="inlineStr">
        <is>
          <t>Site Name</t>
        </is>
      </c>
      <c r="C1" s="62" t="inlineStr">
        <is>
          <t>FMM</t>
        </is>
      </c>
      <c r="D1" s="62" t="inlineStr">
        <is>
          <t>Sector ID</t>
        </is>
      </c>
      <c r="E1" s="62" t="inlineStr">
        <is>
          <t>RRU Type</t>
        </is>
      </c>
      <c r="F1" s="62" t="inlineStr">
        <is>
          <t>TX/RX mode</t>
        </is>
      </c>
      <c r="G1" s="62" t="inlineStr">
        <is>
          <t>NE Name</t>
        </is>
      </c>
      <c r="H1" s="61" t="inlineStr">
        <is>
          <t>Band</t>
        </is>
      </c>
      <c r="I1" s="61" t="inlineStr">
        <is>
          <t>CrsPortNum</t>
        </is>
      </c>
      <c r="J1" s="46" t="inlineStr">
        <is>
          <t>eNodeB Name</t>
        </is>
      </c>
      <c r="K1" s="49" t="inlineStr">
        <is>
          <t>MORAN</t>
        </is>
      </c>
      <c r="L1" s="51" t="inlineStr">
        <is>
          <t>MCC</t>
        </is>
      </c>
      <c r="M1" s="51" t="inlineStr">
        <is>
          <t>MNC</t>
        </is>
      </c>
      <c r="N1" s="51" t="inlineStr">
        <is>
          <t>eNodeB ID</t>
        </is>
      </c>
      <c r="O1" s="55" t="inlineStr">
        <is>
          <t>CI</t>
        </is>
      </c>
      <c r="P1" s="53" t="inlineStr">
        <is>
          <t>Bandwidth(Mhz)</t>
        </is>
      </c>
      <c r="Q1" s="51" t="inlineStr">
        <is>
          <t>PCI</t>
        </is>
      </c>
      <c r="R1" s="51" t="inlineStr">
        <is>
          <t>TAC</t>
        </is>
      </c>
      <c r="S1" s="51" t="inlineStr">
        <is>
          <t>TAL</t>
        </is>
      </c>
      <c r="T1" s="55" t="inlineStr">
        <is>
          <t>DL Center Frequency</t>
        </is>
      </c>
      <c r="U1" s="55" t="inlineStr">
        <is>
          <t>UL Center Frequency</t>
        </is>
      </c>
      <c r="V1" s="55" t="inlineStr">
        <is>
          <t>DL UARFCN</t>
        </is>
      </c>
      <c r="W1" s="55" t="inlineStr">
        <is>
          <t>UL UARFCN</t>
        </is>
      </c>
      <c r="X1" s="55" t="inlineStr">
        <is>
          <t>RS Power(dBm)</t>
        </is>
      </c>
      <c r="Y1" s="55" t="inlineStr">
        <is>
          <t>TX Power/Port(W)</t>
        </is>
      </c>
      <c r="Z1" s="55" t="inlineStr">
        <is>
          <t>Pa</t>
        </is>
      </c>
      <c r="AA1" s="51" t="inlineStr">
        <is>
          <t>Pb</t>
        </is>
      </c>
      <c r="AB1" s="59" t="inlineStr">
        <is>
          <t>Cell Totally Power(W)</t>
        </is>
      </c>
      <c r="AC1" s="60" t="inlineStr">
        <is>
          <t>Uplink-Downlink Subframe Configuration</t>
        </is>
      </c>
      <c r="AD1" s="60" t="inlineStr">
        <is>
          <t>Special Subframe Configuration</t>
        </is>
      </c>
      <c r="AE1" s="61" t="inlineStr">
        <is>
          <t>PreambleFmt</t>
        </is>
      </c>
      <c r="AF1" s="62" t="inlineStr">
        <is>
          <t>Ncs</t>
        </is>
      </c>
      <c r="AG1" s="62" t="inlineStr">
        <is>
          <t>PrachConfIndex</t>
        </is>
      </c>
      <c r="AH1" s="62" t="inlineStr">
        <is>
          <t>RSI</t>
        </is>
      </c>
    </row>
    <row r="2" hidden="1" ht="12.75" customHeight="1" s="99">
      <c r="A2" s="56" t="inlineStr">
        <is>
          <t>01708171_IC_Pisco</t>
        </is>
      </c>
      <c r="B2" s="45">
        <f>_xlfn.XLOOKUP(A2,'RF Parameter'!I:I,'RF Parameter'!A:A)</f>
        <v/>
      </c>
      <c r="C2" s="45">
        <f>_xlfn.XLOOKUP(A2,'RF Parameter'!I:I,'RF Parameter'!E:E)</f>
        <v/>
      </c>
      <c r="D2" s="44">
        <f>_xlfn.XLOOKUP(A2,'RF Parameter'!I:I,'RF Parameter'!K:K)</f>
        <v/>
      </c>
      <c r="E2" s="44">
        <f>_xlfn.XLOOKUP(A2,'RF Parameter'!I:I,'RF Parameter'!AB:AB)</f>
        <v/>
      </c>
      <c r="F2" s="44">
        <f>_xlfn.XLOOKUP(A2,'RF Parameter'!I:I,'RF Parameter'!AA:AA)</f>
        <v/>
      </c>
      <c r="G2" s="44">
        <f>_xlfn.XLOOKUP(A2,'RF Parameter'!I:I,'RF Parameter'!B:B)</f>
        <v/>
      </c>
      <c r="H2" s="45">
        <f>_xlfn.XLOOKUP(A2,'RF Parameter'!I:I,'RF Parameter'!M:M)</f>
        <v/>
      </c>
      <c r="I2" s="45" t="n">
        <v>4</v>
      </c>
      <c r="J2" s="44">
        <f>G2</f>
        <v/>
      </c>
      <c r="K2" s="44" t="inlineStr">
        <is>
          <t>-</t>
        </is>
      </c>
      <c r="L2" s="56" t="n">
        <v>716</v>
      </c>
      <c r="M2" s="56" t="n">
        <v>17</v>
      </c>
      <c r="N2" s="44" t="n">
        <v>817</v>
      </c>
      <c r="O2" s="44" t="n">
        <v>71</v>
      </c>
      <c r="P2" s="44" t="inlineStr">
        <is>
          <t>15M</t>
        </is>
      </c>
      <c r="Q2" s="45" t="n">
        <v>27</v>
      </c>
      <c r="R2" s="56" t="n">
        <v>903</v>
      </c>
      <c r="S2" s="57" t="n">
        <v>45652</v>
      </c>
      <c r="T2" s="56" t="n">
        <v>765.5</v>
      </c>
      <c r="U2" s="56" t="n">
        <v>710.5</v>
      </c>
      <c r="V2" s="56" t="n">
        <v>9285</v>
      </c>
      <c r="W2" s="56" t="n">
        <v>27285</v>
      </c>
      <c r="X2" s="44" t="n">
        <v>14.2</v>
      </c>
      <c r="Y2" s="44">
        <f>ROUNDUP((10^((X2+Z2)/10)/1000)*LEFT(P2,2)*5*12,0)</f>
        <v/>
      </c>
      <c r="Z2" s="44" t="n">
        <v>0</v>
      </c>
      <c r="AA2" s="44" t="n">
        <v>0</v>
      </c>
      <c r="AB2" s="44">
        <f>Y2*I2</f>
        <v/>
      </c>
      <c r="AC2" s="44" t="inlineStr">
        <is>
          <t>-</t>
        </is>
      </c>
      <c r="AD2" s="44" t="inlineStr">
        <is>
          <t>-</t>
        </is>
      </c>
      <c r="AE2" s="44" t="n">
        <v>0</v>
      </c>
      <c r="AF2" s="45" t="n">
        <v>10</v>
      </c>
      <c r="AG2" s="45" t="n">
        <v>3</v>
      </c>
      <c r="AH2" s="45" t="n">
        <v>184</v>
      </c>
    </row>
    <row r="3" hidden="1" ht="12.75" customHeight="1" s="99">
      <c r="A3" s="56" t="inlineStr">
        <is>
          <t>01708172_IC_Pisco</t>
        </is>
      </c>
      <c r="B3" s="45">
        <f>_xlfn.XLOOKUP(A3,'RF Parameter'!I:I,'RF Parameter'!A:A)</f>
        <v/>
      </c>
      <c r="C3" s="45">
        <f>_xlfn.XLOOKUP(A3,'RF Parameter'!I:I,'RF Parameter'!E:E)</f>
        <v/>
      </c>
      <c r="D3" s="44">
        <f>_xlfn.XLOOKUP(A3,'RF Parameter'!I:I,'RF Parameter'!K:K)</f>
        <v/>
      </c>
      <c r="E3" s="44">
        <f>_xlfn.XLOOKUP(A3,'RF Parameter'!I:I,'RF Parameter'!AB:AB)</f>
        <v/>
      </c>
      <c r="F3" s="44">
        <f>_xlfn.XLOOKUP(A3,'RF Parameter'!I:I,'RF Parameter'!AA:AA)</f>
        <v/>
      </c>
      <c r="G3" s="44">
        <f>_xlfn.XLOOKUP(A3,'RF Parameter'!I:I,'RF Parameter'!B:B)</f>
        <v/>
      </c>
      <c r="H3" s="45">
        <f>_xlfn.XLOOKUP(A3,'RF Parameter'!I:I,'RF Parameter'!M:M)</f>
        <v/>
      </c>
      <c r="I3" s="45" t="n">
        <v>4</v>
      </c>
      <c r="J3" s="44">
        <f>G3</f>
        <v/>
      </c>
      <c r="K3" s="44" t="inlineStr">
        <is>
          <t>-</t>
        </is>
      </c>
      <c r="L3" s="56" t="n">
        <v>716</v>
      </c>
      <c r="M3" s="56" t="n">
        <v>17</v>
      </c>
      <c r="N3" s="44" t="n">
        <v>817</v>
      </c>
      <c r="O3" s="44" t="n">
        <v>72</v>
      </c>
      <c r="P3" s="44" t="inlineStr">
        <is>
          <t>15M</t>
        </is>
      </c>
      <c r="Q3" s="45" t="n">
        <v>28</v>
      </c>
      <c r="R3" s="56" t="n">
        <v>903</v>
      </c>
      <c r="S3" s="57" t="n">
        <v>45652</v>
      </c>
      <c r="T3" s="56" t="n">
        <v>765.5</v>
      </c>
      <c r="U3" s="56" t="n">
        <v>710.5</v>
      </c>
      <c r="V3" s="56" t="n">
        <v>9285</v>
      </c>
      <c r="W3" s="56" t="n">
        <v>27285</v>
      </c>
      <c r="X3" s="44" t="n">
        <v>12.2</v>
      </c>
      <c r="Y3" s="44">
        <f>ROUNDUP((10^((X3+Z3)/10)/1000)*LEFT(P3,2)*5*12,0)</f>
        <v/>
      </c>
      <c r="Z3" s="44" t="n">
        <v>3</v>
      </c>
      <c r="AA3" s="44" t="n">
        <v>0</v>
      </c>
      <c r="AB3" s="44">
        <f>Y3*I3</f>
        <v/>
      </c>
      <c r="AC3" s="44" t="inlineStr">
        <is>
          <t>-</t>
        </is>
      </c>
      <c r="AD3" s="44" t="inlineStr">
        <is>
          <t>-</t>
        </is>
      </c>
      <c r="AE3" s="44" t="n">
        <v>0</v>
      </c>
      <c r="AF3" s="45" t="n">
        <v>10</v>
      </c>
      <c r="AG3" s="45" t="n">
        <v>3</v>
      </c>
      <c r="AH3" s="45" t="n">
        <v>208</v>
      </c>
    </row>
    <row r="4" hidden="1" ht="12.75" customHeight="1" s="99">
      <c r="A4" s="56" t="inlineStr">
        <is>
          <t>01708173_IC_Pisco</t>
        </is>
      </c>
      <c r="B4" s="45">
        <f>_xlfn.XLOOKUP(A4,'RF Parameter'!I:I,'RF Parameter'!A:A)</f>
        <v/>
      </c>
      <c r="C4" s="45">
        <f>_xlfn.XLOOKUP(A4,'RF Parameter'!I:I,'RF Parameter'!E:E)</f>
        <v/>
      </c>
      <c r="D4" s="44">
        <f>_xlfn.XLOOKUP(A4,'RF Parameter'!I:I,'RF Parameter'!K:K)</f>
        <v/>
      </c>
      <c r="E4" s="44">
        <f>_xlfn.XLOOKUP(A4,'RF Parameter'!I:I,'RF Parameter'!AB:AB)</f>
        <v/>
      </c>
      <c r="F4" s="44">
        <f>_xlfn.XLOOKUP(A4,'RF Parameter'!I:I,'RF Parameter'!AA:AA)</f>
        <v/>
      </c>
      <c r="G4" s="44">
        <f>_xlfn.XLOOKUP(A4,'RF Parameter'!I:I,'RF Parameter'!B:B)</f>
        <v/>
      </c>
      <c r="H4" s="45">
        <f>_xlfn.XLOOKUP(A4,'RF Parameter'!I:I,'RF Parameter'!M:M)</f>
        <v/>
      </c>
      <c r="I4" s="45" t="n">
        <v>4</v>
      </c>
      <c r="J4" s="44">
        <f>G4</f>
        <v/>
      </c>
      <c r="K4" s="44" t="inlineStr">
        <is>
          <t>-</t>
        </is>
      </c>
      <c r="L4" s="56" t="n">
        <v>716</v>
      </c>
      <c r="M4" s="56" t="n">
        <v>17</v>
      </c>
      <c r="N4" s="44" t="n">
        <v>817</v>
      </c>
      <c r="O4" s="44" t="n">
        <v>73</v>
      </c>
      <c r="P4" s="44" t="inlineStr">
        <is>
          <t>15M</t>
        </is>
      </c>
      <c r="Q4" s="45" t="n">
        <v>29</v>
      </c>
      <c r="R4" s="56" t="n">
        <v>903</v>
      </c>
      <c r="S4" s="57" t="n">
        <v>45652</v>
      </c>
      <c r="T4" s="56" t="n">
        <v>765.5</v>
      </c>
      <c r="U4" s="56" t="n">
        <v>710.5</v>
      </c>
      <c r="V4" s="56" t="n">
        <v>9285</v>
      </c>
      <c r="W4" s="56" t="n">
        <v>27285</v>
      </c>
      <c r="X4" s="44" t="n">
        <v>12.2</v>
      </c>
      <c r="Y4" s="44">
        <f>ROUNDUP((10^((X4+Z4)/10)/1000)*LEFT(P4,2)*5*12,0)</f>
        <v/>
      </c>
      <c r="Z4" s="44" t="n">
        <v>3</v>
      </c>
      <c r="AA4" s="44" t="n">
        <v>0</v>
      </c>
      <c r="AB4" s="44">
        <f>Y4*I4</f>
        <v/>
      </c>
      <c r="AC4" s="44" t="inlineStr">
        <is>
          <t>-</t>
        </is>
      </c>
      <c r="AD4" s="44" t="inlineStr">
        <is>
          <t>-</t>
        </is>
      </c>
      <c r="AE4" s="44" t="n">
        <v>0</v>
      </c>
      <c r="AF4" s="45" t="n">
        <v>10</v>
      </c>
      <c r="AG4" s="45" t="n">
        <v>3</v>
      </c>
      <c r="AH4" s="45" t="n">
        <v>216</v>
      </c>
    </row>
    <row r="5" hidden="1" ht="12.75" customHeight="1" s="99">
      <c r="A5" s="56" t="inlineStr">
        <is>
          <t>01408171_IC_Pisco</t>
        </is>
      </c>
      <c r="B5" s="45">
        <f>_xlfn.XLOOKUP(A5,'RF Parameter'!I:I,'RF Parameter'!A:A)</f>
        <v/>
      </c>
      <c r="C5" s="45">
        <f>_xlfn.XLOOKUP(A5,'RF Parameter'!I:I,'RF Parameter'!E:E)</f>
        <v/>
      </c>
      <c r="D5" s="44">
        <f>_xlfn.XLOOKUP(A5,'RF Parameter'!I:I,'RF Parameter'!K:K)</f>
        <v/>
      </c>
      <c r="E5" s="44">
        <f>_xlfn.XLOOKUP(A5,'RF Parameter'!I:I,'RF Parameter'!AB:AB)</f>
        <v/>
      </c>
      <c r="F5" s="44">
        <f>_xlfn.XLOOKUP(A5,'RF Parameter'!I:I,'RF Parameter'!AA:AA)</f>
        <v/>
      </c>
      <c r="G5" s="44">
        <f>_xlfn.XLOOKUP(A5,'RF Parameter'!I:I,'RF Parameter'!B:B)</f>
        <v/>
      </c>
      <c r="H5" s="45">
        <f>_xlfn.XLOOKUP(A5,'RF Parameter'!I:I,'RF Parameter'!M:M)</f>
        <v/>
      </c>
      <c r="I5" s="45" t="n">
        <v>4</v>
      </c>
      <c r="J5" s="44">
        <f>G5</f>
        <v/>
      </c>
      <c r="K5" s="44" t="inlineStr">
        <is>
          <t>-</t>
        </is>
      </c>
      <c r="L5" s="56" t="n">
        <v>716</v>
      </c>
      <c r="M5" s="56" t="n">
        <v>17</v>
      </c>
      <c r="N5" s="44" t="n">
        <v>817</v>
      </c>
      <c r="O5" s="44" t="n">
        <v>1</v>
      </c>
      <c r="P5" s="44" t="inlineStr">
        <is>
          <t>20M</t>
        </is>
      </c>
      <c r="Q5" s="45" t="n">
        <v>384</v>
      </c>
      <c r="R5" s="56" t="n">
        <v>903</v>
      </c>
      <c r="S5" s="57" t="n">
        <v>45652</v>
      </c>
      <c r="T5" s="45" t="n">
        <v>2140</v>
      </c>
      <c r="U5" s="45" t="n">
        <v>1740</v>
      </c>
      <c r="V5" s="45" t="n">
        <v>2250</v>
      </c>
      <c r="W5" s="45" t="n">
        <v>20250</v>
      </c>
      <c r="X5" s="44" t="n">
        <v>18</v>
      </c>
      <c r="Y5" s="44">
        <f>ROUNDUP((10^((X5+Z5)/10)/1000)*LEFT(P5,2)*5*12,0)</f>
        <v/>
      </c>
      <c r="Z5" s="44" t="n">
        <v>-3</v>
      </c>
      <c r="AA5" s="44" t="n">
        <v>1</v>
      </c>
      <c r="AB5" s="44">
        <f>Y5*I5</f>
        <v/>
      </c>
      <c r="AC5" s="44" t="inlineStr">
        <is>
          <t>-</t>
        </is>
      </c>
      <c r="AD5" s="44" t="inlineStr">
        <is>
          <t>-</t>
        </is>
      </c>
      <c r="AE5" s="44" t="n">
        <v>0</v>
      </c>
      <c r="AF5" s="45" t="n">
        <v>10</v>
      </c>
      <c r="AG5" s="45" t="n">
        <v>3</v>
      </c>
      <c r="AH5" s="45" t="n">
        <v>520</v>
      </c>
    </row>
    <row r="6" hidden="1" ht="12.75" customHeight="1" s="99">
      <c r="A6" s="56" t="inlineStr">
        <is>
          <t>01408172_IC_Pisco</t>
        </is>
      </c>
      <c r="B6" s="45">
        <f>_xlfn.XLOOKUP(A6,'RF Parameter'!I:I,'RF Parameter'!A:A)</f>
        <v/>
      </c>
      <c r="C6" s="45">
        <f>_xlfn.XLOOKUP(A6,'RF Parameter'!I:I,'RF Parameter'!E:E)</f>
        <v/>
      </c>
      <c r="D6" s="44">
        <f>_xlfn.XLOOKUP(A6,'RF Parameter'!I:I,'RF Parameter'!K:K)</f>
        <v/>
      </c>
      <c r="E6" s="44">
        <f>_xlfn.XLOOKUP(A6,'RF Parameter'!I:I,'RF Parameter'!AB:AB)</f>
        <v/>
      </c>
      <c r="F6" s="44">
        <f>_xlfn.XLOOKUP(A6,'RF Parameter'!I:I,'RF Parameter'!AA:AA)</f>
        <v/>
      </c>
      <c r="G6" s="44">
        <f>_xlfn.XLOOKUP(A6,'RF Parameter'!I:I,'RF Parameter'!B:B)</f>
        <v/>
      </c>
      <c r="H6" s="45">
        <f>_xlfn.XLOOKUP(A6,'RF Parameter'!I:I,'RF Parameter'!M:M)</f>
        <v/>
      </c>
      <c r="I6" s="45" t="n">
        <v>4</v>
      </c>
      <c r="J6" s="44">
        <f>G6</f>
        <v/>
      </c>
      <c r="K6" s="44" t="inlineStr">
        <is>
          <t>-</t>
        </is>
      </c>
      <c r="L6" s="56" t="n">
        <v>716</v>
      </c>
      <c r="M6" s="56" t="n">
        <v>17</v>
      </c>
      <c r="N6" s="44" t="n">
        <v>817</v>
      </c>
      <c r="O6" s="44" t="n">
        <v>2</v>
      </c>
      <c r="P6" s="44" t="inlineStr">
        <is>
          <t>20M</t>
        </is>
      </c>
      <c r="Q6" s="45" t="n">
        <v>385</v>
      </c>
      <c r="R6" s="56" t="n">
        <v>903</v>
      </c>
      <c r="S6" s="57" t="n">
        <v>45652</v>
      </c>
      <c r="T6" s="45" t="n">
        <v>2140</v>
      </c>
      <c r="U6" s="45" t="n">
        <v>1740</v>
      </c>
      <c r="V6" s="45" t="n">
        <v>2250</v>
      </c>
      <c r="W6" s="45" t="n">
        <v>20250</v>
      </c>
      <c r="X6" s="44" t="n">
        <v>15.2</v>
      </c>
      <c r="Y6" s="44">
        <f>ROUNDUP((10^((X6+Z6)/10)/1000)*LEFT(P6,2)*5*12,0)</f>
        <v/>
      </c>
      <c r="Z6" s="44" t="n">
        <v>-3</v>
      </c>
      <c r="AA6" s="44" t="n">
        <v>1</v>
      </c>
      <c r="AB6" s="44">
        <f>Y6*I6</f>
        <v/>
      </c>
      <c r="AC6" s="44" t="inlineStr">
        <is>
          <t>-</t>
        </is>
      </c>
      <c r="AD6" s="44" t="inlineStr">
        <is>
          <t>-</t>
        </is>
      </c>
      <c r="AE6" s="44" t="n">
        <v>0</v>
      </c>
      <c r="AF6" s="45" t="n">
        <v>10</v>
      </c>
      <c r="AG6" s="45" t="n">
        <v>3</v>
      </c>
      <c r="AH6" s="45" t="n">
        <v>16</v>
      </c>
    </row>
    <row r="7" hidden="1" ht="12.75" customHeight="1" s="99">
      <c r="A7" s="56" t="inlineStr">
        <is>
          <t>01408177_IC_Pisco</t>
        </is>
      </c>
      <c r="B7" s="45">
        <f>_xlfn.XLOOKUP(A7,'RF Parameter'!I:I,'RF Parameter'!A:A)</f>
        <v/>
      </c>
      <c r="C7" s="45">
        <f>_xlfn.XLOOKUP(A7,'RF Parameter'!I:I,'RF Parameter'!E:E)</f>
        <v/>
      </c>
      <c r="D7" s="44">
        <f>_xlfn.XLOOKUP(A7,'RF Parameter'!I:I,'RF Parameter'!K:K)</f>
        <v/>
      </c>
      <c r="E7" s="44">
        <f>_xlfn.XLOOKUP(A7,'RF Parameter'!I:I,'RF Parameter'!AB:AB)</f>
        <v/>
      </c>
      <c r="F7" s="44">
        <f>_xlfn.XLOOKUP(A7,'RF Parameter'!I:I,'RF Parameter'!AA:AA)</f>
        <v/>
      </c>
      <c r="G7" s="44">
        <f>_xlfn.XLOOKUP(A7,'RF Parameter'!I:I,'RF Parameter'!B:B)</f>
        <v/>
      </c>
      <c r="H7" s="45">
        <f>_xlfn.XLOOKUP(A7,'RF Parameter'!I:I,'RF Parameter'!M:M)</f>
        <v/>
      </c>
      <c r="I7" s="45" t="n">
        <v>4</v>
      </c>
      <c r="J7" s="44">
        <f>G7</f>
        <v/>
      </c>
      <c r="K7" s="44" t="inlineStr">
        <is>
          <t>-</t>
        </is>
      </c>
      <c r="L7" s="56" t="n">
        <v>716</v>
      </c>
      <c r="M7" s="56" t="n">
        <v>17</v>
      </c>
      <c r="N7" s="44" t="n">
        <v>817</v>
      </c>
      <c r="O7" s="44" t="n">
        <v>7</v>
      </c>
      <c r="P7" s="44" t="inlineStr">
        <is>
          <t>20M</t>
        </is>
      </c>
      <c r="Q7" s="45" t="n">
        <v>60</v>
      </c>
      <c r="R7" s="56" t="n">
        <v>903</v>
      </c>
      <c r="S7" s="57" t="n">
        <v>45652</v>
      </c>
      <c r="T7" s="45" t="n">
        <v>2140</v>
      </c>
      <c r="U7" s="45" t="n">
        <v>1740</v>
      </c>
      <c r="V7" s="45" t="n">
        <v>2250</v>
      </c>
      <c r="W7" s="45" t="n">
        <v>20250</v>
      </c>
      <c r="X7" s="44" t="n">
        <v>15.2</v>
      </c>
      <c r="Y7" s="44">
        <f>ROUNDUP((10^((X7+Z7)/10)/1000)*LEFT(P7,2)*5*12,0)</f>
        <v/>
      </c>
      <c r="Z7" s="44" t="n">
        <v>-3</v>
      </c>
      <c r="AA7" s="44" t="n">
        <v>1</v>
      </c>
      <c r="AB7" s="44">
        <f>Y7*I7</f>
        <v/>
      </c>
      <c r="AC7" s="44" t="inlineStr">
        <is>
          <t>-</t>
        </is>
      </c>
      <c r="AD7" s="44" t="inlineStr">
        <is>
          <t>-</t>
        </is>
      </c>
      <c r="AE7" s="44" t="n">
        <v>0</v>
      </c>
      <c r="AF7" s="45" t="n">
        <v>10</v>
      </c>
      <c r="AG7" s="45" t="n">
        <v>3</v>
      </c>
      <c r="AH7" s="45" t="n">
        <v>152</v>
      </c>
    </row>
    <row r="8" hidden="1" ht="12.75" customHeight="1" s="99">
      <c r="A8" s="56" t="inlineStr">
        <is>
          <t>01408173_IC_Pisco</t>
        </is>
      </c>
      <c r="B8" s="45">
        <f>_xlfn.XLOOKUP(A8,'RF Parameter'!I:I,'RF Parameter'!A:A)</f>
        <v/>
      </c>
      <c r="C8" s="45">
        <f>_xlfn.XLOOKUP(A8,'RF Parameter'!I:I,'RF Parameter'!E:E)</f>
        <v/>
      </c>
      <c r="D8" s="44">
        <f>_xlfn.XLOOKUP(A8,'RF Parameter'!I:I,'RF Parameter'!K:K)</f>
        <v/>
      </c>
      <c r="E8" s="44">
        <f>_xlfn.XLOOKUP(A8,'RF Parameter'!I:I,'RF Parameter'!AB:AB)</f>
        <v/>
      </c>
      <c r="F8" s="44">
        <f>_xlfn.XLOOKUP(A8,'RF Parameter'!I:I,'RF Parameter'!AA:AA)</f>
        <v/>
      </c>
      <c r="G8" s="44">
        <f>_xlfn.XLOOKUP(A8,'RF Parameter'!I:I,'RF Parameter'!B:B)</f>
        <v/>
      </c>
      <c r="H8" s="45">
        <f>_xlfn.XLOOKUP(A8,'RF Parameter'!I:I,'RF Parameter'!M:M)</f>
        <v/>
      </c>
      <c r="I8" s="45" t="n">
        <v>4</v>
      </c>
      <c r="J8" s="44">
        <f>G8</f>
        <v/>
      </c>
      <c r="K8" s="44" t="inlineStr">
        <is>
          <t>-</t>
        </is>
      </c>
      <c r="L8" s="56" t="n">
        <v>716</v>
      </c>
      <c r="M8" s="56" t="n">
        <v>17</v>
      </c>
      <c r="N8" s="44" t="n">
        <v>817</v>
      </c>
      <c r="O8" s="44" t="n">
        <v>3</v>
      </c>
      <c r="P8" s="44" t="inlineStr">
        <is>
          <t>20M</t>
        </is>
      </c>
      <c r="Q8" s="45" t="n">
        <v>386</v>
      </c>
      <c r="R8" s="56" t="n">
        <v>903</v>
      </c>
      <c r="S8" s="57" t="n">
        <v>45652</v>
      </c>
      <c r="T8" s="45" t="n">
        <v>2140</v>
      </c>
      <c r="U8" s="45" t="n">
        <v>1740</v>
      </c>
      <c r="V8" s="45" t="n">
        <v>2250</v>
      </c>
      <c r="W8" s="45" t="n">
        <v>20250</v>
      </c>
      <c r="X8" s="44" t="n">
        <v>17</v>
      </c>
      <c r="Y8" s="44">
        <f>ROUNDUP((10^((X8+Z8)/10)/1000)*LEFT(P8,2)*5*12,0)</f>
        <v/>
      </c>
      <c r="Z8" s="44" t="n">
        <v>-3</v>
      </c>
      <c r="AA8" s="44" t="n">
        <v>1</v>
      </c>
      <c r="AB8" s="44">
        <f>Y8*I8</f>
        <v/>
      </c>
      <c r="AC8" s="44" t="inlineStr">
        <is>
          <t>-</t>
        </is>
      </c>
      <c r="AD8" s="44" t="inlineStr">
        <is>
          <t>-</t>
        </is>
      </c>
      <c r="AE8" s="44" t="n">
        <v>0</v>
      </c>
      <c r="AF8" s="45" t="n">
        <v>10</v>
      </c>
      <c r="AG8" s="45" t="n">
        <v>3</v>
      </c>
      <c r="AH8" s="45" t="n">
        <v>456</v>
      </c>
    </row>
    <row r="9" hidden="1" ht="12.75" customHeight="1" s="99">
      <c r="A9" s="56" t="inlineStr">
        <is>
          <t>09408171_IC_Pisco</t>
        </is>
      </c>
      <c r="B9" s="45">
        <f>_xlfn.XLOOKUP(A9,'RF Parameter'!I:I,'RF Parameter'!A:A)</f>
        <v/>
      </c>
      <c r="C9" s="45">
        <f>_xlfn.XLOOKUP(A9,'RF Parameter'!I:I,'RF Parameter'!E:E)</f>
        <v/>
      </c>
      <c r="D9" s="44">
        <f>_xlfn.XLOOKUP(A9,'RF Parameter'!I:I,'RF Parameter'!K:K)</f>
        <v/>
      </c>
      <c r="E9" s="44">
        <f>_xlfn.XLOOKUP(A9,'RF Parameter'!I:I,'RF Parameter'!AB:AB)</f>
        <v/>
      </c>
      <c r="F9" s="44">
        <f>_xlfn.XLOOKUP(A9,'RF Parameter'!I:I,'RF Parameter'!AA:AA)</f>
        <v/>
      </c>
      <c r="G9" s="44">
        <f>_xlfn.XLOOKUP(A9,'RF Parameter'!I:I,'RF Parameter'!B:B)</f>
        <v/>
      </c>
      <c r="H9" s="45">
        <f>_xlfn.XLOOKUP(A9,'RF Parameter'!I:I,'RF Parameter'!M:M)</f>
        <v/>
      </c>
      <c r="I9" s="45" t="n">
        <v>4</v>
      </c>
      <c r="J9" s="44">
        <f>G9</f>
        <v/>
      </c>
      <c r="K9" s="44" t="inlineStr">
        <is>
          <t>-</t>
        </is>
      </c>
      <c r="L9" s="56" t="n">
        <v>716</v>
      </c>
      <c r="M9" s="56" t="n">
        <v>17</v>
      </c>
      <c r="N9" s="44" t="n">
        <v>817</v>
      </c>
      <c r="O9" s="44" t="n">
        <v>191</v>
      </c>
      <c r="P9" s="44" t="inlineStr">
        <is>
          <t>10M</t>
        </is>
      </c>
      <c r="Q9" s="45" t="n">
        <v>384</v>
      </c>
      <c r="R9" s="56" t="n">
        <v>903</v>
      </c>
      <c r="S9" s="57" t="n">
        <v>45652</v>
      </c>
      <c r="T9" s="45" t="n">
        <v>1968.8</v>
      </c>
      <c r="U9" s="45" t="n">
        <v>1888.8</v>
      </c>
      <c r="V9" s="45" t="n">
        <v>988</v>
      </c>
      <c r="W9" s="45" t="n">
        <v>18988</v>
      </c>
      <c r="X9" s="44" t="n">
        <v>16</v>
      </c>
      <c r="Y9" s="44">
        <f>ROUNDUP((10^((X9+Z9)/10)/1000)*LEFT(P9,2)*5*12,0)</f>
        <v/>
      </c>
      <c r="Z9" s="44" t="n">
        <v>-3</v>
      </c>
      <c r="AA9" s="44" t="n">
        <v>1</v>
      </c>
      <c r="AB9" s="44">
        <f>Y9*I9</f>
        <v/>
      </c>
      <c r="AC9" s="44" t="inlineStr">
        <is>
          <t>-</t>
        </is>
      </c>
      <c r="AD9" s="44" t="inlineStr">
        <is>
          <t>-</t>
        </is>
      </c>
      <c r="AE9" s="44" t="n">
        <v>0</v>
      </c>
      <c r="AF9" s="45" t="n">
        <v>10</v>
      </c>
      <c r="AG9" s="45" t="n">
        <v>3</v>
      </c>
      <c r="AH9" s="45" t="n">
        <v>520</v>
      </c>
    </row>
    <row r="10" hidden="1" ht="12.75" customHeight="1" s="99">
      <c r="A10" s="56" t="inlineStr">
        <is>
          <t>09408172_IC_Pisco</t>
        </is>
      </c>
      <c r="B10" s="45">
        <f>_xlfn.XLOOKUP(A10,'RF Parameter'!I:I,'RF Parameter'!A:A)</f>
        <v/>
      </c>
      <c r="C10" s="45">
        <f>_xlfn.XLOOKUP(A10,'RF Parameter'!I:I,'RF Parameter'!E:E)</f>
        <v/>
      </c>
      <c r="D10" s="44">
        <f>_xlfn.XLOOKUP(A10,'RF Parameter'!I:I,'RF Parameter'!K:K)</f>
        <v/>
      </c>
      <c r="E10" s="44">
        <f>_xlfn.XLOOKUP(A10,'RF Parameter'!I:I,'RF Parameter'!AB:AB)</f>
        <v/>
      </c>
      <c r="F10" s="44">
        <f>_xlfn.XLOOKUP(A10,'RF Parameter'!I:I,'RF Parameter'!AA:AA)</f>
        <v/>
      </c>
      <c r="G10" s="44">
        <f>_xlfn.XLOOKUP(A10,'RF Parameter'!I:I,'RF Parameter'!B:B)</f>
        <v/>
      </c>
      <c r="H10" s="45">
        <f>_xlfn.XLOOKUP(A10,'RF Parameter'!I:I,'RF Parameter'!M:M)</f>
        <v/>
      </c>
      <c r="I10" s="45" t="n">
        <v>4</v>
      </c>
      <c r="J10" s="44">
        <f>G10</f>
        <v/>
      </c>
      <c r="K10" s="44" t="inlineStr">
        <is>
          <t>-</t>
        </is>
      </c>
      <c r="L10" s="56" t="n">
        <v>716</v>
      </c>
      <c r="M10" s="56" t="n">
        <v>17</v>
      </c>
      <c r="N10" s="44" t="n">
        <v>817</v>
      </c>
      <c r="O10" s="44" t="n">
        <v>192</v>
      </c>
      <c r="P10" s="44" t="inlineStr">
        <is>
          <t>10M</t>
        </is>
      </c>
      <c r="Q10" s="45" t="n">
        <v>385</v>
      </c>
      <c r="R10" s="56" t="n">
        <v>903</v>
      </c>
      <c r="S10" s="57" t="n">
        <v>45652</v>
      </c>
      <c r="T10" s="45" t="n">
        <v>1968.8</v>
      </c>
      <c r="U10" s="45" t="n">
        <v>1888.8</v>
      </c>
      <c r="V10" s="45" t="n">
        <v>988</v>
      </c>
      <c r="W10" s="45" t="n">
        <v>18988</v>
      </c>
      <c r="X10" s="44" t="n">
        <v>10.2</v>
      </c>
      <c r="Y10" s="44">
        <f>ROUNDUP((10^((X10+Z10)/10)/1000)*LEFT(P10,2)*5*12,0)</f>
        <v/>
      </c>
      <c r="Z10" s="44" t="n">
        <v>0</v>
      </c>
      <c r="AA10" s="44" t="n">
        <v>1</v>
      </c>
      <c r="AB10" s="44">
        <f>Y10*I10</f>
        <v/>
      </c>
      <c r="AC10" s="44" t="inlineStr">
        <is>
          <t>-</t>
        </is>
      </c>
      <c r="AD10" s="44" t="inlineStr">
        <is>
          <t>-</t>
        </is>
      </c>
      <c r="AE10" s="44" t="n">
        <v>0</v>
      </c>
      <c r="AF10" s="45" t="n">
        <v>10</v>
      </c>
      <c r="AG10" s="45" t="n">
        <v>3</v>
      </c>
      <c r="AH10" s="45" t="n">
        <v>16</v>
      </c>
    </row>
    <row r="11" hidden="1" ht="12.75" customHeight="1" s="99">
      <c r="A11" s="56" t="inlineStr">
        <is>
          <t>09408177_IC_Pisco</t>
        </is>
      </c>
      <c r="B11" s="45">
        <f>_xlfn.XLOOKUP(A11,'RF Parameter'!I:I,'RF Parameter'!A:A)</f>
        <v/>
      </c>
      <c r="C11" s="45">
        <f>_xlfn.XLOOKUP(A11,'RF Parameter'!I:I,'RF Parameter'!E:E)</f>
        <v/>
      </c>
      <c r="D11" s="44">
        <f>_xlfn.XLOOKUP(A11,'RF Parameter'!I:I,'RF Parameter'!K:K)</f>
        <v/>
      </c>
      <c r="E11" s="44">
        <f>_xlfn.XLOOKUP(A11,'RF Parameter'!I:I,'RF Parameter'!AB:AB)</f>
        <v/>
      </c>
      <c r="F11" s="44">
        <f>_xlfn.XLOOKUP(A11,'RF Parameter'!I:I,'RF Parameter'!AA:AA)</f>
        <v/>
      </c>
      <c r="G11" s="44">
        <f>_xlfn.XLOOKUP(A11,'RF Parameter'!I:I,'RF Parameter'!B:B)</f>
        <v/>
      </c>
      <c r="H11" s="45">
        <f>_xlfn.XLOOKUP(A11,'RF Parameter'!I:I,'RF Parameter'!M:M)</f>
        <v/>
      </c>
      <c r="I11" s="45" t="n">
        <v>4</v>
      </c>
      <c r="J11" s="44">
        <f>G11</f>
        <v/>
      </c>
      <c r="K11" s="44" t="inlineStr">
        <is>
          <t>-</t>
        </is>
      </c>
      <c r="L11" s="56" t="n">
        <v>716</v>
      </c>
      <c r="M11" s="56" t="n">
        <v>17</v>
      </c>
      <c r="N11" s="44" t="n">
        <v>817</v>
      </c>
      <c r="O11" s="44" t="n">
        <v>197</v>
      </c>
      <c r="P11" s="44" t="inlineStr">
        <is>
          <t>10M</t>
        </is>
      </c>
      <c r="Q11" s="45" t="n">
        <v>60</v>
      </c>
      <c r="R11" s="56" t="n">
        <v>903</v>
      </c>
      <c r="S11" s="57" t="n">
        <v>45652</v>
      </c>
      <c r="T11" s="45" t="n">
        <v>1968.8</v>
      </c>
      <c r="U11" s="45" t="n">
        <v>1888.8</v>
      </c>
      <c r="V11" s="45" t="n">
        <v>988</v>
      </c>
      <c r="W11" s="45" t="n">
        <v>18988</v>
      </c>
      <c r="X11" s="44" t="n">
        <v>10.2</v>
      </c>
      <c r="Y11" s="44">
        <f>ROUNDUP((10^((X11+Z11)/10)/1000)*LEFT(P11,2)*5*12,0)</f>
        <v/>
      </c>
      <c r="Z11" s="44" t="n">
        <v>-3</v>
      </c>
      <c r="AA11" s="44" t="n">
        <v>1</v>
      </c>
      <c r="AB11" s="44">
        <f>Y11*I11</f>
        <v/>
      </c>
      <c r="AC11" s="44" t="inlineStr">
        <is>
          <t>-</t>
        </is>
      </c>
      <c r="AD11" s="44" t="inlineStr">
        <is>
          <t>-</t>
        </is>
      </c>
      <c r="AE11" s="44" t="n">
        <v>0</v>
      </c>
      <c r="AF11" s="45" t="n">
        <v>10</v>
      </c>
      <c r="AG11" s="45" t="n">
        <v>3</v>
      </c>
      <c r="AH11" s="45" t="n">
        <v>152</v>
      </c>
    </row>
    <row r="12" hidden="1" ht="12.75" customHeight="1" s="99">
      <c r="A12" s="56" t="inlineStr">
        <is>
          <t>09408173_IC_Pisco</t>
        </is>
      </c>
      <c r="B12" s="45">
        <f>_xlfn.XLOOKUP(A12,'RF Parameter'!I:I,'RF Parameter'!A:A)</f>
        <v/>
      </c>
      <c r="C12" s="45">
        <f>_xlfn.XLOOKUP(A12,'RF Parameter'!I:I,'RF Parameter'!E:E)</f>
        <v/>
      </c>
      <c r="D12" s="44">
        <f>_xlfn.XLOOKUP(A12,'RF Parameter'!I:I,'RF Parameter'!K:K)</f>
        <v/>
      </c>
      <c r="E12" s="44">
        <f>_xlfn.XLOOKUP(A12,'RF Parameter'!I:I,'RF Parameter'!AB:AB)</f>
        <v/>
      </c>
      <c r="F12" s="44">
        <f>_xlfn.XLOOKUP(A12,'RF Parameter'!I:I,'RF Parameter'!AA:AA)</f>
        <v/>
      </c>
      <c r="G12" s="44">
        <f>_xlfn.XLOOKUP(A12,'RF Parameter'!I:I,'RF Parameter'!B:B)</f>
        <v/>
      </c>
      <c r="H12" s="45">
        <f>_xlfn.XLOOKUP(A12,'RF Parameter'!I:I,'RF Parameter'!M:M)</f>
        <v/>
      </c>
      <c r="I12" s="45" t="n">
        <v>4</v>
      </c>
      <c r="J12" s="44">
        <f>G12</f>
        <v/>
      </c>
      <c r="K12" s="44" t="inlineStr">
        <is>
          <t>-</t>
        </is>
      </c>
      <c r="L12" s="56" t="n">
        <v>716</v>
      </c>
      <c r="M12" s="56" t="n">
        <v>17</v>
      </c>
      <c r="N12" s="44" t="n">
        <v>817</v>
      </c>
      <c r="O12" s="44" t="n">
        <v>193</v>
      </c>
      <c r="P12" s="44" t="inlineStr">
        <is>
          <t>10M</t>
        </is>
      </c>
      <c r="Q12" s="45" t="n">
        <v>386</v>
      </c>
      <c r="R12" s="56" t="n">
        <v>903</v>
      </c>
      <c r="S12" s="57" t="n">
        <v>45652</v>
      </c>
      <c r="T12" s="45" t="n">
        <v>1968.8</v>
      </c>
      <c r="U12" s="45" t="n">
        <v>1888.8</v>
      </c>
      <c r="V12" s="45" t="n">
        <v>988</v>
      </c>
      <c r="W12" s="45" t="n">
        <v>18988</v>
      </c>
      <c r="X12" s="44" t="n">
        <v>14.2</v>
      </c>
      <c r="Y12" s="44">
        <f>ROUNDUP((10^((X12+Z12)/10)/1000)*LEFT(P12,2)*5*12,0)</f>
        <v/>
      </c>
      <c r="Z12" s="44" t="n">
        <v>0</v>
      </c>
      <c r="AA12" s="44" t="n">
        <v>1</v>
      </c>
      <c r="AB12" s="44">
        <f>Y12*I12</f>
        <v/>
      </c>
      <c r="AC12" s="44" t="inlineStr">
        <is>
          <t>-</t>
        </is>
      </c>
      <c r="AD12" s="44" t="inlineStr">
        <is>
          <t>-</t>
        </is>
      </c>
      <c r="AE12" s="44" t="n">
        <v>0</v>
      </c>
      <c r="AF12" s="45" t="n">
        <v>10</v>
      </c>
      <c r="AG12" s="45" t="n">
        <v>3</v>
      </c>
      <c r="AH12" s="45" t="n">
        <v>456</v>
      </c>
    </row>
    <row r="13" ht="12.75" customHeight="1" s="99">
      <c r="A13" s="56" t="inlineStr">
        <is>
          <t>01608171_IC_B40_Pisco</t>
        </is>
      </c>
      <c r="B13" s="45">
        <f>_xlfn.XLOOKUP(A13,'RF Parameter'!I:I,'RF Parameter'!A:A)</f>
        <v/>
      </c>
      <c r="C13" s="45">
        <f>_xlfn.XLOOKUP(A13,'RF Parameter'!I:I,'RF Parameter'!E:E)</f>
        <v/>
      </c>
      <c r="D13" s="44">
        <f>_xlfn.XLOOKUP(A13,'RF Parameter'!I:I,'RF Parameter'!K:K)</f>
        <v/>
      </c>
      <c r="E13" s="44">
        <f>_xlfn.XLOOKUP(A13,'RF Parameter'!I:I,'RF Parameter'!AB:AB)</f>
        <v/>
      </c>
      <c r="F13" s="44">
        <f>_xlfn.XLOOKUP(A13,'RF Parameter'!I:I,'RF Parameter'!AA:AA)</f>
        <v/>
      </c>
      <c r="G13" s="44">
        <f>_xlfn.XLOOKUP(A13,'RF Parameter'!I:I,'RF Parameter'!B:B)</f>
        <v/>
      </c>
      <c r="H13" s="45">
        <f>_xlfn.XLOOKUP(A13,'RF Parameter'!I:I,'RF Parameter'!M:M)</f>
        <v/>
      </c>
      <c r="I13" s="45" t="n">
        <v>2</v>
      </c>
      <c r="J13" s="44">
        <f>G13</f>
        <v/>
      </c>
      <c r="K13" s="44" t="inlineStr">
        <is>
          <t>-</t>
        </is>
      </c>
      <c r="L13" s="56" t="n">
        <v>716</v>
      </c>
      <c r="M13" s="56" t="n">
        <v>17</v>
      </c>
      <c r="N13" s="44" t="n">
        <v>817</v>
      </c>
      <c r="O13" s="44" t="n">
        <v>231</v>
      </c>
      <c r="P13" s="44" t="inlineStr">
        <is>
          <t>15M</t>
        </is>
      </c>
      <c r="Q13" s="45" t="n">
        <v>384</v>
      </c>
      <c r="R13" s="56" t="n">
        <v>903</v>
      </c>
      <c r="S13" s="57" t="n">
        <v>45652</v>
      </c>
      <c r="T13" s="56" t="n">
        <v>2367.5</v>
      </c>
      <c r="U13" s="56" t="inlineStr">
        <is>
          <t>-</t>
        </is>
      </c>
      <c r="V13" s="56" t="n">
        <v>39325</v>
      </c>
      <c r="W13" s="45" t="inlineStr">
        <is>
          <t>-</t>
        </is>
      </c>
      <c r="X13" s="44" t="n">
        <v>15</v>
      </c>
      <c r="Y13" s="44">
        <f>ROUNDUP((10^((X13+Z13)/10)/1000)*LEFT(P13,2)*5*12,0)</f>
        <v/>
      </c>
      <c r="Z13" s="44" t="n">
        <v>-3</v>
      </c>
      <c r="AA13" s="44" t="n">
        <v>1</v>
      </c>
      <c r="AB13" s="44">
        <f>Y13*I13</f>
        <v/>
      </c>
      <c r="AC13" s="44" t="n">
        <v>2</v>
      </c>
      <c r="AD13" s="44" t="n">
        <v>7</v>
      </c>
      <c r="AE13" s="44" t="n">
        <v>0</v>
      </c>
      <c r="AF13" s="45" t="n">
        <v>10</v>
      </c>
      <c r="AG13" s="63" t="n">
        <v>0</v>
      </c>
      <c r="AH13" s="45" t="n">
        <v>520</v>
      </c>
    </row>
    <row r="14" ht="12.75" customHeight="1" s="99">
      <c r="A14" s="56" t="inlineStr">
        <is>
          <t>01608176_IC_B40_Pisco</t>
        </is>
      </c>
      <c r="B14" s="45">
        <f>_xlfn.XLOOKUP(A14,'RF Parameter'!I:I,'RF Parameter'!A:A)</f>
        <v/>
      </c>
      <c r="C14" s="45">
        <f>_xlfn.XLOOKUP(A14,'RF Parameter'!I:I,'RF Parameter'!E:E)</f>
        <v/>
      </c>
      <c r="D14" s="44">
        <f>_xlfn.XLOOKUP(A14,'RF Parameter'!I:I,'RF Parameter'!K:K)</f>
        <v/>
      </c>
      <c r="E14" s="44">
        <f>_xlfn.XLOOKUP(A14,'RF Parameter'!I:I,'RF Parameter'!AB:AB)</f>
        <v/>
      </c>
      <c r="F14" s="44">
        <f>_xlfn.XLOOKUP(A14,'RF Parameter'!I:I,'RF Parameter'!AA:AA)</f>
        <v/>
      </c>
      <c r="G14" s="44">
        <f>_xlfn.XLOOKUP(A14,'RF Parameter'!I:I,'RF Parameter'!B:B)</f>
        <v/>
      </c>
      <c r="H14" s="45">
        <f>_xlfn.XLOOKUP(A14,'RF Parameter'!I:I,'RF Parameter'!M:M)</f>
        <v/>
      </c>
      <c r="I14" s="45" t="n">
        <v>2</v>
      </c>
      <c r="J14" s="44">
        <f>G14</f>
        <v/>
      </c>
      <c r="K14" s="44" t="inlineStr">
        <is>
          <t>-</t>
        </is>
      </c>
      <c r="L14" s="56" t="n">
        <v>716</v>
      </c>
      <c r="M14" s="56" t="n">
        <v>17</v>
      </c>
      <c r="N14" s="44" t="n">
        <v>817</v>
      </c>
      <c r="O14" s="44" t="n">
        <v>236</v>
      </c>
      <c r="P14" s="44" t="inlineStr">
        <is>
          <t>15M</t>
        </is>
      </c>
      <c r="Q14" s="45" t="n">
        <v>27</v>
      </c>
      <c r="R14" s="56" t="n">
        <v>903</v>
      </c>
      <c r="S14" s="57" t="n">
        <v>45652</v>
      </c>
      <c r="T14" s="56" t="n">
        <v>2382.5</v>
      </c>
      <c r="U14" s="56" t="inlineStr">
        <is>
          <t>-</t>
        </is>
      </c>
      <c r="V14" s="56" t="n">
        <v>39475</v>
      </c>
      <c r="W14" s="45" t="inlineStr">
        <is>
          <t>-</t>
        </is>
      </c>
      <c r="X14" s="44" t="n">
        <v>15</v>
      </c>
      <c r="Y14" s="44">
        <f>ROUNDUP((10^((X14+Z14)/10)/1000)*LEFT(P14,2)*5*12,0)</f>
        <v/>
      </c>
      <c r="Z14" s="44" t="n">
        <v>-3</v>
      </c>
      <c r="AA14" s="44" t="n">
        <v>1</v>
      </c>
      <c r="AB14" s="44">
        <f>Y14*I14</f>
        <v/>
      </c>
      <c r="AC14" s="44" t="n">
        <v>2</v>
      </c>
      <c r="AD14" s="44" t="n">
        <v>7</v>
      </c>
      <c r="AE14" s="44" t="n">
        <v>0</v>
      </c>
      <c r="AF14" s="45" t="n">
        <v>10</v>
      </c>
      <c r="AG14" s="63" t="n">
        <v>0</v>
      </c>
      <c r="AH14" s="45" t="n">
        <v>184</v>
      </c>
    </row>
    <row r="15" ht="12.75" customHeight="1" s="99">
      <c r="A15" s="56" t="inlineStr">
        <is>
          <t>01608172_IC_B40_Pisco</t>
        </is>
      </c>
      <c r="B15" s="45">
        <f>_xlfn.XLOOKUP(A15,'RF Parameter'!I:I,'RF Parameter'!A:A)</f>
        <v/>
      </c>
      <c r="C15" s="45">
        <f>_xlfn.XLOOKUP(A15,'RF Parameter'!I:I,'RF Parameter'!E:E)</f>
        <v/>
      </c>
      <c r="D15" s="44">
        <f>_xlfn.XLOOKUP(A15,'RF Parameter'!I:I,'RF Parameter'!K:K)</f>
        <v/>
      </c>
      <c r="E15" s="44">
        <f>_xlfn.XLOOKUP(A15,'RF Parameter'!I:I,'RF Parameter'!AB:AB)</f>
        <v/>
      </c>
      <c r="F15" s="44">
        <f>_xlfn.XLOOKUP(A15,'RF Parameter'!I:I,'RF Parameter'!AA:AA)</f>
        <v/>
      </c>
      <c r="G15" s="44">
        <f>_xlfn.XLOOKUP(A15,'RF Parameter'!I:I,'RF Parameter'!B:B)</f>
        <v/>
      </c>
      <c r="H15" s="45">
        <f>_xlfn.XLOOKUP(A15,'RF Parameter'!I:I,'RF Parameter'!M:M)</f>
        <v/>
      </c>
      <c r="I15" s="45" t="n">
        <v>2</v>
      </c>
      <c r="J15" s="44">
        <f>G15</f>
        <v/>
      </c>
      <c r="K15" s="44" t="inlineStr">
        <is>
          <t>-</t>
        </is>
      </c>
      <c r="L15" s="56" t="n">
        <v>716</v>
      </c>
      <c r="M15" s="56" t="n">
        <v>17</v>
      </c>
      <c r="N15" s="44" t="n">
        <v>817</v>
      </c>
      <c r="O15" s="44" t="n">
        <v>232</v>
      </c>
      <c r="P15" s="44" t="inlineStr">
        <is>
          <t>15M</t>
        </is>
      </c>
      <c r="Q15" s="45" t="n">
        <v>385</v>
      </c>
      <c r="R15" s="56" t="n">
        <v>903</v>
      </c>
      <c r="S15" s="57" t="n">
        <v>45652</v>
      </c>
      <c r="T15" s="56" t="n">
        <v>2367.5</v>
      </c>
      <c r="U15" s="56" t="inlineStr">
        <is>
          <t>-</t>
        </is>
      </c>
      <c r="V15" s="56" t="n">
        <v>39325</v>
      </c>
      <c r="W15" s="45" t="inlineStr">
        <is>
          <t>-</t>
        </is>
      </c>
      <c r="X15" s="44" t="n">
        <v>12.2</v>
      </c>
      <c r="Y15" s="44">
        <f>ROUNDUP((10^((X15+Z15)/10)/1000)*LEFT(P15,2)*5*12,0)</f>
        <v/>
      </c>
      <c r="Z15" s="44" t="n">
        <v>-3</v>
      </c>
      <c r="AA15" s="44" t="n">
        <v>1</v>
      </c>
      <c r="AB15" s="44">
        <f>Y15*I15</f>
        <v/>
      </c>
      <c r="AC15" s="44" t="n">
        <v>2</v>
      </c>
      <c r="AD15" s="44" t="n">
        <v>7</v>
      </c>
      <c r="AE15" s="44" t="n">
        <v>0</v>
      </c>
      <c r="AF15" s="45" t="n">
        <v>10</v>
      </c>
      <c r="AG15" s="63" t="n">
        <v>0</v>
      </c>
      <c r="AH15" s="45" t="n">
        <v>16</v>
      </c>
    </row>
    <row r="16" ht="12.75" customHeight="1" s="99">
      <c r="A16" s="56" t="inlineStr">
        <is>
          <t>01608177_IC_B40_Pisco</t>
        </is>
      </c>
      <c r="B16" s="45">
        <f>_xlfn.XLOOKUP(A16,'RF Parameter'!I:I,'RF Parameter'!A:A)</f>
        <v/>
      </c>
      <c r="C16" s="45">
        <f>_xlfn.XLOOKUP(A16,'RF Parameter'!I:I,'RF Parameter'!E:E)</f>
        <v/>
      </c>
      <c r="D16" s="44">
        <f>_xlfn.XLOOKUP(A16,'RF Parameter'!I:I,'RF Parameter'!K:K)</f>
        <v/>
      </c>
      <c r="E16" s="44">
        <f>_xlfn.XLOOKUP(A16,'RF Parameter'!I:I,'RF Parameter'!AB:AB)</f>
        <v/>
      </c>
      <c r="F16" s="44">
        <f>_xlfn.XLOOKUP(A16,'RF Parameter'!I:I,'RF Parameter'!AA:AA)</f>
        <v/>
      </c>
      <c r="G16" s="44">
        <f>_xlfn.XLOOKUP(A16,'RF Parameter'!I:I,'RF Parameter'!B:B)</f>
        <v/>
      </c>
      <c r="H16" s="45">
        <f>_xlfn.XLOOKUP(A16,'RF Parameter'!I:I,'RF Parameter'!M:M)</f>
        <v/>
      </c>
      <c r="I16" s="45" t="n">
        <v>2</v>
      </c>
      <c r="J16" s="44">
        <f>G16</f>
        <v/>
      </c>
      <c r="K16" s="44" t="inlineStr">
        <is>
          <t>-</t>
        </is>
      </c>
      <c r="L16" s="56" t="n">
        <v>716</v>
      </c>
      <c r="M16" s="56" t="n">
        <v>17</v>
      </c>
      <c r="N16" s="44" t="n">
        <v>817</v>
      </c>
      <c r="O16" s="44" t="n">
        <v>237</v>
      </c>
      <c r="P16" s="44" t="inlineStr">
        <is>
          <t>15M</t>
        </is>
      </c>
      <c r="Q16" s="45" t="n">
        <v>28</v>
      </c>
      <c r="R16" s="56" t="n">
        <v>903</v>
      </c>
      <c r="S16" s="57" t="n">
        <v>45652</v>
      </c>
      <c r="T16" s="56" t="n">
        <v>2382.5</v>
      </c>
      <c r="U16" s="56" t="inlineStr">
        <is>
          <t>-</t>
        </is>
      </c>
      <c r="V16" s="56" t="n">
        <v>39475</v>
      </c>
      <c r="W16" s="45" t="inlineStr">
        <is>
          <t>-</t>
        </is>
      </c>
      <c r="X16" s="44" t="n">
        <v>12.2</v>
      </c>
      <c r="Y16" s="44">
        <f>ROUNDUP((10^((X16+Z16)/10)/1000)*LEFT(P16,2)*5*12,0)</f>
        <v/>
      </c>
      <c r="Z16" s="44" t="n">
        <v>-3</v>
      </c>
      <c r="AA16" s="44" t="n">
        <v>1</v>
      </c>
      <c r="AB16" s="44">
        <f>Y16*I16</f>
        <v/>
      </c>
      <c r="AC16" s="44" t="n">
        <v>2</v>
      </c>
      <c r="AD16" s="44" t="n">
        <v>7</v>
      </c>
      <c r="AE16" s="44" t="n">
        <v>0</v>
      </c>
      <c r="AF16" s="45" t="n">
        <v>10</v>
      </c>
      <c r="AG16" s="63" t="n">
        <v>0</v>
      </c>
      <c r="AH16" s="45" t="n">
        <v>208</v>
      </c>
    </row>
    <row r="17" ht="12.75" customHeight="1" s="99">
      <c r="A17" s="56" t="inlineStr">
        <is>
          <t>01608173_IC_B40_Pisco</t>
        </is>
      </c>
      <c r="B17" s="45">
        <f>_xlfn.XLOOKUP(A17,'RF Parameter'!I:I,'RF Parameter'!A:A)</f>
        <v/>
      </c>
      <c r="C17" s="45">
        <f>_xlfn.XLOOKUP(A17,'RF Parameter'!I:I,'RF Parameter'!E:E)</f>
        <v/>
      </c>
      <c r="D17" s="44">
        <f>_xlfn.XLOOKUP(A17,'RF Parameter'!I:I,'RF Parameter'!K:K)</f>
        <v/>
      </c>
      <c r="E17" s="44">
        <f>_xlfn.XLOOKUP(A17,'RF Parameter'!I:I,'RF Parameter'!AB:AB)</f>
        <v/>
      </c>
      <c r="F17" s="44">
        <f>_xlfn.XLOOKUP(A17,'RF Parameter'!I:I,'RF Parameter'!AA:AA)</f>
        <v/>
      </c>
      <c r="G17" s="44">
        <f>_xlfn.XLOOKUP(A17,'RF Parameter'!I:I,'RF Parameter'!B:B)</f>
        <v/>
      </c>
      <c r="H17" s="45">
        <f>_xlfn.XLOOKUP(A17,'RF Parameter'!I:I,'RF Parameter'!M:M)</f>
        <v/>
      </c>
      <c r="I17" s="45" t="n">
        <v>2</v>
      </c>
      <c r="J17" s="44">
        <f>G17</f>
        <v/>
      </c>
      <c r="K17" s="44" t="inlineStr">
        <is>
          <t>-</t>
        </is>
      </c>
      <c r="L17" s="56" t="n">
        <v>716</v>
      </c>
      <c r="M17" s="56" t="n">
        <v>17</v>
      </c>
      <c r="N17" s="44" t="n">
        <v>817</v>
      </c>
      <c r="O17" s="44" t="n">
        <v>233</v>
      </c>
      <c r="P17" s="44" t="inlineStr">
        <is>
          <t>15M</t>
        </is>
      </c>
      <c r="Q17" s="45" t="n">
        <v>386</v>
      </c>
      <c r="R17" s="56" t="n">
        <v>903</v>
      </c>
      <c r="S17" s="57" t="n">
        <v>45652</v>
      </c>
      <c r="T17" s="56" t="n">
        <v>2367.5</v>
      </c>
      <c r="U17" s="56" t="inlineStr">
        <is>
          <t>-</t>
        </is>
      </c>
      <c r="V17" s="56" t="n">
        <v>39325</v>
      </c>
      <c r="W17" s="45" t="inlineStr">
        <is>
          <t>-</t>
        </is>
      </c>
      <c r="X17" s="44" t="n">
        <v>14</v>
      </c>
      <c r="Y17" s="44">
        <f>ROUNDUP((10^((X17+Z17)/10)/1000)*LEFT(P17,2)*5*12,0)</f>
        <v/>
      </c>
      <c r="Z17" s="44" t="n">
        <v>-3</v>
      </c>
      <c r="AA17" s="44" t="n">
        <v>1</v>
      </c>
      <c r="AB17" s="44">
        <f>Y17*I17</f>
        <v/>
      </c>
      <c r="AC17" s="44" t="n">
        <v>2</v>
      </c>
      <c r="AD17" s="44" t="n">
        <v>7</v>
      </c>
      <c r="AE17" s="44" t="n">
        <v>0</v>
      </c>
      <c r="AF17" s="45" t="n">
        <v>10</v>
      </c>
      <c r="AG17" s="63" t="n">
        <v>0</v>
      </c>
      <c r="AH17" s="45" t="n">
        <v>456</v>
      </c>
    </row>
    <row r="18" ht="12.75" customHeight="1" s="99">
      <c r="A18" s="56" t="inlineStr">
        <is>
          <t>01608178_IC_B40_Pisco</t>
        </is>
      </c>
      <c r="B18" s="45">
        <f>_xlfn.XLOOKUP(A18,'RF Parameter'!I:I,'RF Parameter'!A:A)</f>
        <v/>
      </c>
      <c r="C18" s="45">
        <f>_xlfn.XLOOKUP(A18,'RF Parameter'!I:I,'RF Parameter'!E:E)</f>
        <v/>
      </c>
      <c r="D18" s="44">
        <f>_xlfn.XLOOKUP(A18,'RF Parameter'!I:I,'RF Parameter'!K:K)</f>
        <v/>
      </c>
      <c r="E18" s="44">
        <f>_xlfn.XLOOKUP(A18,'RF Parameter'!I:I,'RF Parameter'!AB:AB)</f>
        <v/>
      </c>
      <c r="F18" s="44">
        <f>_xlfn.XLOOKUP(A18,'RF Parameter'!I:I,'RF Parameter'!AA:AA)</f>
        <v/>
      </c>
      <c r="G18" s="44">
        <f>_xlfn.XLOOKUP(A18,'RF Parameter'!I:I,'RF Parameter'!B:B)</f>
        <v/>
      </c>
      <c r="H18" s="45">
        <f>_xlfn.XLOOKUP(A18,'RF Parameter'!I:I,'RF Parameter'!M:M)</f>
        <v/>
      </c>
      <c r="I18" s="45" t="n">
        <v>2</v>
      </c>
      <c r="J18" s="44">
        <f>G18</f>
        <v/>
      </c>
      <c r="K18" s="44" t="inlineStr">
        <is>
          <t>-</t>
        </is>
      </c>
      <c r="L18" s="56" t="n">
        <v>716</v>
      </c>
      <c r="M18" s="56" t="n">
        <v>17</v>
      </c>
      <c r="N18" s="44" t="n">
        <v>817</v>
      </c>
      <c r="O18" s="44" t="n">
        <v>238</v>
      </c>
      <c r="P18" s="44" t="inlineStr">
        <is>
          <t>15M</t>
        </is>
      </c>
      <c r="Q18" s="45" t="n">
        <v>29</v>
      </c>
      <c r="R18" s="56" t="n">
        <v>903</v>
      </c>
      <c r="S18" s="57" t="n">
        <v>45652</v>
      </c>
      <c r="T18" s="56" t="n">
        <v>2382.5</v>
      </c>
      <c r="U18" s="56" t="inlineStr">
        <is>
          <t>-</t>
        </is>
      </c>
      <c r="V18" s="56" t="n">
        <v>39475</v>
      </c>
      <c r="W18" s="45" t="inlineStr">
        <is>
          <t>-</t>
        </is>
      </c>
      <c r="X18" s="44" t="n">
        <v>14</v>
      </c>
      <c r="Y18" s="44">
        <f>ROUNDUP((10^((X18+Z18)/10)/1000)*LEFT(P18,2)*5*12,0)</f>
        <v/>
      </c>
      <c r="Z18" s="44" t="n">
        <v>-3</v>
      </c>
      <c r="AA18" s="44" t="n">
        <v>1</v>
      </c>
      <c r="AB18" s="44">
        <f>Y18*I18</f>
        <v/>
      </c>
      <c r="AC18" s="44" t="n">
        <v>2</v>
      </c>
      <c r="AD18" s="44" t="n">
        <v>7</v>
      </c>
      <c r="AE18" s="44" t="n">
        <v>0</v>
      </c>
      <c r="AF18" s="45" t="n">
        <v>10</v>
      </c>
      <c r="AG18" s="63" t="n">
        <v>0</v>
      </c>
      <c r="AH18" s="45" t="n">
        <v>216</v>
      </c>
    </row>
    <row r="19" hidden="1" ht="12.75" customHeight="1" s="99">
      <c r="A19" s="56" t="inlineStr">
        <is>
          <t>01722471_IC_San_Clemente</t>
        </is>
      </c>
      <c r="B19" s="45">
        <f>_xlfn.XLOOKUP(A19,'RF Parameter'!I:I,'RF Parameter'!A:A)</f>
        <v/>
      </c>
      <c r="C19" s="45">
        <f>_xlfn.XLOOKUP(A19,'RF Parameter'!I:I,'RF Parameter'!E:E)</f>
        <v/>
      </c>
      <c r="D19" s="44">
        <f>_xlfn.XLOOKUP(A19,'RF Parameter'!I:I,'RF Parameter'!K:K)</f>
        <v/>
      </c>
      <c r="E19" s="44">
        <f>_xlfn.XLOOKUP(A19,'RF Parameter'!I:I,'RF Parameter'!AB:AB)</f>
        <v/>
      </c>
      <c r="F19" s="44">
        <f>_xlfn.XLOOKUP(A19,'RF Parameter'!I:I,'RF Parameter'!AA:AA)</f>
        <v/>
      </c>
      <c r="G19" s="44">
        <f>_xlfn.XLOOKUP(A19,'RF Parameter'!I:I,'RF Parameter'!B:B)</f>
        <v/>
      </c>
      <c r="H19" s="45">
        <f>_xlfn.XLOOKUP(A19,'RF Parameter'!I:I,'RF Parameter'!M:M)</f>
        <v/>
      </c>
      <c r="I19" s="45" t="n">
        <v>4</v>
      </c>
      <c r="J19" s="44">
        <f>G19</f>
        <v/>
      </c>
      <c r="K19" s="44" t="inlineStr">
        <is>
          <t>-</t>
        </is>
      </c>
      <c r="L19" s="56" t="n">
        <v>716</v>
      </c>
      <c r="M19" s="56" t="n">
        <v>17</v>
      </c>
      <c r="N19" s="44" t="n">
        <v>2247</v>
      </c>
      <c r="O19" s="44" t="n">
        <v>71</v>
      </c>
      <c r="P19" s="44" t="inlineStr">
        <is>
          <t>15M</t>
        </is>
      </c>
      <c r="Q19" s="45" t="n">
        <v>262</v>
      </c>
      <c r="R19" s="56" t="n">
        <v>903</v>
      </c>
      <c r="S19" s="57" t="n">
        <v>45652</v>
      </c>
      <c r="T19" s="56" t="n">
        <v>765.5</v>
      </c>
      <c r="U19" s="56" t="n">
        <v>710.5</v>
      </c>
      <c r="V19" s="56" t="n">
        <v>9285</v>
      </c>
      <c r="W19" s="56" t="n">
        <v>27285</v>
      </c>
      <c r="X19" s="44" t="n">
        <v>12.2</v>
      </c>
      <c r="Y19" s="44">
        <f>ROUNDUP((10^((X19+Z19)/10)/1000)*LEFT(P19,2)*5*12,0)</f>
        <v/>
      </c>
      <c r="Z19" s="44" t="n">
        <v>0</v>
      </c>
      <c r="AA19" s="44" t="n">
        <v>0</v>
      </c>
      <c r="AB19" s="44">
        <f>Y19*I19</f>
        <v/>
      </c>
      <c r="AC19" s="44" t="inlineStr">
        <is>
          <t>-</t>
        </is>
      </c>
      <c r="AD19" s="44" t="inlineStr">
        <is>
          <t>-</t>
        </is>
      </c>
      <c r="AE19" s="44" t="n">
        <v>0</v>
      </c>
      <c r="AF19" s="45" t="n">
        <v>10</v>
      </c>
      <c r="AG19" s="45" t="n">
        <v>3</v>
      </c>
      <c r="AH19" s="45" t="n">
        <v>304</v>
      </c>
    </row>
    <row r="20" hidden="1" ht="12.75" customHeight="1" s="99">
      <c r="A20" s="56" t="inlineStr">
        <is>
          <t>01722472_IC_San_Clemente</t>
        </is>
      </c>
      <c r="B20" s="45">
        <f>_xlfn.XLOOKUP(A20,'RF Parameter'!I:I,'RF Parameter'!A:A)</f>
        <v/>
      </c>
      <c r="C20" s="45">
        <f>_xlfn.XLOOKUP(A20,'RF Parameter'!I:I,'RF Parameter'!E:E)</f>
        <v/>
      </c>
      <c r="D20" s="44">
        <f>_xlfn.XLOOKUP(A20,'RF Parameter'!I:I,'RF Parameter'!K:K)</f>
        <v/>
      </c>
      <c r="E20" s="44">
        <f>_xlfn.XLOOKUP(A20,'RF Parameter'!I:I,'RF Parameter'!AB:AB)</f>
        <v/>
      </c>
      <c r="F20" s="44">
        <f>_xlfn.XLOOKUP(A20,'RF Parameter'!I:I,'RF Parameter'!AA:AA)</f>
        <v/>
      </c>
      <c r="G20" s="44">
        <f>_xlfn.XLOOKUP(A20,'RF Parameter'!I:I,'RF Parameter'!B:B)</f>
        <v/>
      </c>
      <c r="H20" s="45">
        <f>_xlfn.XLOOKUP(A20,'RF Parameter'!I:I,'RF Parameter'!M:M)</f>
        <v/>
      </c>
      <c r="I20" s="45" t="n">
        <v>4</v>
      </c>
      <c r="J20" s="44">
        <f>G20</f>
        <v/>
      </c>
      <c r="K20" s="44" t="inlineStr">
        <is>
          <t>-</t>
        </is>
      </c>
      <c r="L20" s="56" t="n">
        <v>716</v>
      </c>
      <c r="M20" s="56" t="n">
        <v>17</v>
      </c>
      <c r="N20" s="44" t="n">
        <v>2247</v>
      </c>
      <c r="O20" s="44" t="n">
        <v>72</v>
      </c>
      <c r="P20" s="44" t="inlineStr">
        <is>
          <t>15M</t>
        </is>
      </c>
      <c r="Q20" s="45" t="n">
        <v>261</v>
      </c>
      <c r="R20" s="56" t="n">
        <v>903</v>
      </c>
      <c r="S20" s="57" t="n">
        <v>45652</v>
      </c>
      <c r="T20" s="56" t="n">
        <v>765.5</v>
      </c>
      <c r="U20" s="56" t="n">
        <v>710.5</v>
      </c>
      <c r="V20" s="56" t="n">
        <v>9285</v>
      </c>
      <c r="W20" s="56" t="n">
        <v>27285</v>
      </c>
      <c r="X20" s="44" t="n">
        <v>11.2</v>
      </c>
      <c r="Y20" s="44">
        <f>ROUNDUP((10^((X20+Z20)/10)/1000)*LEFT(P20,2)*5*12,0)</f>
        <v/>
      </c>
      <c r="Z20" s="44" t="n">
        <v>0</v>
      </c>
      <c r="AA20" s="44" t="n">
        <v>0</v>
      </c>
      <c r="AB20" s="44">
        <f>Y20*I20</f>
        <v/>
      </c>
      <c r="AC20" s="44" t="inlineStr">
        <is>
          <t>-</t>
        </is>
      </c>
      <c r="AD20" s="44" t="inlineStr">
        <is>
          <t>-</t>
        </is>
      </c>
      <c r="AE20" s="44" t="n">
        <v>0</v>
      </c>
      <c r="AF20" s="45" t="n">
        <v>10</v>
      </c>
      <c r="AG20" s="45" t="n">
        <v>3</v>
      </c>
      <c r="AH20" s="45" t="n">
        <v>88</v>
      </c>
    </row>
    <row r="21" hidden="1" ht="12.75" customHeight="1" s="99">
      <c r="A21" s="56" t="inlineStr">
        <is>
          <t>01722473_IC_San_Clemente</t>
        </is>
      </c>
      <c r="B21" s="45">
        <f>_xlfn.XLOOKUP(A21,'RF Parameter'!I:I,'RF Parameter'!A:A)</f>
        <v/>
      </c>
      <c r="C21" s="45">
        <f>_xlfn.XLOOKUP(A21,'RF Parameter'!I:I,'RF Parameter'!E:E)</f>
        <v/>
      </c>
      <c r="D21" s="44">
        <f>_xlfn.XLOOKUP(A21,'RF Parameter'!I:I,'RF Parameter'!K:K)</f>
        <v/>
      </c>
      <c r="E21" s="44">
        <f>_xlfn.XLOOKUP(A21,'RF Parameter'!I:I,'RF Parameter'!AB:AB)</f>
        <v/>
      </c>
      <c r="F21" s="44">
        <f>_xlfn.XLOOKUP(A21,'RF Parameter'!I:I,'RF Parameter'!AA:AA)</f>
        <v/>
      </c>
      <c r="G21" s="44">
        <f>_xlfn.XLOOKUP(A21,'RF Parameter'!I:I,'RF Parameter'!B:B)</f>
        <v/>
      </c>
      <c r="H21" s="45">
        <f>_xlfn.XLOOKUP(A21,'RF Parameter'!I:I,'RF Parameter'!M:M)</f>
        <v/>
      </c>
      <c r="I21" s="45" t="n">
        <v>4</v>
      </c>
      <c r="J21" s="44">
        <f>G21</f>
        <v/>
      </c>
      <c r="K21" s="44" t="inlineStr">
        <is>
          <t>-</t>
        </is>
      </c>
      <c r="L21" s="56" t="n">
        <v>716</v>
      </c>
      <c r="M21" s="56" t="n">
        <v>17</v>
      </c>
      <c r="N21" s="44" t="n">
        <v>2247</v>
      </c>
      <c r="O21" s="44" t="n">
        <v>73</v>
      </c>
      <c r="P21" s="44" t="inlineStr">
        <is>
          <t>15M</t>
        </is>
      </c>
      <c r="Q21" s="45" t="n">
        <v>263</v>
      </c>
      <c r="R21" s="56" t="n">
        <v>903</v>
      </c>
      <c r="S21" s="57" t="n">
        <v>45652</v>
      </c>
      <c r="T21" s="56" t="n">
        <v>765.5</v>
      </c>
      <c r="U21" s="56" t="n">
        <v>710.5</v>
      </c>
      <c r="V21" s="56" t="n">
        <v>9285</v>
      </c>
      <c r="W21" s="56" t="n">
        <v>27285</v>
      </c>
      <c r="X21" s="44" t="n">
        <v>12.2</v>
      </c>
      <c r="Y21" s="44">
        <f>ROUNDUP((10^((X21+Z21)/10)/1000)*LEFT(P21,2)*5*12,0)</f>
        <v/>
      </c>
      <c r="Z21" s="44" t="n">
        <v>0</v>
      </c>
      <c r="AA21" s="44" t="n">
        <v>0</v>
      </c>
      <c r="AB21" s="44">
        <f>Y21*I21</f>
        <v/>
      </c>
      <c r="AC21" s="44" t="inlineStr">
        <is>
          <t>-</t>
        </is>
      </c>
      <c r="AD21" s="44" t="inlineStr">
        <is>
          <t>-</t>
        </is>
      </c>
      <c r="AE21" s="44" t="n">
        <v>0</v>
      </c>
      <c r="AF21" s="45" t="n">
        <v>10</v>
      </c>
      <c r="AG21" s="45" t="n">
        <v>3</v>
      </c>
      <c r="AH21" s="45" t="n">
        <v>392</v>
      </c>
    </row>
    <row r="22" hidden="1" ht="12.75" customHeight="1" s="99">
      <c r="A22" s="56" t="inlineStr">
        <is>
          <t>01422471_IC_San_Clemente</t>
        </is>
      </c>
      <c r="B22" s="45">
        <f>_xlfn.XLOOKUP(A22,'RF Parameter'!I:I,'RF Parameter'!A:A)</f>
        <v/>
      </c>
      <c r="C22" s="45">
        <f>_xlfn.XLOOKUP(A22,'RF Parameter'!I:I,'RF Parameter'!E:E)</f>
        <v/>
      </c>
      <c r="D22" s="44">
        <f>_xlfn.XLOOKUP(A22,'RF Parameter'!I:I,'RF Parameter'!K:K)</f>
        <v/>
      </c>
      <c r="E22" s="44">
        <f>_xlfn.XLOOKUP(A22,'RF Parameter'!I:I,'RF Parameter'!AB:AB)</f>
        <v/>
      </c>
      <c r="F22" s="44">
        <f>_xlfn.XLOOKUP(A22,'RF Parameter'!I:I,'RF Parameter'!AA:AA)</f>
        <v/>
      </c>
      <c r="G22" s="44">
        <f>_xlfn.XLOOKUP(A22,'RF Parameter'!I:I,'RF Parameter'!B:B)</f>
        <v/>
      </c>
      <c r="H22" s="45">
        <f>_xlfn.XLOOKUP(A22,'RF Parameter'!I:I,'RF Parameter'!M:M)</f>
        <v/>
      </c>
      <c r="I22" s="45" t="n">
        <v>4</v>
      </c>
      <c r="J22" s="44">
        <f>G22</f>
        <v/>
      </c>
      <c r="K22" s="44" t="inlineStr">
        <is>
          <t>-</t>
        </is>
      </c>
      <c r="L22" s="56" t="n">
        <v>716</v>
      </c>
      <c r="M22" s="56" t="n">
        <v>17</v>
      </c>
      <c r="N22" s="44" t="n">
        <v>2247</v>
      </c>
      <c r="O22" s="44" t="n">
        <v>1</v>
      </c>
      <c r="P22" s="44" t="inlineStr">
        <is>
          <t>20M</t>
        </is>
      </c>
      <c r="Q22" s="45" t="n">
        <v>262</v>
      </c>
      <c r="R22" s="56" t="n">
        <v>903</v>
      </c>
      <c r="S22" s="57" t="n">
        <v>45652</v>
      </c>
      <c r="T22" s="45" t="n">
        <v>2140</v>
      </c>
      <c r="U22" s="45" t="n">
        <v>1740</v>
      </c>
      <c r="V22" s="45" t="n">
        <v>2250</v>
      </c>
      <c r="W22" s="45" t="n">
        <v>20250</v>
      </c>
      <c r="X22" s="44" t="n">
        <v>17.2</v>
      </c>
      <c r="Y22" s="44">
        <f>ROUNDUP((10^((X22+Z22)/10)/1000)*LEFT(P22,2)*5*12,0)</f>
        <v/>
      </c>
      <c r="Z22" s="44" t="n">
        <v>-3</v>
      </c>
      <c r="AA22" s="44" t="n">
        <v>1</v>
      </c>
      <c r="AB22" s="44">
        <f>Y22*I22</f>
        <v/>
      </c>
      <c r="AC22" s="44" t="inlineStr">
        <is>
          <t>-</t>
        </is>
      </c>
      <c r="AD22" s="44" t="inlineStr">
        <is>
          <t>-</t>
        </is>
      </c>
      <c r="AE22" s="44" t="n">
        <v>0</v>
      </c>
      <c r="AF22" s="45" t="n">
        <v>10</v>
      </c>
      <c r="AG22" s="45" t="n">
        <v>3</v>
      </c>
      <c r="AH22" s="45" t="n">
        <v>304</v>
      </c>
    </row>
    <row r="23" hidden="1" ht="12.75" customHeight="1" s="99">
      <c r="A23" s="56" t="inlineStr">
        <is>
          <t>01422472_IC_San_Clemente</t>
        </is>
      </c>
      <c r="B23" s="45">
        <f>_xlfn.XLOOKUP(A23,'RF Parameter'!I:I,'RF Parameter'!A:A)</f>
        <v/>
      </c>
      <c r="C23" s="45">
        <f>_xlfn.XLOOKUP(A23,'RF Parameter'!I:I,'RF Parameter'!E:E)</f>
        <v/>
      </c>
      <c r="D23" s="44">
        <f>_xlfn.XLOOKUP(A23,'RF Parameter'!I:I,'RF Parameter'!K:K)</f>
        <v/>
      </c>
      <c r="E23" s="44">
        <f>_xlfn.XLOOKUP(A23,'RF Parameter'!I:I,'RF Parameter'!AB:AB)</f>
        <v/>
      </c>
      <c r="F23" s="44">
        <f>_xlfn.XLOOKUP(A23,'RF Parameter'!I:I,'RF Parameter'!AA:AA)</f>
        <v/>
      </c>
      <c r="G23" s="44">
        <f>_xlfn.XLOOKUP(A23,'RF Parameter'!I:I,'RF Parameter'!B:B)</f>
        <v/>
      </c>
      <c r="H23" s="45">
        <f>_xlfn.XLOOKUP(A23,'RF Parameter'!I:I,'RF Parameter'!M:M)</f>
        <v/>
      </c>
      <c r="I23" s="45" t="n">
        <v>4</v>
      </c>
      <c r="J23" s="44">
        <f>G23</f>
        <v/>
      </c>
      <c r="K23" s="44" t="inlineStr">
        <is>
          <t>-</t>
        </is>
      </c>
      <c r="L23" s="56" t="n">
        <v>716</v>
      </c>
      <c r="M23" s="56" t="n">
        <v>17</v>
      </c>
      <c r="N23" s="44" t="n">
        <v>2247</v>
      </c>
      <c r="O23" s="44" t="n">
        <v>2</v>
      </c>
      <c r="P23" s="44" t="inlineStr">
        <is>
          <t>20M</t>
        </is>
      </c>
      <c r="Q23" s="45" t="n">
        <v>261</v>
      </c>
      <c r="R23" s="56" t="n">
        <v>903</v>
      </c>
      <c r="S23" s="57" t="n">
        <v>45652</v>
      </c>
      <c r="T23" s="45" t="n">
        <v>2140</v>
      </c>
      <c r="U23" s="45" t="n">
        <v>1740</v>
      </c>
      <c r="V23" s="45" t="n">
        <v>2250</v>
      </c>
      <c r="W23" s="45" t="n">
        <v>20250</v>
      </c>
      <c r="X23" s="58">
        <f>ROUNDDOWN(10*LOG(Y23*1000/1200)-Z23,1)</f>
        <v/>
      </c>
      <c r="Y23" s="58">
        <f>90/4</f>
        <v/>
      </c>
      <c r="Z23" s="58" t="n">
        <v>-4.77</v>
      </c>
      <c r="AA23" s="58" t="n">
        <v>2</v>
      </c>
      <c r="AB23" s="58">
        <f>Y23*I23</f>
        <v/>
      </c>
      <c r="AC23" s="44" t="inlineStr">
        <is>
          <t>-</t>
        </is>
      </c>
      <c r="AD23" s="44" t="inlineStr">
        <is>
          <t>-</t>
        </is>
      </c>
      <c r="AE23" s="44" t="n">
        <v>0</v>
      </c>
      <c r="AF23" s="45" t="n">
        <v>10</v>
      </c>
      <c r="AG23" s="45" t="n">
        <v>3</v>
      </c>
      <c r="AH23" s="45" t="n">
        <v>88</v>
      </c>
    </row>
    <row r="24" hidden="1" ht="12.75" customHeight="1" s="99">
      <c r="A24" s="56" t="inlineStr">
        <is>
          <t>01422477_IC_San_Clemente</t>
        </is>
      </c>
      <c r="B24" s="45">
        <f>_xlfn.XLOOKUP(A24,'RF Parameter'!I:I,'RF Parameter'!A:A)</f>
        <v/>
      </c>
      <c r="C24" s="45">
        <f>_xlfn.XLOOKUP(A24,'RF Parameter'!I:I,'RF Parameter'!E:E)</f>
        <v/>
      </c>
      <c r="D24" s="44">
        <f>_xlfn.XLOOKUP(A24,'RF Parameter'!I:I,'RF Parameter'!K:K)</f>
        <v/>
      </c>
      <c r="E24" s="44">
        <f>_xlfn.XLOOKUP(A24,'RF Parameter'!I:I,'RF Parameter'!AB:AB)</f>
        <v/>
      </c>
      <c r="F24" s="44">
        <f>_xlfn.XLOOKUP(A24,'RF Parameter'!I:I,'RF Parameter'!AA:AA)</f>
        <v/>
      </c>
      <c r="G24" s="44">
        <f>_xlfn.XLOOKUP(A24,'RF Parameter'!I:I,'RF Parameter'!B:B)</f>
        <v/>
      </c>
      <c r="H24" s="45">
        <f>_xlfn.XLOOKUP(A24,'RF Parameter'!I:I,'RF Parameter'!M:M)</f>
        <v/>
      </c>
      <c r="I24" s="45" t="n">
        <v>4</v>
      </c>
      <c r="J24" s="44">
        <f>G24</f>
        <v/>
      </c>
      <c r="K24" s="44" t="inlineStr">
        <is>
          <t>-</t>
        </is>
      </c>
      <c r="L24" s="56" t="n">
        <v>716</v>
      </c>
      <c r="M24" s="56" t="n">
        <v>17</v>
      </c>
      <c r="N24" s="44" t="n">
        <v>2247</v>
      </c>
      <c r="O24" s="44" t="n">
        <v>7</v>
      </c>
      <c r="P24" s="44" t="inlineStr">
        <is>
          <t>20M</t>
        </is>
      </c>
      <c r="Q24" s="45" t="n">
        <v>34</v>
      </c>
      <c r="R24" s="56" t="n">
        <v>903</v>
      </c>
      <c r="S24" s="57" t="n">
        <v>45652</v>
      </c>
      <c r="T24" s="45" t="n">
        <v>2140</v>
      </c>
      <c r="U24" s="45" t="n">
        <v>1740</v>
      </c>
      <c r="V24" s="45" t="n">
        <v>2250</v>
      </c>
      <c r="W24" s="45" t="n">
        <v>20250</v>
      </c>
      <c r="X24" s="58">
        <f>ROUNDDOWN(10*LOG(Y24*1000/1200)-Z24,1)</f>
        <v/>
      </c>
      <c r="Y24" s="58">
        <f>90/4</f>
        <v/>
      </c>
      <c r="Z24" s="58" t="n">
        <v>-4.77</v>
      </c>
      <c r="AA24" s="58" t="n">
        <v>2</v>
      </c>
      <c r="AB24" s="58">
        <f>Y24*I24</f>
        <v/>
      </c>
      <c r="AC24" s="44" t="inlineStr">
        <is>
          <t>-</t>
        </is>
      </c>
      <c r="AD24" s="44" t="inlineStr">
        <is>
          <t>-</t>
        </is>
      </c>
      <c r="AE24" s="44" t="n">
        <v>0</v>
      </c>
      <c r="AF24" s="45" t="n">
        <v>10</v>
      </c>
      <c r="AG24" s="45" t="n">
        <v>3</v>
      </c>
      <c r="AH24" s="45" t="n">
        <v>96</v>
      </c>
    </row>
    <row r="25" hidden="1" ht="12.75" customHeight="1" s="99">
      <c r="A25" s="35" t="inlineStr">
        <is>
          <t>01422479_IC_San_Clemente</t>
        </is>
      </c>
      <c r="B25" s="45">
        <f>_xlfn.XLOOKUP(A25,'RF Parameter'!I:I,'RF Parameter'!A:A)</f>
        <v/>
      </c>
      <c r="C25" s="45">
        <f>_xlfn.XLOOKUP(A25,'RF Parameter'!I:I,'RF Parameter'!E:E)</f>
        <v/>
      </c>
      <c r="D25" s="44">
        <f>_xlfn.XLOOKUP(A25,'RF Parameter'!I:I,'RF Parameter'!K:K)</f>
        <v/>
      </c>
      <c r="E25" s="44">
        <f>_xlfn.XLOOKUP(A25,'RF Parameter'!I:I,'RF Parameter'!AB:AB)</f>
        <v/>
      </c>
      <c r="F25" s="44">
        <f>_xlfn.XLOOKUP(A25,'RF Parameter'!I:I,'RF Parameter'!AA:AA)</f>
        <v/>
      </c>
      <c r="G25" s="44">
        <f>_xlfn.XLOOKUP(A25,'RF Parameter'!I:I,'RF Parameter'!B:B)</f>
        <v/>
      </c>
      <c r="H25" s="45">
        <f>_xlfn.XLOOKUP(A25,'RF Parameter'!I:I,'RF Parameter'!M:M)</f>
        <v/>
      </c>
      <c r="I25" s="45" t="n">
        <v>4</v>
      </c>
      <c r="J25" s="44">
        <f>G25</f>
        <v/>
      </c>
      <c r="K25" s="44" t="inlineStr">
        <is>
          <t>-</t>
        </is>
      </c>
      <c r="L25" s="56" t="n">
        <v>716</v>
      </c>
      <c r="M25" s="56" t="n">
        <v>17</v>
      </c>
      <c r="N25" s="44" t="n">
        <v>2247</v>
      </c>
      <c r="O25" s="58" t="n">
        <v>9</v>
      </c>
      <c r="P25" s="44" t="inlineStr">
        <is>
          <t>20M</t>
        </is>
      </c>
      <c r="Q25" s="45" t="n">
        <v>5</v>
      </c>
      <c r="R25" s="56" t="n">
        <v>903</v>
      </c>
      <c r="S25" s="57" t="n">
        <v>45652</v>
      </c>
      <c r="T25" s="45" t="n">
        <v>2140</v>
      </c>
      <c r="U25" s="45" t="n">
        <v>1740</v>
      </c>
      <c r="V25" s="45" t="n">
        <v>2250</v>
      </c>
      <c r="W25" s="45" t="n">
        <v>20250</v>
      </c>
      <c r="X25" s="58">
        <f>ROUNDDOWN(10*LOG(Y25*1000/1200)-Z25,1)</f>
        <v/>
      </c>
      <c r="Y25" s="58">
        <f>90/4</f>
        <v/>
      </c>
      <c r="Z25" s="58" t="n">
        <v>-4.77</v>
      </c>
      <c r="AA25" s="58" t="n">
        <v>2</v>
      </c>
      <c r="AB25" s="58">
        <f>Y25*I25</f>
        <v/>
      </c>
      <c r="AC25" s="44" t="inlineStr">
        <is>
          <t>-</t>
        </is>
      </c>
      <c r="AD25" s="44" t="inlineStr">
        <is>
          <t>-</t>
        </is>
      </c>
      <c r="AE25" s="44" t="n">
        <v>0</v>
      </c>
      <c r="AF25" s="45" t="n">
        <v>10</v>
      </c>
      <c r="AG25" s="45" t="n">
        <v>3</v>
      </c>
      <c r="AH25" s="45" t="n">
        <v>72</v>
      </c>
    </row>
    <row r="26" hidden="1" ht="12.75" customHeight="1" s="99">
      <c r="A26" s="35" t="inlineStr">
        <is>
          <t>014224710_IC_San_Clemente</t>
        </is>
      </c>
      <c r="B26" s="45">
        <f>_xlfn.XLOOKUP(A26,'RF Parameter'!I:I,'RF Parameter'!A:A)</f>
        <v/>
      </c>
      <c r="C26" s="45">
        <f>_xlfn.XLOOKUP(A26,'RF Parameter'!I:I,'RF Parameter'!E:E)</f>
        <v/>
      </c>
      <c r="D26" s="44">
        <f>_xlfn.XLOOKUP(A26,'RF Parameter'!I:I,'RF Parameter'!K:K)</f>
        <v/>
      </c>
      <c r="E26" s="44">
        <f>_xlfn.XLOOKUP(A26,'RF Parameter'!I:I,'RF Parameter'!AB:AB)</f>
        <v/>
      </c>
      <c r="F26" s="44">
        <f>_xlfn.XLOOKUP(A26,'RF Parameter'!I:I,'RF Parameter'!AA:AA)</f>
        <v/>
      </c>
      <c r="G26" s="44">
        <f>_xlfn.XLOOKUP(A26,'RF Parameter'!I:I,'RF Parameter'!B:B)</f>
        <v/>
      </c>
      <c r="H26" s="45">
        <f>_xlfn.XLOOKUP(A26,'RF Parameter'!I:I,'RF Parameter'!M:M)</f>
        <v/>
      </c>
      <c r="I26" s="45" t="n">
        <v>4</v>
      </c>
      <c r="J26" s="44">
        <f>G26</f>
        <v/>
      </c>
      <c r="K26" s="44" t="inlineStr">
        <is>
          <t>-</t>
        </is>
      </c>
      <c r="L26" s="56" t="n">
        <v>716</v>
      </c>
      <c r="M26" s="56" t="n">
        <v>17</v>
      </c>
      <c r="N26" s="44" t="n">
        <v>2247</v>
      </c>
      <c r="O26" s="58" t="n">
        <v>10</v>
      </c>
      <c r="P26" s="44" t="inlineStr">
        <is>
          <t>20M</t>
        </is>
      </c>
      <c r="Q26" s="45" t="n">
        <v>6</v>
      </c>
      <c r="R26" s="56" t="n">
        <v>903</v>
      </c>
      <c r="S26" s="57" t="n">
        <v>45652</v>
      </c>
      <c r="T26" s="45" t="n">
        <v>2140</v>
      </c>
      <c r="U26" s="45" t="n">
        <v>1740</v>
      </c>
      <c r="V26" s="45" t="n">
        <v>2250</v>
      </c>
      <c r="W26" s="45" t="n">
        <v>20250</v>
      </c>
      <c r="X26" s="58">
        <f>ROUNDDOWN(10*LOG(Y26*1000/1200)-Z26,1)</f>
        <v/>
      </c>
      <c r="Y26" s="58">
        <f>90/4</f>
        <v/>
      </c>
      <c r="Z26" s="58" t="n">
        <v>-4.77</v>
      </c>
      <c r="AA26" s="58" t="n">
        <v>2</v>
      </c>
      <c r="AB26" s="58">
        <f>Y26*I26</f>
        <v/>
      </c>
      <c r="AC26" s="44" t="inlineStr">
        <is>
          <t>-</t>
        </is>
      </c>
      <c r="AD26" s="44" t="inlineStr">
        <is>
          <t>-</t>
        </is>
      </c>
      <c r="AE26" s="44" t="n">
        <v>0</v>
      </c>
      <c r="AF26" s="45" t="n">
        <v>10</v>
      </c>
      <c r="AG26" s="45" t="n">
        <v>3</v>
      </c>
      <c r="AH26" s="45" t="n">
        <v>30</v>
      </c>
    </row>
    <row r="27" hidden="1" ht="12.75" customHeight="1" s="99">
      <c r="A27" s="56" t="inlineStr">
        <is>
          <t>01422473_IC_San_Clemente</t>
        </is>
      </c>
      <c r="B27" s="45">
        <f>_xlfn.XLOOKUP(A27,'RF Parameter'!I:I,'RF Parameter'!A:A)</f>
        <v/>
      </c>
      <c r="C27" s="45">
        <f>_xlfn.XLOOKUP(A27,'RF Parameter'!I:I,'RF Parameter'!E:E)</f>
        <v/>
      </c>
      <c r="D27" s="44">
        <f>_xlfn.XLOOKUP(A27,'RF Parameter'!I:I,'RF Parameter'!K:K)</f>
        <v/>
      </c>
      <c r="E27" s="44">
        <f>_xlfn.XLOOKUP(A27,'RF Parameter'!I:I,'RF Parameter'!AB:AB)</f>
        <v/>
      </c>
      <c r="F27" s="44">
        <f>_xlfn.XLOOKUP(A27,'RF Parameter'!I:I,'RF Parameter'!AA:AA)</f>
        <v/>
      </c>
      <c r="G27" s="44">
        <f>_xlfn.XLOOKUP(A27,'RF Parameter'!I:I,'RF Parameter'!B:B)</f>
        <v/>
      </c>
      <c r="H27" s="45">
        <f>_xlfn.XLOOKUP(A27,'RF Parameter'!I:I,'RF Parameter'!M:M)</f>
        <v/>
      </c>
      <c r="I27" s="45" t="n">
        <v>4</v>
      </c>
      <c r="J27" s="44">
        <f>G27</f>
        <v/>
      </c>
      <c r="K27" s="44" t="inlineStr">
        <is>
          <t>-</t>
        </is>
      </c>
      <c r="L27" s="56" t="n">
        <v>716</v>
      </c>
      <c r="M27" s="56" t="n">
        <v>17</v>
      </c>
      <c r="N27" s="44" t="n">
        <v>2247</v>
      </c>
      <c r="O27" s="44" t="n">
        <v>3</v>
      </c>
      <c r="P27" s="44" t="inlineStr">
        <is>
          <t>20M</t>
        </is>
      </c>
      <c r="Q27" s="45" t="n">
        <v>263</v>
      </c>
      <c r="R27" s="56" t="n">
        <v>903</v>
      </c>
      <c r="S27" s="57" t="n">
        <v>45652</v>
      </c>
      <c r="T27" s="45" t="n">
        <v>2140</v>
      </c>
      <c r="U27" s="45" t="n">
        <v>1740</v>
      </c>
      <c r="V27" s="45" t="n">
        <v>2250</v>
      </c>
      <c r="W27" s="45" t="n">
        <v>20250</v>
      </c>
      <c r="X27" s="44" t="n">
        <v>17.4</v>
      </c>
      <c r="Y27" s="44">
        <f>ROUNDUP((10^((X27+Z27)/10)/1000)*LEFT(P27,2)*5*12,0)</f>
        <v/>
      </c>
      <c r="Z27" s="44" t="n">
        <v>-3</v>
      </c>
      <c r="AA27" s="44" t="n">
        <v>1</v>
      </c>
      <c r="AB27" s="44">
        <f>Y27*I27</f>
        <v/>
      </c>
      <c r="AC27" s="44" t="inlineStr">
        <is>
          <t>-</t>
        </is>
      </c>
      <c r="AD27" s="44" t="inlineStr">
        <is>
          <t>-</t>
        </is>
      </c>
      <c r="AE27" s="44" t="n">
        <v>0</v>
      </c>
      <c r="AF27" s="45" t="n">
        <v>10</v>
      </c>
      <c r="AG27" s="45" t="n">
        <v>3</v>
      </c>
      <c r="AH27" s="45" t="n">
        <v>392</v>
      </c>
    </row>
    <row r="28" hidden="1" ht="12.75" customHeight="1" s="99">
      <c r="A28" s="56" t="inlineStr">
        <is>
          <t>01422478_IC_San_Clemente</t>
        </is>
      </c>
      <c r="B28" s="45">
        <f>_xlfn.XLOOKUP(A28,'RF Parameter'!I:I,'RF Parameter'!A:A)</f>
        <v/>
      </c>
      <c r="C28" s="45">
        <f>_xlfn.XLOOKUP(A28,'RF Parameter'!I:I,'RF Parameter'!E:E)</f>
        <v/>
      </c>
      <c r="D28" s="44">
        <f>_xlfn.XLOOKUP(A28,'RF Parameter'!I:I,'RF Parameter'!K:K)</f>
        <v/>
      </c>
      <c r="E28" s="44">
        <f>_xlfn.XLOOKUP(A28,'RF Parameter'!I:I,'RF Parameter'!AB:AB)</f>
        <v/>
      </c>
      <c r="F28" s="44">
        <f>_xlfn.XLOOKUP(A28,'RF Parameter'!I:I,'RF Parameter'!AA:AA)</f>
        <v/>
      </c>
      <c r="G28" s="44">
        <f>_xlfn.XLOOKUP(A28,'RF Parameter'!I:I,'RF Parameter'!B:B)</f>
        <v/>
      </c>
      <c r="H28" s="45">
        <f>_xlfn.XLOOKUP(A28,'RF Parameter'!I:I,'RF Parameter'!M:M)</f>
        <v/>
      </c>
      <c r="I28" s="45" t="n">
        <v>4</v>
      </c>
      <c r="J28" s="44">
        <f>G28</f>
        <v/>
      </c>
      <c r="K28" s="44" t="inlineStr">
        <is>
          <t>-</t>
        </is>
      </c>
      <c r="L28" s="56" t="n">
        <v>716</v>
      </c>
      <c r="M28" s="56" t="n">
        <v>17</v>
      </c>
      <c r="N28" s="44" t="n">
        <v>2247</v>
      </c>
      <c r="O28" s="44" t="n">
        <v>8</v>
      </c>
      <c r="P28" s="44" t="inlineStr">
        <is>
          <t>20M</t>
        </is>
      </c>
      <c r="Q28" s="45" t="n">
        <v>33</v>
      </c>
      <c r="R28" s="56" t="n">
        <v>903</v>
      </c>
      <c r="S28" s="57" t="n">
        <v>45652</v>
      </c>
      <c r="T28" s="45" t="n">
        <v>2140</v>
      </c>
      <c r="U28" s="45" t="n">
        <v>1740</v>
      </c>
      <c r="V28" s="45" t="n">
        <v>2250</v>
      </c>
      <c r="W28" s="45" t="n">
        <v>20250</v>
      </c>
      <c r="X28" s="44" t="n">
        <v>17.4</v>
      </c>
      <c r="Y28" s="44">
        <f>ROUNDUP((10^((X28+Z28)/10)/1000)*LEFT(P28,2)*5*12,0)</f>
        <v/>
      </c>
      <c r="Z28" s="44" t="n">
        <v>-3</v>
      </c>
      <c r="AA28" s="44" t="n">
        <v>1</v>
      </c>
      <c r="AB28" s="44">
        <f>Y28*I28</f>
        <v/>
      </c>
      <c r="AC28" s="44" t="inlineStr">
        <is>
          <t>-</t>
        </is>
      </c>
      <c r="AD28" s="44" t="inlineStr">
        <is>
          <t>-</t>
        </is>
      </c>
      <c r="AE28" s="44" t="n">
        <v>0</v>
      </c>
      <c r="AF28" s="45" t="n">
        <v>10</v>
      </c>
      <c r="AG28" s="45" t="n">
        <v>3</v>
      </c>
      <c r="AH28" s="45" t="n">
        <v>120</v>
      </c>
    </row>
    <row r="29" hidden="1" ht="12.75" customHeight="1" s="99">
      <c r="A29" s="56" t="inlineStr">
        <is>
          <t>09422471_IC_San_Clemente</t>
        </is>
      </c>
      <c r="B29" s="45">
        <f>_xlfn.XLOOKUP(A29,'RF Parameter'!I:I,'RF Parameter'!A:A)</f>
        <v/>
      </c>
      <c r="C29" s="45">
        <f>_xlfn.XLOOKUP(A29,'RF Parameter'!I:I,'RF Parameter'!E:E)</f>
        <v/>
      </c>
      <c r="D29" s="44">
        <f>_xlfn.XLOOKUP(A29,'RF Parameter'!I:I,'RF Parameter'!K:K)</f>
        <v/>
      </c>
      <c r="E29" s="44">
        <f>_xlfn.XLOOKUP(A29,'RF Parameter'!I:I,'RF Parameter'!AB:AB)</f>
        <v/>
      </c>
      <c r="F29" s="44">
        <f>_xlfn.XLOOKUP(A29,'RF Parameter'!I:I,'RF Parameter'!AA:AA)</f>
        <v/>
      </c>
      <c r="G29" s="44">
        <f>_xlfn.XLOOKUP(A29,'RF Parameter'!I:I,'RF Parameter'!B:B)</f>
        <v/>
      </c>
      <c r="H29" s="45">
        <f>_xlfn.XLOOKUP(A29,'RF Parameter'!I:I,'RF Parameter'!M:M)</f>
        <v/>
      </c>
      <c r="I29" s="45" t="n">
        <v>4</v>
      </c>
      <c r="J29" s="44">
        <f>G29</f>
        <v/>
      </c>
      <c r="K29" s="44" t="inlineStr">
        <is>
          <t>-</t>
        </is>
      </c>
      <c r="L29" s="56" t="n">
        <v>716</v>
      </c>
      <c r="M29" s="56" t="n">
        <v>17</v>
      </c>
      <c r="N29" s="44" t="n">
        <v>2247</v>
      </c>
      <c r="O29" s="44" t="n">
        <v>191</v>
      </c>
      <c r="P29" s="44" t="inlineStr">
        <is>
          <t>10M</t>
        </is>
      </c>
      <c r="Q29" s="45" t="n">
        <v>262</v>
      </c>
      <c r="R29" s="56" t="n">
        <v>903</v>
      </c>
      <c r="S29" s="57" t="n">
        <v>45652</v>
      </c>
      <c r="T29" s="45" t="n">
        <v>1968.8</v>
      </c>
      <c r="U29" s="45" t="n">
        <v>1888.8</v>
      </c>
      <c r="V29" s="45" t="n">
        <v>988</v>
      </c>
      <c r="W29" s="45" t="n">
        <v>18988</v>
      </c>
      <c r="X29" s="44" t="n">
        <v>14.2</v>
      </c>
      <c r="Y29" s="44">
        <f>ROUNDUP((10^((X29+Z29)/10)/1000)*LEFT(P29,2)*5*12,0)</f>
        <v/>
      </c>
      <c r="Z29" s="44" t="n">
        <v>-3</v>
      </c>
      <c r="AA29" s="44" t="n">
        <v>1</v>
      </c>
      <c r="AB29" s="44">
        <f>Y29*I29</f>
        <v/>
      </c>
      <c r="AC29" s="44" t="inlineStr">
        <is>
          <t>-</t>
        </is>
      </c>
      <c r="AD29" s="44" t="inlineStr">
        <is>
          <t>-</t>
        </is>
      </c>
      <c r="AE29" s="44" t="n">
        <v>0</v>
      </c>
      <c r="AF29" s="45" t="n">
        <v>10</v>
      </c>
      <c r="AG29" s="45" t="n">
        <v>3</v>
      </c>
      <c r="AH29" s="45" t="n">
        <v>304</v>
      </c>
    </row>
    <row r="30" hidden="1" ht="12.75" customHeight="1" s="99">
      <c r="A30" s="56" t="inlineStr">
        <is>
          <t>09422472_IC_San_Clemente</t>
        </is>
      </c>
      <c r="B30" s="45">
        <f>_xlfn.XLOOKUP(A30,'RF Parameter'!I:I,'RF Parameter'!A:A)</f>
        <v/>
      </c>
      <c r="C30" s="45">
        <f>_xlfn.XLOOKUP(A30,'RF Parameter'!I:I,'RF Parameter'!E:E)</f>
        <v/>
      </c>
      <c r="D30" s="44">
        <f>_xlfn.XLOOKUP(A30,'RF Parameter'!I:I,'RF Parameter'!K:K)</f>
        <v/>
      </c>
      <c r="E30" s="44">
        <f>_xlfn.XLOOKUP(A30,'RF Parameter'!I:I,'RF Parameter'!AB:AB)</f>
        <v/>
      </c>
      <c r="F30" s="44">
        <f>_xlfn.XLOOKUP(A30,'RF Parameter'!I:I,'RF Parameter'!AA:AA)</f>
        <v/>
      </c>
      <c r="G30" s="44">
        <f>_xlfn.XLOOKUP(A30,'RF Parameter'!I:I,'RF Parameter'!B:B)</f>
        <v/>
      </c>
      <c r="H30" s="45">
        <f>_xlfn.XLOOKUP(A30,'RF Parameter'!I:I,'RF Parameter'!M:M)</f>
        <v/>
      </c>
      <c r="I30" s="45" t="n">
        <v>4</v>
      </c>
      <c r="J30" s="44">
        <f>G30</f>
        <v/>
      </c>
      <c r="K30" s="44" t="inlineStr">
        <is>
          <t>-</t>
        </is>
      </c>
      <c r="L30" s="56" t="n">
        <v>716</v>
      </c>
      <c r="M30" s="56" t="n">
        <v>17</v>
      </c>
      <c r="N30" s="44" t="n">
        <v>2247</v>
      </c>
      <c r="O30" s="44" t="n">
        <v>192</v>
      </c>
      <c r="P30" s="44" t="inlineStr">
        <is>
          <t>10M</t>
        </is>
      </c>
      <c r="Q30" s="45" t="n">
        <v>261</v>
      </c>
      <c r="R30" s="56" t="n">
        <v>903</v>
      </c>
      <c r="S30" s="57" t="n">
        <v>45652</v>
      </c>
      <c r="T30" s="45" t="n">
        <v>1968.8</v>
      </c>
      <c r="U30" s="45" t="n">
        <v>1888.8</v>
      </c>
      <c r="V30" s="45" t="n">
        <v>988</v>
      </c>
      <c r="W30" s="45" t="n">
        <v>18988</v>
      </c>
      <c r="X30" s="44" t="n">
        <v>13.2</v>
      </c>
      <c r="Y30" s="44">
        <f>ROUNDUP((10^((X30+Z30)/10)/1000)*LEFT(P30,2)*5*12,0)</f>
        <v/>
      </c>
      <c r="Z30" s="44" t="n">
        <v>-3</v>
      </c>
      <c r="AA30" s="44" t="n">
        <v>1</v>
      </c>
      <c r="AB30" s="44">
        <f>Y30*I30</f>
        <v/>
      </c>
      <c r="AC30" s="44" t="inlineStr">
        <is>
          <t>-</t>
        </is>
      </c>
      <c r="AD30" s="44" t="inlineStr">
        <is>
          <t>-</t>
        </is>
      </c>
      <c r="AE30" s="44" t="n">
        <v>0</v>
      </c>
      <c r="AF30" s="45" t="n">
        <v>10</v>
      </c>
      <c r="AG30" s="45" t="n">
        <v>3</v>
      </c>
      <c r="AH30" s="45" t="n">
        <v>88</v>
      </c>
    </row>
    <row r="31" hidden="1" ht="12.75" customHeight="1" s="99">
      <c r="A31" s="56" t="inlineStr">
        <is>
          <t>09422473_IC_San_Clemente</t>
        </is>
      </c>
      <c r="B31" s="45">
        <f>_xlfn.XLOOKUP(A31,'RF Parameter'!I:I,'RF Parameter'!A:A)</f>
        <v/>
      </c>
      <c r="C31" s="45">
        <f>_xlfn.XLOOKUP(A31,'RF Parameter'!I:I,'RF Parameter'!E:E)</f>
        <v/>
      </c>
      <c r="D31" s="44">
        <f>_xlfn.XLOOKUP(A31,'RF Parameter'!I:I,'RF Parameter'!K:K)</f>
        <v/>
      </c>
      <c r="E31" s="44">
        <f>_xlfn.XLOOKUP(A31,'RF Parameter'!I:I,'RF Parameter'!AB:AB)</f>
        <v/>
      </c>
      <c r="F31" s="44">
        <f>_xlfn.XLOOKUP(A31,'RF Parameter'!I:I,'RF Parameter'!AA:AA)</f>
        <v/>
      </c>
      <c r="G31" s="44">
        <f>_xlfn.XLOOKUP(A31,'RF Parameter'!I:I,'RF Parameter'!B:B)</f>
        <v/>
      </c>
      <c r="H31" s="45">
        <f>_xlfn.XLOOKUP(A31,'RF Parameter'!I:I,'RF Parameter'!M:M)</f>
        <v/>
      </c>
      <c r="I31" s="45" t="n">
        <v>4</v>
      </c>
      <c r="J31" s="44">
        <f>G31</f>
        <v/>
      </c>
      <c r="K31" s="44" t="inlineStr">
        <is>
          <t>-</t>
        </is>
      </c>
      <c r="L31" s="56" t="n">
        <v>716</v>
      </c>
      <c r="M31" s="56" t="n">
        <v>17</v>
      </c>
      <c r="N31" s="44" t="n">
        <v>2247</v>
      </c>
      <c r="O31" s="44" t="n">
        <v>193</v>
      </c>
      <c r="P31" s="44" t="inlineStr">
        <is>
          <t>10M</t>
        </is>
      </c>
      <c r="Q31" s="45" t="n">
        <v>263</v>
      </c>
      <c r="R31" s="56" t="n">
        <v>903</v>
      </c>
      <c r="S31" s="57" t="n">
        <v>45652</v>
      </c>
      <c r="T31" s="45" t="n">
        <v>1968.8</v>
      </c>
      <c r="U31" s="45" t="n">
        <v>1888.8</v>
      </c>
      <c r="V31" s="45" t="n">
        <v>988</v>
      </c>
      <c r="W31" s="45" t="n">
        <v>18988</v>
      </c>
      <c r="X31" s="44" t="n">
        <v>13.2</v>
      </c>
      <c r="Y31" s="44">
        <f>ROUNDUP((10^((X31+Z31)/10)/1000)*LEFT(P31,2)*5*12,0)</f>
        <v/>
      </c>
      <c r="Z31" s="44" t="n">
        <v>-3</v>
      </c>
      <c r="AA31" s="44" t="n">
        <v>1</v>
      </c>
      <c r="AB31" s="44">
        <f>Y31*I31</f>
        <v/>
      </c>
      <c r="AC31" s="44" t="inlineStr">
        <is>
          <t>-</t>
        </is>
      </c>
      <c r="AD31" s="44" t="inlineStr">
        <is>
          <t>-</t>
        </is>
      </c>
      <c r="AE31" s="44" t="n">
        <v>0</v>
      </c>
      <c r="AF31" s="45" t="n">
        <v>10</v>
      </c>
      <c r="AG31" s="45" t="n">
        <v>3</v>
      </c>
      <c r="AH31" s="45" t="n">
        <v>392</v>
      </c>
    </row>
    <row r="32" hidden="1" ht="12.75" customHeight="1" s="99">
      <c r="A32" s="56" t="inlineStr">
        <is>
          <t>09422478_IC_San_Clemente</t>
        </is>
      </c>
      <c r="B32" s="45">
        <f>_xlfn.XLOOKUP(A32,'RF Parameter'!I:I,'RF Parameter'!A:A)</f>
        <v/>
      </c>
      <c r="C32" s="45">
        <f>_xlfn.XLOOKUP(A32,'RF Parameter'!I:I,'RF Parameter'!E:E)</f>
        <v/>
      </c>
      <c r="D32" s="44">
        <f>_xlfn.XLOOKUP(A32,'RF Parameter'!I:I,'RF Parameter'!K:K)</f>
        <v/>
      </c>
      <c r="E32" s="44">
        <f>_xlfn.XLOOKUP(A32,'RF Parameter'!I:I,'RF Parameter'!AB:AB)</f>
        <v/>
      </c>
      <c r="F32" s="44">
        <f>_xlfn.XLOOKUP(A32,'RF Parameter'!I:I,'RF Parameter'!AA:AA)</f>
        <v/>
      </c>
      <c r="G32" s="44">
        <f>_xlfn.XLOOKUP(A32,'RF Parameter'!I:I,'RF Parameter'!B:B)</f>
        <v/>
      </c>
      <c r="H32" s="45">
        <f>_xlfn.XLOOKUP(A32,'RF Parameter'!I:I,'RF Parameter'!M:M)</f>
        <v/>
      </c>
      <c r="I32" s="45" t="n">
        <v>4</v>
      </c>
      <c r="J32" s="44">
        <f>G32</f>
        <v/>
      </c>
      <c r="K32" s="44" t="inlineStr">
        <is>
          <t>-</t>
        </is>
      </c>
      <c r="L32" s="56" t="n">
        <v>716</v>
      </c>
      <c r="M32" s="56" t="n">
        <v>17</v>
      </c>
      <c r="N32" s="44" t="n">
        <v>2247</v>
      </c>
      <c r="O32" s="44" t="n">
        <v>198</v>
      </c>
      <c r="P32" s="44" t="inlineStr">
        <is>
          <t>10M</t>
        </is>
      </c>
      <c r="Q32" s="45" t="n">
        <v>3</v>
      </c>
      <c r="R32" s="56" t="n">
        <v>903</v>
      </c>
      <c r="S32" s="57" t="n">
        <v>45652</v>
      </c>
      <c r="T32" s="45" t="n">
        <v>1968.8</v>
      </c>
      <c r="U32" s="45" t="n">
        <v>1888.8</v>
      </c>
      <c r="V32" s="45" t="n">
        <v>988</v>
      </c>
      <c r="W32" s="45" t="n">
        <v>18988</v>
      </c>
      <c r="X32" s="44" t="n">
        <v>13.2</v>
      </c>
      <c r="Y32" s="44">
        <f>ROUNDUP((10^((X32+Z32)/10)/1000)*LEFT(P32,2)*5*12,0)</f>
        <v/>
      </c>
      <c r="Z32" s="44" t="n">
        <v>-3</v>
      </c>
      <c r="AA32" s="44" t="n">
        <v>1</v>
      </c>
      <c r="AB32" s="44">
        <f>Y32*I32</f>
        <v/>
      </c>
      <c r="AC32" s="44" t="inlineStr">
        <is>
          <t>-</t>
        </is>
      </c>
      <c r="AD32" s="44" t="inlineStr">
        <is>
          <t>-</t>
        </is>
      </c>
      <c r="AE32" s="44" t="n">
        <v>0</v>
      </c>
      <c r="AF32" s="45" t="n">
        <v>10</v>
      </c>
      <c r="AG32" s="45" t="n">
        <v>3</v>
      </c>
      <c r="AH32" s="45" t="n">
        <v>6</v>
      </c>
    </row>
    <row r="33" ht="12.75" customHeight="1" s="99">
      <c r="A33" s="56" t="inlineStr">
        <is>
          <t>01622471_IC_B40_San_Clemente</t>
        </is>
      </c>
      <c r="B33" s="45">
        <f>_xlfn.XLOOKUP(A33,'RF Parameter'!I:I,'RF Parameter'!A:A)</f>
        <v/>
      </c>
      <c r="C33" s="45">
        <f>_xlfn.XLOOKUP(A33,'RF Parameter'!I:I,'RF Parameter'!E:E)</f>
        <v/>
      </c>
      <c r="D33" s="44">
        <f>_xlfn.XLOOKUP(A33,'RF Parameter'!I:I,'RF Parameter'!K:K)</f>
        <v/>
      </c>
      <c r="E33" s="44">
        <f>_xlfn.XLOOKUP(A33,'RF Parameter'!I:I,'RF Parameter'!AB:AB)</f>
        <v/>
      </c>
      <c r="F33" s="44">
        <f>_xlfn.XLOOKUP(A33,'RF Parameter'!I:I,'RF Parameter'!AA:AA)</f>
        <v/>
      </c>
      <c r="G33" s="44">
        <f>_xlfn.XLOOKUP(A33,'RF Parameter'!I:I,'RF Parameter'!B:B)</f>
        <v/>
      </c>
      <c r="H33" s="45">
        <f>_xlfn.XLOOKUP(A33,'RF Parameter'!I:I,'RF Parameter'!M:M)</f>
        <v/>
      </c>
      <c r="I33" s="45" t="n">
        <v>2</v>
      </c>
      <c r="J33" s="44">
        <f>G33</f>
        <v/>
      </c>
      <c r="K33" s="44" t="inlineStr">
        <is>
          <t>-</t>
        </is>
      </c>
      <c r="L33" s="56" t="n">
        <v>716</v>
      </c>
      <c r="M33" s="56" t="n">
        <v>17</v>
      </c>
      <c r="N33" s="44" t="n">
        <v>2247</v>
      </c>
      <c r="O33" s="44" t="n">
        <v>231</v>
      </c>
      <c r="P33" s="44" t="inlineStr">
        <is>
          <t>15M</t>
        </is>
      </c>
      <c r="Q33" s="45" t="n">
        <v>3</v>
      </c>
      <c r="R33" s="56" t="n">
        <v>903</v>
      </c>
      <c r="S33" s="57" t="n">
        <v>45652</v>
      </c>
      <c r="T33" s="56" t="n">
        <v>2367.5</v>
      </c>
      <c r="U33" s="56" t="inlineStr">
        <is>
          <t>-</t>
        </is>
      </c>
      <c r="V33" s="56" t="n">
        <v>39325</v>
      </c>
      <c r="W33" s="45" t="inlineStr">
        <is>
          <t>-</t>
        </is>
      </c>
      <c r="X33" s="44" t="n">
        <v>15.4</v>
      </c>
      <c r="Y33" s="44">
        <f>ROUNDUP((10^((X33+Z33)/10)/1000)*LEFT(P33,2)*5*12,0)</f>
        <v/>
      </c>
      <c r="Z33" s="44" t="n">
        <v>-3</v>
      </c>
      <c r="AA33" s="44" t="n">
        <v>1</v>
      </c>
      <c r="AB33" s="44">
        <f>Y33*I33</f>
        <v/>
      </c>
      <c r="AC33" s="44" t="n">
        <v>2</v>
      </c>
      <c r="AD33" s="44" t="n">
        <v>7</v>
      </c>
      <c r="AE33" s="44" t="n">
        <v>0</v>
      </c>
      <c r="AF33" s="45" t="n">
        <v>10</v>
      </c>
      <c r="AG33" s="63" t="n">
        <v>0</v>
      </c>
      <c r="AH33" s="45" t="n">
        <v>6</v>
      </c>
    </row>
    <row r="34" ht="12.75" customHeight="1" s="99">
      <c r="A34" s="56" t="inlineStr">
        <is>
          <t>01622476_IC_B40_San_Clemente</t>
        </is>
      </c>
      <c r="B34" s="45">
        <f>_xlfn.XLOOKUP(A34,'RF Parameter'!I:I,'RF Parameter'!A:A)</f>
        <v/>
      </c>
      <c r="C34" s="45">
        <f>_xlfn.XLOOKUP(A34,'RF Parameter'!I:I,'RF Parameter'!E:E)</f>
        <v/>
      </c>
      <c r="D34" s="44">
        <f>_xlfn.XLOOKUP(A34,'RF Parameter'!I:I,'RF Parameter'!K:K)</f>
        <v/>
      </c>
      <c r="E34" s="44">
        <f>_xlfn.XLOOKUP(A34,'RF Parameter'!I:I,'RF Parameter'!AB:AB)</f>
        <v/>
      </c>
      <c r="F34" s="44">
        <f>_xlfn.XLOOKUP(A34,'RF Parameter'!I:I,'RF Parameter'!AA:AA)</f>
        <v/>
      </c>
      <c r="G34" s="44">
        <f>_xlfn.XLOOKUP(A34,'RF Parameter'!I:I,'RF Parameter'!B:B)</f>
        <v/>
      </c>
      <c r="H34" s="45">
        <f>_xlfn.XLOOKUP(A34,'RF Parameter'!I:I,'RF Parameter'!M:M)</f>
        <v/>
      </c>
      <c r="I34" s="45" t="n">
        <v>2</v>
      </c>
      <c r="J34" s="44">
        <f>G34</f>
        <v/>
      </c>
      <c r="K34" s="44" t="inlineStr">
        <is>
          <t>-</t>
        </is>
      </c>
      <c r="L34" s="56" t="n">
        <v>716</v>
      </c>
      <c r="M34" s="56" t="n">
        <v>17</v>
      </c>
      <c r="N34" s="44" t="n">
        <v>2247</v>
      </c>
      <c r="O34" s="44" t="n">
        <v>236</v>
      </c>
      <c r="P34" s="44" t="inlineStr">
        <is>
          <t>15M</t>
        </is>
      </c>
      <c r="Q34" s="45" t="n">
        <v>3</v>
      </c>
      <c r="R34" s="56" t="n">
        <v>903</v>
      </c>
      <c r="S34" s="57" t="n">
        <v>45652</v>
      </c>
      <c r="T34" s="56" t="n">
        <v>2382.5</v>
      </c>
      <c r="U34" s="56" t="inlineStr">
        <is>
          <t>-</t>
        </is>
      </c>
      <c r="V34" s="56" t="n">
        <v>39475</v>
      </c>
      <c r="W34" s="45" t="inlineStr">
        <is>
          <t>-</t>
        </is>
      </c>
      <c r="X34" s="44" t="n">
        <v>15.4</v>
      </c>
      <c r="Y34" s="44">
        <f>ROUNDUP((10^((X34+Z34)/10)/1000)*LEFT(P34,2)*5*12,0)</f>
        <v/>
      </c>
      <c r="Z34" s="44" t="n">
        <v>-3</v>
      </c>
      <c r="AA34" s="44" t="n">
        <v>1</v>
      </c>
      <c r="AB34" s="44">
        <f>Y34*I34</f>
        <v/>
      </c>
      <c r="AC34" s="44" t="n">
        <v>2</v>
      </c>
      <c r="AD34" s="44" t="n">
        <v>7</v>
      </c>
      <c r="AE34" s="44" t="n">
        <v>0</v>
      </c>
      <c r="AF34" s="45" t="n">
        <v>10</v>
      </c>
      <c r="AG34" s="63" t="n">
        <v>0</v>
      </c>
      <c r="AH34" s="45" t="n">
        <v>6</v>
      </c>
    </row>
    <row r="35" ht="12.75" customHeight="1" s="99">
      <c r="A35" s="56" t="inlineStr">
        <is>
          <t>01622472_IC_B40_San_Clemente</t>
        </is>
      </c>
      <c r="B35" s="45">
        <f>_xlfn.XLOOKUP(A35,'RF Parameter'!I:I,'RF Parameter'!A:A)</f>
        <v/>
      </c>
      <c r="C35" s="45">
        <f>_xlfn.XLOOKUP(A35,'RF Parameter'!I:I,'RF Parameter'!E:E)</f>
        <v/>
      </c>
      <c r="D35" s="44">
        <f>_xlfn.XLOOKUP(A35,'RF Parameter'!I:I,'RF Parameter'!K:K)</f>
        <v/>
      </c>
      <c r="E35" s="44">
        <f>_xlfn.XLOOKUP(A35,'RF Parameter'!I:I,'RF Parameter'!AB:AB)</f>
        <v/>
      </c>
      <c r="F35" s="44">
        <f>_xlfn.XLOOKUP(A35,'RF Parameter'!I:I,'RF Parameter'!AA:AA)</f>
        <v/>
      </c>
      <c r="G35" s="44">
        <f>_xlfn.XLOOKUP(A35,'RF Parameter'!I:I,'RF Parameter'!B:B)</f>
        <v/>
      </c>
      <c r="H35" s="45">
        <f>_xlfn.XLOOKUP(A35,'RF Parameter'!I:I,'RF Parameter'!M:M)</f>
        <v/>
      </c>
      <c r="I35" s="45" t="n">
        <v>2</v>
      </c>
      <c r="J35" s="44">
        <f>G35</f>
        <v/>
      </c>
      <c r="K35" s="44" t="inlineStr">
        <is>
          <t>-</t>
        </is>
      </c>
      <c r="L35" s="56" t="n">
        <v>716</v>
      </c>
      <c r="M35" s="56" t="n">
        <v>17</v>
      </c>
      <c r="N35" s="44" t="n">
        <v>2247</v>
      </c>
      <c r="O35" s="44" t="n">
        <v>232</v>
      </c>
      <c r="P35" s="44" t="inlineStr">
        <is>
          <t>15M</t>
        </is>
      </c>
      <c r="Q35" s="45" t="n">
        <v>4</v>
      </c>
      <c r="R35" s="56" t="n">
        <v>903</v>
      </c>
      <c r="S35" s="57" t="n">
        <v>45652</v>
      </c>
      <c r="T35" s="56" t="n">
        <v>2367.5</v>
      </c>
      <c r="U35" s="56" t="inlineStr">
        <is>
          <t>-</t>
        </is>
      </c>
      <c r="V35" s="56" t="n">
        <v>39325</v>
      </c>
      <c r="W35" s="45" t="inlineStr">
        <is>
          <t>-</t>
        </is>
      </c>
      <c r="X35" s="44" t="n">
        <v>15.4</v>
      </c>
      <c r="Y35" s="44">
        <f>ROUNDUP((10^((X35+Z35)/10)/1000)*LEFT(P35,2)*5*12,0)</f>
        <v/>
      </c>
      <c r="Z35" s="44" t="n">
        <v>-3</v>
      </c>
      <c r="AA35" s="44" t="n">
        <v>1</v>
      </c>
      <c r="AB35" s="44">
        <f>Y35*I35</f>
        <v/>
      </c>
      <c r="AC35" s="44" t="n">
        <v>2</v>
      </c>
      <c r="AD35" s="44" t="n">
        <v>7</v>
      </c>
      <c r="AE35" s="44" t="n">
        <v>0</v>
      </c>
      <c r="AF35" s="45" t="n">
        <v>10</v>
      </c>
      <c r="AG35" s="63" t="n">
        <v>0</v>
      </c>
      <c r="AH35" s="45" t="n">
        <v>0</v>
      </c>
    </row>
    <row r="36" ht="12.75" customHeight="1" s="99">
      <c r="A36" s="56" t="inlineStr">
        <is>
          <t>01622477_IC_B40_San_Clemente</t>
        </is>
      </c>
      <c r="B36" s="45">
        <f>_xlfn.XLOOKUP(A36,'RF Parameter'!I:I,'RF Parameter'!A:A)</f>
        <v/>
      </c>
      <c r="C36" s="45">
        <f>_xlfn.XLOOKUP(A36,'RF Parameter'!I:I,'RF Parameter'!E:E)</f>
        <v/>
      </c>
      <c r="D36" s="44">
        <f>_xlfn.XLOOKUP(A36,'RF Parameter'!I:I,'RF Parameter'!K:K)</f>
        <v/>
      </c>
      <c r="E36" s="44">
        <f>_xlfn.XLOOKUP(A36,'RF Parameter'!I:I,'RF Parameter'!AB:AB)</f>
        <v/>
      </c>
      <c r="F36" s="44">
        <f>_xlfn.XLOOKUP(A36,'RF Parameter'!I:I,'RF Parameter'!AA:AA)</f>
        <v/>
      </c>
      <c r="G36" s="44">
        <f>_xlfn.XLOOKUP(A36,'RF Parameter'!I:I,'RF Parameter'!B:B)</f>
        <v/>
      </c>
      <c r="H36" s="45">
        <f>_xlfn.XLOOKUP(A36,'RF Parameter'!I:I,'RF Parameter'!M:M)</f>
        <v/>
      </c>
      <c r="I36" s="45" t="n">
        <v>2</v>
      </c>
      <c r="J36" s="44">
        <f>G36</f>
        <v/>
      </c>
      <c r="K36" s="44" t="inlineStr">
        <is>
          <t>-</t>
        </is>
      </c>
      <c r="L36" s="56" t="n">
        <v>716</v>
      </c>
      <c r="M36" s="56" t="n">
        <v>17</v>
      </c>
      <c r="N36" s="44" t="n">
        <v>2247</v>
      </c>
      <c r="O36" s="44" t="n">
        <v>237</v>
      </c>
      <c r="P36" s="44" t="inlineStr">
        <is>
          <t>15M</t>
        </is>
      </c>
      <c r="Q36" s="45" t="n">
        <v>4</v>
      </c>
      <c r="R36" s="56" t="n">
        <v>903</v>
      </c>
      <c r="S36" s="57" t="n">
        <v>45652</v>
      </c>
      <c r="T36" s="56" t="n">
        <v>2382.5</v>
      </c>
      <c r="U36" s="56" t="inlineStr">
        <is>
          <t>-</t>
        </is>
      </c>
      <c r="V36" s="56" t="n">
        <v>39475</v>
      </c>
      <c r="W36" s="45" t="inlineStr">
        <is>
          <t>-</t>
        </is>
      </c>
      <c r="X36" s="44" t="n">
        <v>15.4</v>
      </c>
      <c r="Y36" s="44">
        <f>ROUNDUP((10^((X36+Z36)/10)/1000)*LEFT(P36,2)*5*12,0)</f>
        <v/>
      </c>
      <c r="Z36" s="44" t="n">
        <v>-3</v>
      </c>
      <c r="AA36" s="44" t="n">
        <v>1</v>
      </c>
      <c r="AB36" s="44">
        <f>Y36*I36</f>
        <v/>
      </c>
      <c r="AC36" s="44" t="n">
        <v>2</v>
      </c>
      <c r="AD36" s="44" t="n">
        <v>7</v>
      </c>
      <c r="AE36" s="44" t="n">
        <v>0</v>
      </c>
      <c r="AF36" s="45" t="n">
        <v>10</v>
      </c>
      <c r="AG36" s="63" t="n">
        <v>0</v>
      </c>
      <c r="AH36" s="45" t="n">
        <v>0</v>
      </c>
    </row>
    <row r="37" ht="12.75" customHeight="1" s="99">
      <c r="A37" s="56" t="inlineStr">
        <is>
          <t>01622473_IC_B40_San_Clemente</t>
        </is>
      </c>
      <c r="B37" s="45">
        <f>_xlfn.XLOOKUP(A37,'RF Parameter'!I:I,'RF Parameter'!A:A)</f>
        <v/>
      </c>
      <c r="C37" s="45">
        <f>_xlfn.XLOOKUP(A37,'RF Parameter'!I:I,'RF Parameter'!E:E)</f>
        <v/>
      </c>
      <c r="D37" s="44">
        <f>_xlfn.XLOOKUP(A37,'RF Parameter'!I:I,'RF Parameter'!K:K)</f>
        <v/>
      </c>
      <c r="E37" s="44">
        <f>_xlfn.XLOOKUP(A37,'RF Parameter'!I:I,'RF Parameter'!AB:AB)</f>
        <v/>
      </c>
      <c r="F37" s="44">
        <f>_xlfn.XLOOKUP(A37,'RF Parameter'!I:I,'RF Parameter'!AA:AA)</f>
        <v/>
      </c>
      <c r="G37" s="44">
        <f>_xlfn.XLOOKUP(A37,'RF Parameter'!I:I,'RF Parameter'!B:B)</f>
        <v/>
      </c>
      <c r="H37" s="45">
        <f>_xlfn.XLOOKUP(A37,'RF Parameter'!I:I,'RF Parameter'!M:M)</f>
        <v/>
      </c>
      <c r="I37" s="45" t="n">
        <v>2</v>
      </c>
      <c r="J37" s="44">
        <f>G37</f>
        <v/>
      </c>
      <c r="K37" s="44" t="inlineStr">
        <is>
          <t>-</t>
        </is>
      </c>
      <c r="L37" s="56" t="n">
        <v>716</v>
      </c>
      <c r="M37" s="56" t="n">
        <v>17</v>
      </c>
      <c r="N37" s="44" t="n">
        <v>2247</v>
      </c>
      <c r="O37" s="44" t="n">
        <v>233</v>
      </c>
      <c r="P37" s="44" t="inlineStr">
        <is>
          <t>15M</t>
        </is>
      </c>
      <c r="Q37" s="45" t="n">
        <v>263</v>
      </c>
      <c r="R37" s="56" t="n">
        <v>903</v>
      </c>
      <c r="S37" s="57" t="n">
        <v>45652</v>
      </c>
      <c r="T37" s="56" t="n">
        <v>2367.5</v>
      </c>
      <c r="U37" s="56" t="inlineStr">
        <is>
          <t>-</t>
        </is>
      </c>
      <c r="V37" s="56" t="n">
        <v>39325</v>
      </c>
      <c r="W37" s="45" t="inlineStr">
        <is>
          <t>-</t>
        </is>
      </c>
      <c r="X37" s="44" t="n">
        <v>15.4</v>
      </c>
      <c r="Y37" s="44">
        <f>ROUNDUP((10^((X37+Z37)/10)/1000)*LEFT(P37,2)*5*12,0)</f>
        <v/>
      </c>
      <c r="Z37" s="44" t="n">
        <v>-3</v>
      </c>
      <c r="AA37" s="44" t="n">
        <v>1</v>
      </c>
      <c r="AB37" s="44">
        <f>Y37*I37</f>
        <v/>
      </c>
      <c r="AC37" s="44" t="n">
        <v>2</v>
      </c>
      <c r="AD37" s="44" t="n">
        <v>7</v>
      </c>
      <c r="AE37" s="44" t="n">
        <v>0</v>
      </c>
      <c r="AF37" s="45" t="n">
        <v>10</v>
      </c>
      <c r="AG37" s="63" t="n">
        <v>0</v>
      </c>
      <c r="AH37" s="45" t="n">
        <v>392</v>
      </c>
    </row>
    <row r="38" ht="12.75" customHeight="1" s="99">
      <c r="A38" s="56" t="inlineStr">
        <is>
          <t>01622478_IC_B40_San_Clemente</t>
        </is>
      </c>
      <c r="B38" s="45">
        <f>_xlfn.XLOOKUP(A38,'RF Parameter'!I:I,'RF Parameter'!A:A)</f>
        <v/>
      </c>
      <c r="C38" s="45">
        <f>_xlfn.XLOOKUP(A38,'RF Parameter'!I:I,'RF Parameter'!E:E)</f>
        <v/>
      </c>
      <c r="D38" s="44">
        <f>_xlfn.XLOOKUP(A38,'RF Parameter'!I:I,'RF Parameter'!K:K)</f>
        <v/>
      </c>
      <c r="E38" s="44">
        <f>_xlfn.XLOOKUP(A38,'RF Parameter'!I:I,'RF Parameter'!AB:AB)</f>
        <v/>
      </c>
      <c r="F38" s="44">
        <f>_xlfn.XLOOKUP(A38,'RF Parameter'!I:I,'RF Parameter'!AA:AA)</f>
        <v/>
      </c>
      <c r="G38" s="44">
        <f>_xlfn.XLOOKUP(A38,'RF Parameter'!I:I,'RF Parameter'!B:B)</f>
        <v/>
      </c>
      <c r="H38" s="45">
        <f>_xlfn.XLOOKUP(A38,'RF Parameter'!I:I,'RF Parameter'!M:M)</f>
        <v/>
      </c>
      <c r="I38" s="45" t="n">
        <v>2</v>
      </c>
      <c r="J38" s="44">
        <f>G38</f>
        <v/>
      </c>
      <c r="K38" s="44" t="inlineStr">
        <is>
          <t>-</t>
        </is>
      </c>
      <c r="L38" s="56" t="n">
        <v>716</v>
      </c>
      <c r="M38" s="56" t="n">
        <v>17</v>
      </c>
      <c r="N38" s="44" t="n">
        <v>2247</v>
      </c>
      <c r="O38" s="44" t="n">
        <v>238</v>
      </c>
      <c r="P38" s="44" t="inlineStr">
        <is>
          <t>15M</t>
        </is>
      </c>
      <c r="Q38" s="45" t="n">
        <v>35</v>
      </c>
      <c r="R38" s="56" t="n">
        <v>903</v>
      </c>
      <c r="S38" s="57" t="n">
        <v>45652</v>
      </c>
      <c r="T38" s="56" t="n">
        <v>2382.5</v>
      </c>
      <c r="U38" s="56" t="inlineStr">
        <is>
          <t>-</t>
        </is>
      </c>
      <c r="V38" s="56" t="n">
        <v>39475</v>
      </c>
      <c r="W38" s="45" t="inlineStr">
        <is>
          <t>-</t>
        </is>
      </c>
      <c r="X38" s="58" t="n">
        <v>15.4</v>
      </c>
      <c r="Y38" s="44">
        <f>ROUNDUP((10^((X38+Z38)/10)/1000)*LEFT(P38,2)*5*12,0)</f>
        <v/>
      </c>
      <c r="Z38" s="44" t="n">
        <v>-3</v>
      </c>
      <c r="AA38" s="44" t="n">
        <v>1</v>
      </c>
      <c r="AB38" s="44">
        <f>Y38*I38</f>
        <v/>
      </c>
      <c r="AC38" s="44" t="n">
        <v>2</v>
      </c>
      <c r="AD38" s="44" t="n">
        <v>7</v>
      </c>
      <c r="AE38" s="44" t="n">
        <v>0</v>
      </c>
      <c r="AF38" s="45" t="n">
        <v>10</v>
      </c>
      <c r="AG38" s="63" t="n">
        <v>0</v>
      </c>
      <c r="AH38" s="45" t="n">
        <v>544</v>
      </c>
    </row>
    <row r="39" hidden="1" ht="12.75" customHeight="1" s="99">
      <c r="A39" s="56" t="inlineStr">
        <is>
          <t>01722541_IC_Garzas_Mir_1900</t>
        </is>
      </c>
      <c r="B39" s="45">
        <f>_xlfn.XLOOKUP(A39,'RF Parameter'!I:I,'RF Parameter'!A:A)</f>
        <v/>
      </c>
      <c r="C39" s="45">
        <f>_xlfn.XLOOKUP(A39,'RF Parameter'!I:I,'RF Parameter'!E:E)</f>
        <v/>
      </c>
      <c r="D39" s="44">
        <f>_xlfn.XLOOKUP(A39,'RF Parameter'!I:I,'RF Parameter'!K:K)</f>
        <v/>
      </c>
      <c r="E39" s="44">
        <f>_xlfn.XLOOKUP(A39,'RF Parameter'!I:I,'RF Parameter'!AB:AB)</f>
        <v/>
      </c>
      <c r="F39" s="44">
        <f>_xlfn.XLOOKUP(A39,'RF Parameter'!I:I,'RF Parameter'!AA:AA)</f>
        <v/>
      </c>
      <c r="G39" s="44">
        <f>_xlfn.XLOOKUP(A39,'RF Parameter'!I:I,'RF Parameter'!B:B)</f>
        <v/>
      </c>
      <c r="H39" s="45">
        <f>_xlfn.XLOOKUP(A39,'RF Parameter'!I:I,'RF Parameter'!M:M)</f>
        <v/>
      </c>
      <c r="I39" s="45" t="n">
        <v>4</v>
      </c>
      <c r="J39" s="44">
        <f>G39</f>
        <v/>
      </c>
      <c r="K39" s="44" t="inlineStr">
        <is>
          <t>-</t>
        </is>
      </c>
      <c r="L39" s="56" t="n">
        <v>716</v>
      </c>
      <c r="M39" s="56" t="n">
        <v>17</v>
      </c>
      <c r="N39" s="44" t="n">
        <v>2254</v>
      </c>
      <c r="O39" s="44" t="n">
        <v>71</v>
      </c>
      <c r="P39" s="44" t="inlineStr">
        <is>
          <t>15M</t>
        </is>
      </c>
      <c r="Q39" s="45" t="n">
        <v>59</v>
      </c>
      <c r="R39" s="56" t="n">
        <v>903</v>
      </c>
      <c r="S39" s="57" t="n">
        <v>45652</v>
      </c>
      <c r="T39" s="56" t="n">
        <v>765.5</v>
      </c>
      <c r="U39" s="56" t="n">
        <v>710.5</v>
      </c>
      <c r="V39" s="56" t="n">
        <v>9285</v>
      </c>
      <c r="W39" s="56" t="n">
        <v>27285</v>
      </c>
      <c r="X39" s="44" t="n">
        <v>13.2</v>
      </c>
      <c r="Y39" s="44">
        <f>ROUNDUP((10^((X39+Z39)/10)/1000)*LEFT(P39,2)*5*12,0)</f>
        <v/>
      </c>
      <c r="Z39" s="44" t="n">
        <v>0</v>
      </c>
      <c r="AA39" s="44" t="n">
        <v>0</v>
      </c>
      <c r="AB39" s="44">
        <f>Y39*I39</f>
        <v/>
      </c>
      <c r="AC39" s="44" t="inlineStr">
        <is>
          <t>-</t>
        </is>
      </c>
      <c r="AD39" s="44" t="inlineStr">
        <is>
          <t>-</t>
        </is>
      </c>
      <c r="AE39" s="44" t="n">
        <v>0</v>
      </c>
      <c r="AF39" s="45" t="n">
        <v>10</v>
      </c>
      <c r="AG39" s="45" t="n">
        <v>3</v>
      </c>
      <c r="AH39" s="45" t="n">
        <v>168</v>
      </c>
    </row>
    <row r="40" hidden="1" ht="12.75" customHeight="1" s="99">
      <c r="A40" s="56" t="inlineStr">
        <is>
          <t>01722542_IC_Garzas_Mir_1900</t>
        </is>
      </c>
      <c r="B40" s="45">
        <f>_xlfn.XLOOKUP(A40,'RF Parameter'!I:I,'RF Parameter'!A:A)</f>
        <v/>
      </c>
      <c r="C40" s="45">
        <f>_xlfn.XLOOKUP(A40,'RF Parameter'!I:I,'RF Parameter'!E:E)</f>
        <v/>
      </c>
      <c r="D40" s="44">
        <f>_xlfn.XLOOKUP(A40,'RF Parameter'!I:I,'RF Parameter'!K:K)</f>
        <v/>
      </c>
      <c r="E40" s="44">
        <f>_xlfn.XLOOKUP(A40,'RF Parameter'!I:I,'RF Parameter'!AB:AB)</f>
        <v/>
      </c>
      <c r="F40" s="44">
        <f>_xlfn.XLOOKUP(A40,'RF Parameter'!I:I,'RF Parameter'!AA:AA)</f>
        <v/>
      </c>
      <c r="G40" s="44">
        <f>_xlfn.XLOOKUP(A40,'RF Parameter'!I:I,'RF Parameter'!B:B)</f>
        <v/>
      </c>
      <c r="H40" s="45">
        <f>_xlfn.XLOOKUP(A40,'RF Parameter'!I:I,'RF Parameter'!M:M)</f>
        <v/>
      </c>
      <c r="I40" s="45" t="n">
        <v>4</v>
      </c>
      <c r="J40" s="44">
        <f>G40</f>
        <v/>
      </c>
      <c r="K40" s="44" t="inlineStr">
        <is>
          <t>-</t>
        </is>
      </c>
      <c r="L40" s="56" t="n">
        <v>716</v>
      </c>
      <c r="M40" s="56" t="n">
        <v>17</v>
      </c>
      <c r="N40" s="44" t="n">
        <v>2254</v>
      </c>
      <c r="O40" s="44" t="n">
        <v>72</v>
      </c>
      <c r="P40" s="44" t="inlineStr">
        <is>
          <t>15M</t>
        </is>
      </c>
      <c r="Q40" s="45" t="n">
        <v>57</v>
      </c>
      <c r="R40" s="56" t="n">
        <v>903</v>
      </c>
      <c r="S40" s="57" t="n">
        <v>45652</v>
      </c>
      <c r="T40" s="56" t="n">
        <v>765.5</v>
      </c>
      <c r="U40" s="56" t="n">
        <v>710.5</v>
      </c>
      <c r="V40" s="56" t="n">
        <v>9285</v>
      </c>
      <c r="W40" s="56" t="n">
        <v>27285</v>
      </c>
      <c r="X40" s="44" t="n">
        <v>10.2</v>
      </c>
      <c r="Y40" s="44">
        <f>ROUNDUP((10^((X40+Z40)/10)/1000)*LEFT(P40,2)*5*12,0)</f>
        <v/>
      </c>
      <c r="Z40" s="44" t="n">
        <v>0</v>
      </c>
      <c r="AA40" s="44" t="n">
        <v>0</v>
      </c>
      <c r="AB40" s="44">
        <f>Y40*I40</f>
        <v/>
      </c>
      <c r="AC40" s="44" t="inlineStr">
        <is>
          <t>-</t>
        </is>
      </c>
      <c r="AD40" s="44" t="inlineStr">
        <is>
          <t>-</t>
        </is>
      </c>
      <c r="AE40" s="44" t="n">
        <v>0</v>
      </c>
      <c r="AF40" s="45" t="n">
        <v>10</v>
      </c>
      <c r="AG40" s="45" t="n">
        <v>3</v>
      </c>
      <c r="AH40" s="45" t="n">
        <v>712</v>
      </c>
    </row>
    <row r="41" hidden="1" ht="12.75" customHeight="1" s="99">
      <c r="A41" s="56" t="inlineStr">
        <is>
          <t>01722543_IC_Garzas_Mir_1900</t>
        </is>
      </c>
      <c r="B41" s="45">
        <f>_xlfn.XLOOKUP(A41,'RF Parameter'!I:I,'RF Parameter'!A:A)</f>
        <v/>
      </c>
      <c r="C41" s="45">
        <f>_xlfn.XLOOKUP(A41,'RF Parameter'!I:I,'RF Parameter'!E:E)</f>
        <v/>
      </c>
      <c r="D41" s="44">
        <f>_xlfn.XLOOKUP(A41,'RF Parameter'!I:I,'RF Parameter'!K:K)</f>
        <v/>
      </c>
      <c r="E41" s="44">
        <f>_xlfn.XLOOKUP(A41,'RF Parameter'!I:I,'RF Parameter'!AB:AB)</f>
        <v/>
      </c>
      <c r="F41" s="44">
        <f>_xlfn.XLOOKUP(A41,'RF Parameter'!I:I,'RF Parameter'!AA:AA)</f>
        <v/>
      </c>
      <c r="G41" s="44">
        <f>_xlfn.XLOOKUP(A41,'RF Parameter'!I:I,'RF Parameter'!B:B)</f>
        <v/>
      </c>
      <c r="H41" s="45">
        <f>_xlfn.XLOOKUP(A41,'RF Parameter'!I:I,'RF Parameter'!M:M)</f>
        <v/>
      </c>
      <c r="I41" s="45" t="n">
        <v>4</v>
      </c>
      <c r="J41" s="44">
        <f>G41</f>
        <v/>
      </c>
      <c r="K41" s="44" t="inlineStr">
        <is>
          <t>-</t>
        </is>
      </c>
      <c r="L41" s="56" t="n">
        <v>716</v>
      </c>
      <c r="M41" s="56" t="n">
        <v>17</v>
      </c>
      <c r="N41" s="44" t="n">
        <v>2254</v>
      </c>
      <c r="O41" s="44" t="n">
        <v>73</v>
      </c>
      <c r="P41" s="44" t="inlineStr">
        <is>
          <t>15M</t>
        </is>
      </c>
      <c r="Q41" s="45" t="n">
        <v>58</v>
      </c>
      <c r="R41" s="56" t="n">
        <v>903</v>
      </c>
      <c r="S41" s="57" t="n">
        <v>45652</v>
      </c>
      <c r="T41" s="56" t="n">
        <v>765.5</v>
      </c>
      <c r="U41" s="56" t="n">
        <v>710.5</v>
      </c>
      <c r="V41" s="56" t="n">
        <v>9285</v>
      </c>
      <c r="W41" s="56" t="n">
        <v>27285</v>
      </c>
      <c r="X41" s="44" t="n">
        <v>12.2</v>
      </c>
      <c r="Y41" s="44">
        <f>ROUNDUP((10^((X41+Z41)/10)/1000)*LEFT(P41,2)*5*12,0)</f>
        <v/>
      </c>
      <c r="Z41" s="44" t="n">
        <v>0</v>
      </c>
      <c r="AA41" s="44" t="n">
        <v>0</v>
      </c>
      <c r="AB41" s="44">
        <f>Y41*I41</f>
        <v/>
      </c>
      <c r="AC41" s="44" t="inlineStr">
        <is>
          <t>-</t>
        </is>
      </c>
      <c r="AD41" s="44" t="inlineStr">
        <is>
          <t>-</t>
        </is>
      </c>
      <c r="AE41" s="44" t="n">
        <v>0</v>
      </c>
      <c r="AF41" s="45" t="n">
        <v>10</v>
      </c>
      <c r="AG41" s="45" t="n">
        <v>3</v>
      </c>
      <c r="AH41" s="45" t="n">
        <v>112</v>
      </c>
    </row>
    <row r="42" hidden="1" ht="12.75" customHeight="1" s="99">
      <c r="A42" s="56" t="inlineStr">
        <is>
          <t>01422541_IC_Garzas_Mir_1900</t>
        </is>
      </c>
      <c r="B42" s="45">
        <f>_xlfn.XLOOKUP(A42,'RF Parameter'!I:I,'RF Parameter'!A:A)</f>
        <v/>
      </c>
      <c r="C42" s="45">
        <f>_xlfn.XLOOKUP(A42,'RF Parameter'!I:I,'RF Parameter'!E:E)</f>
        <v/>
      </c>
      <c r="D42" s="44">
        <f>_xlfn.XLOOKUP(A42,'RF Parameter'!I:I,'RF Parameter'!K:K)</f>
        <v/>
      </c>
      <c r="E42" s="44">
        <f>_xlfn.XLOOKUP(A42,'RF Parameter'!I:I,'RF Parameter'!AB:AB)</f>
        <v/>
      </c>
      <c r="F42" s="44">
        <f>_xlfn.XLOOKUP(A42,'RF Parameter'!I:I,'RF Parameter'!AA:AA)</f>
        <v/>
      </c>
      <c r="G42" s="44">
        <f>_xlfn.XLOOKUP(A42,'RF Parameter'!I:I,'RF Parameter'!B:B)</f>
        <v/>
      </c>
      <c r="H42" s="45">
        <f>_xlfn.XLOOKUP(A42,'RF Parameter'!I:I,'RF Parameter'!M:M)</f>
        <v/>
      </c>
      <c r="I42" s="45" t="n">
        <v>4</v>
      </c>
      <c r="J42" s="44">
        <f>G42</f>
        <v/>
      </c>
      <c r="K42" s="44" t="inlineStr">
        <is>
          <t>-</t>
        </is>
      </c>
      <c r="L42" s="56" t="n">
        <v>716</v>
      </c>
      <c r="M42" s="56" t="n">
        <v>17</v>
      </c>
      <c r="N42" s="44" t="n">
        <v>2254</v>
      </c>
      <c r="O42" s="44" t="n">
        <v>1</v>
      </c>
      <c r="P42" s="44" t="inlineStr">
        <is>
          <t>20M</t>
        </is>
      </c>
      <c r="Q42" s="45" t="n">
        <v>59</v>
      </c>
      <c r="R42" s="56" t="n">
        <v>903</v>
      </c>
      <c r="S42" s="57" t="n">
        <v>45652</v>
      </c>
      <c r="T42" s="45" t="n">
        <v>2140</v>
      </c>
      <c r="U42" s="45" t="n">
        <v>1740</v>
      </c>
      <c r="V42" s="45" t="n">
        <v>2250</v>
      </c>
      <c r="W42" s="45" t="n">
        <v>20250</v>
      </c>
      <c r="X42" s="44" t="n">
        <v>18.2</v>
      </c>
      <c r="Y42" s="44">
        <f>ROUNDUP((10^((X42+Z42)/10)/1000)*LEFT(P42,2)*5*12,0)</f>
        <v/>
      </c>
      <c r="Z42" s="44" t="n">
        <v>-3</v>
      </c>
      <c r="AA42" s="44" t="n">
        <v>1</v>
      </c>
      <c r="AB42" s="44">
        <f>Y42*I42</f>
        <v/>
      </c>
      <c r="AC42" s="44" t="inlineStr">
        <is>
          <t>-</t>
        </is>
      </c>
      <c r="AD42" s="44" t="inlineStr">
        <is>
          <t>-</t>
        </is>
      </c>
      <c r="AE42" s="44" t="n">
        <v>0</v>
      </c>
      <c r="AF42" s="45" t="n">
        <v>10</v>
      </c>
      <c r="AG42" s="45" t="n">
        <v>3</v>
      </c>
      <c r="AH42" s="45" t="n">
        <v>168</v>
      </c>
    </row>
    <row r="43" hidden="1" ht="12.75" customHeight="1" s="99">
      <c r="A43" s="56" t="inlineStr">
        <is>
          <t>01422546_IC_Garzas_Mir_1900</t>
        </is>
      </c>
      <c r="B43" s="45">
        <f>_xlfn.XLOOKUP(A43,'RF Parameter'!I:I,'RF Parameter'!A:A)</f>
        <v/>
      </c>
      <c r="C43" s="45">
        <f>_xlfn.XLOOKUP(A43,'RF Parameter'!I:I,'RF Parameter'!E:E)</f>
        <v/>
      </c>
      <c r="D43" s="44">
        <f>_xlfn.XLOOKUP(A43,'RF Parameter'!I:I,'RF Parameter'!K:K)</f>
        <v/>
      </c>
      <c r="E43" s="44">
        <f>_xlfn.XLOOKUP(A43,'RF Parameter'!I:I,'RF Parameter'!AB:AB)</f>
        <v/>
      </c>
      <c r="F43" s="44">
        <f>_xlfn.XLOOKUP(A43,'RF Parameter'!I:I,'RF Parameter'!AA:AA)</f>
        <v/>
      </c>
      <c r="G43" s="44">
        <f>_xlfn.XLOOKUP(A43,'RF Parameter'!I:I,'RF Parameter'!B:B)</f>
        <v/>
      </c>
      <c r="H43" s="45">
        <f>_xlfn.XLOOKUP(A43,'RF Parameter'!I:I,'RF Parameter'!M:M)</f>
        <v/>
      </c>
      <c r="I43" s="45" t="n">
        <v>4</v>
      </c>
      <c r="J43" s="44">
        <f>G43</f>
        <v/>
      </c>
      <c r="K43" s="44" t="inlineStr">
        <is>
          <t>-</t>
        </is>
      </c>
      <c r="L43" s="56" t="n">
        <v>716</v>
      </c>
      <c r="M43" s="56" t="n">
        <v>17</v>
      </c>
      <c r="N43" s="44" t="n">
        <v>2254</v>
      </c>
      <c r="O43" s="44" t="n">
        <v>6</v>
      </c>
      <c r="P43" s="44" t="inlineStr">
        <is>
          <t>20M</t>
        </is>
      </c>
      <c r="Q43" s="45" t="n">
        <v>168</v>
      </c>
      <c r="R43" s="56" t="n">
        <v>903</v>
      </c>
      <c r="S43" s="57" t="n">
        <v>45652</v>
      </c>
      <c r="T43" s="45" t="n">
        <v>2140</v>
      </c>
      <c r="U43" s="45" t="n">
        <v>1740</v>
      </c>
      <c r="V43" s="45" t="n">
        <v>2250</v>
      </c>
      <c r="W43" s="45" t="n">
        <v>20250</v>
      </c>
      <c r="X43" s="44" t="n">
        <v>18.2</v>
      </c>
      <c r="Y43" s="44">
        <f>ROUNDUP((10^((X43+Z43)/10)/1000)*LEFT(P43,2)*5*12,0)</f>
        <v/>
      </c>
      <c r="Z43" s="44" t="n">
        <v>-3</v>
      </c>
      <c r="AA43" s="44" t="n">
        <v>1</v>
      </c>
      <c r="AB43" s="44">
        <f>Y43*I43</f>
        <v/>
      </c>
      <c r="AC43" s="44" t="inlineStr">
        <is>
          <t>-</t>
        </is>
      </c>
      <c r="AD43" s="44" t="inlineStr">
        <is>
          <t>-</t>
        </is>
      </c>
      <c r="AE43" s="44" t="n">
        <v>0</v>
      </c>
      <c r="AF43" s="45" t="n">
        <v>10</v>
      </c>
      <c r="AG43" s="45" t="n">
        <v>3</v>
      </c>
      <c r="AH43" s="45" t="n">
        <v>160</v>
      </c>
    </row>
    <row r="44" hidden="1" ht="12.75" customHeight="1" s="99">
      <c r="A44" s="56" t="inlineStr">
        <is>
          <t>01422542_IC_Garzas_Mir_1900</t>
        </is>
      </c>
      <c r="B44" s="45">
        <f>_xlfn.XLOOKUP(A44,'RF Parameter'!I:I,'RF Parameter'!A:A)</f>
        <v/>
      </c>
      <c r="C44" s="45">
        <f>_xlfn.XLOOKUP(A44,'RF Parameter'!I:I,'RF Parameter'!E:E)</f>
        <v/>
      </c>
      <c r="D44" s="44">
        <f>_xlfn.XLOOKUP(A44,'RF Parameter'!I:I,'RF Parameter'!K:K)</f>
        <v/>
      </c>
      <c r="E44" s="44">
        <f>_xlfn.XLOOKUP(A44,'RF Parameter'!I:I,'RF Parameter'!AB:AB)</f>
        <v/>
      </c>
      <c r="F44" s="44">
        <f>_xlfn.XLOOKUP(A44,'RF Parameter'!I:I,'RF Parameter'!AA:AA)</f>
        <v/>
      </c>
      <c r="G44" s="44">
        <f>_xlfn.XLOOKUP(A44,'RF Parameter'!I:I,'RF Parameter'!B:B)</f>
        <v/>
      </c>
      <c r="H44" s="45">
        <f>_xlfn.XLOOKUP(A44,'RF Parameter'!I:I,'RF Parameter'!M:M)</f>
        <v/>
      </c>
      <c r="I44" s="45" t="n">
        <v>4</v>
      </c>
      <c r="J44" s="44">
        <f>G44</f>
        <v/>
      </c>
      <c r="K44" s="44" t="inlineStr">
        <is>
          <t>-</t>
        </is>
      </c>
      <c r="L44" s="56" t="n">
        <v>716</v>
      </c>
      <c r="M44" s="56" t="n">
        <v>17</v>
      </c>
      <c r="N44" s="44" t="n">
        <v>2254</v>
      </c>
      <c r="O44" s="44" t="n">
        <v>2</v>
      </c>
      <c r="P44" s="44" t="inlineStr">
        <is>
          <t>20M</t>
        </is>
      </c>
      <c r="Q44" s="45" t="n">
        <v>57</v>
      </c>
      <c r="R44" s="56" t="n">
        <v>903</v>
      </c>
      <c r="S44" s="57" t="n">
        <v>45652</v>
      </c>
      <c r="T44" s="45" t="n">
        <v>2140</v>
      </c>
      <c r="U44" s="45" t="n">
        <v>1740</v>
      </c>
      <c r="V44" s="45" t="n">
        <v>2250</v>
      </c>
      <c r="W44" s="45" t="n">
        <v>20250</v>
      </c>
      <c r="X44" s="44" t="n">
        <v>14</v>
      </c>
      <c r="Y44" s="44">
        <f>ROUNDUP((10^((X44+Z44)/10)/1000)*LEFT(P44,2)*5*12,0)</f>
        <v/>
      </c>
      <c r="Z44" s="44" t="n">
        <v>-3</v>
      </c>
      <c r="AA44" s="44" t="n">
        <v>1</v>
      </c>
      <c r="AB44" s="44">
        <f>Y44*I44</f>
        <v/>
      </c>
      <c r="AC44" s="44" t="inlineStr">
        <is>
          <t>-</t>
        </is>
      </c>
      <c r="AD44" s="44" t="inlineStr">
        <is>
          <t>-</t>
        </is>
      </c>
      <c r="AE44" s="44" t="n">
        <v>0</v>
      </c>
      <c r="AF44" s="45" t="n">
        <v>10</v>
      </c>
      <c r="AG44" s="45" t="n">
        <v>3</v>
      </c>
      <c r="AH44" s="45" t="n">
        <v>712</v>
      </c>
    </row>
    <row r="45" hidden="1" ht="12.75" customHeight="1" s="99">
      <c r="A45" s="56" t="inlineStr">
        <is>
          <t>01422543_IC_Garzas_Mir_1900</t>
        </is>
      </c>
      <c r="B45" s="45">
        <f>_xlfn.XLOOKUP(A45,'RF Parameter'!I:I,'RF Parameter'!A:A)</f>
        <v/>
      </c>
      <c r="C45" s="45">
        <f>_xlfn.XLOOKUP(A45,'RF Parameter'!I:I,'RF Parameter'!E:E)</f>
        <v/>
      </c>
      <c r="D45" s="44">
        <f>_xlfn.XLOOKUP(A45,'RF Parameter'!I:I,'RF Parameter'!K:K)</f>
        <v/>
      </c>
      <c r="E45" s="44">
        <f>_xlfn.XLOOKUP(A45,'RF Parameter'!I:I,'RF Parameter'!AB:AB)</f>
        <v/>
      </c>
      <c r="F45" s="44">
        <f>_xlfn.XLOOKUP(A45,'RF Parameter'!I:I,'RF Parameter'!AA:AA)</f>
        <v/>
      </c>
      <c r="G45" s="44">
        <f>_xlfn.XLOOKUP(A45,'RF Parameter'!I:I,'RF Parameter'!B:B)</f>
        <v/>
      </c>
      <c r="H45" s="45">
        <f>_xlfn.XLOOKUP(A45,'RF Parameter'!I:I,'RF Parameter'!M:M)</f>
        <v/>
      </c>
      <c r="I45" s="45" t="n">
        <v>4</v>
      </c>
      <c r="J45" s="44">
        <f>G45</f>
        <v/>
      </c>
      <c r="K45" s="44" t="inlineStr">
        <is>
          <t>-</t>
        </is>
      </c>
      <c r="L45" s="56" t="n">
        <v>716</v>
      </c>
      <c r="M45" s="56" t="n">
        <v>17</v>
      </c>
      <c r="N45" s="44" t="n">
        <v>2254</v>
      </c>
      <c r="O45" s="44" t="n">
        <v>3</v>
      </c>
      <c r="P45" s="44" t="inlineStr">
        <is>
          <t>20M</t>
        </is>
      </c>
      <c r="Q45" s="45" t="n">
        <v>58</v>
      </c>
      <c r="R45" s="56" t="n">
        <v>903</v>
      </c>
      <c r="S45" s="57" t="n">
        <v>45652</v>
      </c>
      <c r="T45" s="45" t="n">
        <v>2140</v>
      </c>
      <c r="U45" s="45" t="n">
        <v>1740</v>
      </c>
      <c r="V45" s="45" t="n">
        <v>2250</v>
      </c>
      <c r="W45" s="45" t="n">
        <v>20250</v>
      </c>
      <c r="X45" s="44" t="n">
        <v>17.2</v>
      </c>
      <c r="Y45" s="44">
        <f>ROUNDUP((10^((X45+Z45)/10)/1000)*LEFT(P45,2)*5*12,0)</f>
        <v/>
      </c>
      <c r="Z45" s="44" t="n">
        <v>-3</v>
      </c>
      <c r="AA45" s="44" t="n">
        <v>1</v>
      </c>
      <c r="AB45" s="44">
        <f>Y45*I45</f>
        <v/>
      </c>
      <c r="AC45" s="44" t="inlineStr">
        <is>
          <t>-</t>
        </is>
      </c>
      <c r="AD45" s="44" t="inlineStr">
        <is>
          <t>-</t>
        </is>
      </c>
      <c r="AE45" s="44" t="n">
        <v>0</v>
      </c>
      <c r="AF45" s="45" t="n">
        <v>10</v>
      </c>
      <c r="AG45" s="45" t="n">
        <v>3</v>
      </c>
      <c r="AH45" s="45" t="n">
        <v>112</v>
      </c>
    </row>
    <row r="46" hidden="1" ht="12.75" customHeight="1" s="99">
      <c r="A46" s="56" t="inlineStr">
        <is>
          <t>09422541_IC_Garzas_Mir_1900</t>
        </is>
      </c>
      <c r="B46" s="45">
        <f>_xlfn.XLOOKUP(A46,'RF Parameter'!I:I,'RF Parameter'!A:A)</f>
        <v/>
      </c>
      <c r="C46" s="45">
        <f>_xlfn.XLOOKUP(A46,'RF Parameter'!I:I,'RF Parameter'!E:E)</f>
        <v/>
      </c>
      <c r="D46" s="44">
        <f>_xlfn.XLOOKUP(A46,'RF Parameter'!I:I,'RF Parameter'!K:K)</f>
        <v/>
      </c>
      <c r="E46" s="44">
        <f>_xlfn.XLOOKUP(A46,'RF Parameter'!I:I,'RF Parameter'!AB:AB)</f>
        <v/>
      </c>
      <c r="F46" s="44">
        <f>_xlfn.XLOOKUP(A46,'RF Parameter'!I:I,'RF Parameter'!AA:AA)</f>
        <v/>
      </c>
      <c r="G46" s="44">
        <f>_xlfn.XLOOKUP(A46,'RF Parameter'!I:I,'RF Parameter'!B:B)</f>
        <v/>
      </c>
      <c r="H46" s="45">
        <f>_xlfn.XLOOKUP(A46,'RF Parameter'!I:I,'RF Parameter'!M:M)</f>
        <v/>
      </c>
      <c r="I46" s="45" t="n">
        <v>4</v>
      </c>
      <c r="J46" s="44">
        <f>G46</f>
        <v/>
      </c>
      <c r="K46" s="44" t="inlineStr">
        <is>
          <t>-</t>
        </is>
      </c>
      <c r="L46" s="56" t="n">
        <v>716</v>
      </c>
      <c r="M46" s="56" t="n">
        <v>17</v>
      </c>
      <c r="N46" s="44" t="n">
        <v>2254</v>
      </c>
      <c r="O46" s="44" t="n">
        <v>191</v>
      </c>
      <c r="P46" s="44" t="inlineStr">
        <is>
          <t>10M</t>
        </is>
      </c>
      <c r="Q46" s="45" t="n">
        <v>59</v>
      </c>
      <c r="R46" s="56" t="n">
        <v>903</v>
      </c>
      <c r="S46" s="57" t="n">
        <v>45652</v>
      </c>
      <c r="T46" s="45" t="n">
        <v>1968.8</v>
      </c>
      <c r="U46" s="45" t="n">
        <v>1888.8</v>
      </c>
      <c r="V46" s="45" t="n">
        <v>988</v>
      </c>
      <c r="W46" s="45" t="n">
        <v>18988</v>
      </c>
      <c r="X46" s="44" t="n">
        <v>12.2</v>
      </c>
      <c r="Y46" s="44">
        <f>ROUNDUP((10^((X46+Z46)/10)/1000)*LEFT(P46,2)*5*12,0)</f>
        <v/>
      </c>
      <c r="Z46" s="44" t="n">
        <v>-3</v>
      </c>
      <c r="AA46" s="44" t="n">
        <v>1</v>
      </c>
      <c r="AB46" s="44">
        <f>Y46*I46</f>
        <v/>
      </c>
      <c r="AC46" s="44" t="inlineStr">
        <is>
          <t>-</t>
        </is>
      </c>
      <c r="AD46" s="44" t="inlineStr">
        <is>
          <t>-</t>
        </is>
      </c>
      <c r="AE46" s="44" t="n">
        <v>0</v>
      </c>
      <c r="AF46" s="45" t="n">
        <v>10</v>
      </c>
      <c r="AG46" s="45" t="n">
        <v>3</v>
      </c>
      <c r="AH46" s="45" t="n">
        <v>168</v>
      </c>
    </row>
    <row r="47" hidden="1" ht="12.75" customHeight="1" s="99">
      <c r="A47" s="56" t="inlineStr">
        <is>
          <t>09422546_IC_Garzas_Mir_1900</t>
        </is>
      </c>
      <c r="B47" s="45">
        <f>_xlfn.XLOOKUP(A47,'RF Parameter'!I:I,'RF Parameter'!A:A)</f>
        <v/>
      </c>
      <c r="C47" s="45">
        <f>_xlfn.XLOOKUP(A47,'RF Parameter'!I:I,'RF Parameter'!E:E)</f>
        <v/>
      </c>
      <c r="D47" s="44">
        <f>_xlfn.XLOOKUP(A47,'RF Parameter'!I:I,'RF Parameter'!K:K)</f>
        <v/>
      </c>
      <c r="E47" s="44">
        <f>_xlfn.XLOOKUP(A47,'RF Parameter'!I:I,'RF Parameter'!AB:AB)</f>
        <v/>
      </c>
      <c r="F47" s="44">
        <f>_xlfn.XLOOKUP(A47,'RF Parameter'!I:I,'RF Parameter'!AA:AA)</f>
        <v/>
      </c>
      <c r="G47" s="44">
        <f>_xlfn.XLOOKUP(A47,'RF Parameter'!I:I,'RF Parameter'!B:B)</f>
        <v/>
      </c>
      <c r="H47" s="45">
        <f>_xlfn.XLOOKUP(A47,'RF Parameter'!I:I,'RF Parameter'!M:M)</f>
        <v/>
      </c>
      <c r="I47" s="45" t="n">
        <v>4</v>
      </c>
      <c r="J47" s="44">
        <f>G47</f>
        <v/>
      </c>
      <c r="K47" s="44" t="inlineStr">
        <is>
          <t>-</t>
        </is>
      </c>
      <c r="L47" s="56" t="n">
        <v>716</v>
      </c>
      <c r="M47" s="56" t="n">
        <v>17</v>
      </c>
      <c r="N47" s="44" t="n">
        <v>2254</v>
      </c>
      <c r="O47" s="44" t="n">
        <v>196</v>
      </c>
      <c r="P47" s="44" t="inlineStr">
        <is>
          <t>10M</t>
        </is>
      </c>
      <c r="Q47" s="45" t="n">
        <v>1</v>
      </c>
      <c r="R47" s="56" t="n">
        <v>903</v>
      </c>
      <c r="S47" s="57" t="n">
        <v>45652</v>
      </c>
      <c r="T47" s="45" t="n">
        <v>1968.8</v>
      </c>
      <c r="U47" s="45" t="n">
        <v>1888.8</v>
      </c>
      <c r="V47" s="45" t="n">
        <v>988</v>
      </c>
      <c r="W47" s="45" t="n">
        <v>18988</v>
      </c>
      <c r="X47" s="44" t="n">
        <v>12.2</v>
      </c>
      <c r="Y47" s="44">
        <f>ROUNDUP((10^((X47+Z47)/10)/1000)*LEFT(P47,2)*5*12,0)</f>
        <v/>
      </c>
      <c r="Z47" s="44" t="n">
        <v>-3</v>
      </c>
      <c r="AA47" s="44" t="n">
        <v>1</v>
      </c>
      <c r="AB47" s="44">
        <f>Y47*I47</f>
        <v/>
      </c>
      <c r="AC47" s="44" t="inlineStr">
        <is>
          <t>-</t>
        </is>
      </c>
      <c r="AD47" s="44" t="inlineStr">
        <is>
          <t>-</t>
        </is>
      </c>
      <c r="AE47" s="44" t="n">
        <v>0</v>
      </c>
      <c r="AF47" s="45" t="n">
        <v>10</v>
      </c>
      <c r="AG47" s="45" t="n">
        <v>3</v>
      </c>
      <c r="AH47" s="45" t="n">
        <v>30</v>
      </c>
    </row>
    <row r="48" hidden="1" ht="12.75" customHeight="1" s="99">
      <c r="A48" s="56" t="inlineStr">
        <is>
          <t>09422542_IC_Garzas_Mir_1900</t>
        </is>
      </c>
      <c r="B48" s="45">
        <f>_xlfn.XLOOKUP(A48,'RF Parameter'!I:I,'RF Parameter'!A:A)</f>
        <v/>
      </c>
      <c r="C48" s="45">
        <f>_xlfn.XLOOKUP(A48,'RF Parameter'!I:I,'RF Parameter'!E:E)</f>
        <v/>
      </c>
      <c r="D48" s="44">
        <f>_xlfn.XLOOKUP(A48,'RF Parameter'!I:I,'RF Parameter'!K:K)</f>
        <v/>
      </c>
      <c r="E48" s="44">
        <f>_xlfn.XLOOKUP(A48,'RF Parameter'!I:I,'RF Parameter'!AB:AB)</f>
        <v/>
      </c>
      <c r="F48" s="44">
        <f>_xlfn.XLOOKUP(A48,'RF Parameter'!I:I,'RF Parameter'!AA:AA)</f>
        <v/>
      </c>
      <c r="G48" s="44">
        <f>_xlfn.XLOOKUP(A48,'RF Parameter'!I:I,'RF Parameter'!B:B)</f>
        <v/>
      </c>
      <c r="H48" s="45">
        <f>_xlfn.XLOOKUP(A48,'RF Parameter'!I:I,'RF Parameter'!M:M)</f>
        <v/>
      </c>
      <c r="I48" s="45" t="n">
        <v>4</v>
      </c>
      <c r="J48" s="44">
        <f>G48</f>
        <v/>
      </c>
      <c r="K48" s="44" t="inlineStr">
        <is>
          <t>-</t>
        </is>
      </c>
      <c r="L48" s="56" t="n">
        <v>716</v>
      </c>
      <c r="M48" s="56" t="n">
        <v>17</v>
      </c>
      <c r="N48" s="44" t="n">
        <v>2254</v>
      </c>
      <c r="O48" s="44" t="n">
        <v>192</v>
      </c>
      <c r="P48" s="44" t="inlineStr">
        <is>
          <t>10M</t>
        </is>
      </c>
      <c r="Q48" s="45" t="n">
        <v>57</v>
      </c>
      <c r="R48" s="56" t="n">
        <v>903</v>
      </c>
      <c r="S48" s="57" t="n">
        <v>45652</v>
      </c>
      <c r="T48" s="45" t="n">
        <v>1968.8</v>
      </c>
      <c r="U48" s="45" t="n">
        <v>1888.8</v>
      </c>
      <c r="V48" s="45" t="n">
        <v>988</v>
      </c>
      <c r="W48" s="45" t="n">
        <v>18988</v>
      </c>
      <c r="X48" s="44" t="n">
        <v>12.2</v>
      </c>
      <c r="Y48" s="44">
        <f>ROUNDUP((10^((X48+Z48)/10)/1000)*LEFT(P48,2)*5*12,0)</f>
        <v/>
      </c>
      <c r="Z48" s="44" t="n">
        <v>-3</v>
      </c>
      <c r="AA48" s="44" t="n">
        <v>1</v>
      </c>
      <c r="AB48" s="44">
        <f>Y48*I48</f>
        <v/>
      </c>
      <c r="AC48" s="44" t="inlineStr">
        <is>
          <t>-</t>
        </is>
      </c>
      <c r="AD48" s="44" t="inlineStr">
        <is>
          <t>-</t>
        </is>
      </c>
      <c r="AE48" s="44" t="n">
        <v>0</v>
      </c>
      <c r="AF48" s="45" t="n">
        <v>10</v>
      </c>
      <c r="AG48" s="45" t="n">
        <v>3</v>
      </c>
      <c r="AH48" s="45" t="n">
        <v>712</v>
      </c>
    </row>
    <row r="49" hidden="1" ht="12.75" customHeight="1" s="99">
      <c r="A49" s="56" t="inlineStr">
        <is>
          <t>09422543_IC_Garzas_Mir_1900</t>
        </is>
      </c>
      <c r="B49" s="45">
        <f>_xlfn.XLOOKUP(A49,'RF Parameter'!I:I,'RF Parameter'!A:A)</f>
        <v/>
      </c>
      <c r="C49" s="45">
        <f>_xlfn.XLOOKUP(A49,'RF Parameter'!I:I,'RF Parameter'!E:E)</f>
        <v/>
      </c>
      <c r="D49" s="44">
        <f>_xlfn.XLOOKUP(A49,'RF Parameter'!I:I,'RF Parameter'!K:K)</f>
        <v/>
      </c>
      <c r="E49" s="44">
        <f>_xlfn.XLOOKUP(A49,'RF Parameter'!I:I,'RF Parameter'!AB:AB)</f>
        <v/>
      </c>
      <c r="F49" s="44">
        <f>_xlfn.XLOOKUP(A49,'RF Parameter'!I:I,'RF Parameter'!AA:AA)</f>
        <v/>
      </c>
      <c r="G49" s="44">
        <f>_xlfn.XLOOKUP(A49,'RF Parameter'!I:I,'RF Parameter'!B:B)</f>
        <v/>
      </c>
      <c r="H49" s="45">
        <f>_xlfn.XLOOKUP(A49,'RF Parameter'!I:I,'RF Parameter'!M:M)</f>
        <v/>
      </c>
      <c r="I49" s="45" t="n">
        <v>4</v>
      </c>
      <c r="J49" s="44">
        <f>G49</f>
        <v/>
      </c>
      <c r="K49" s="44" t="inlineStr">
        <is>
          <t>-</t>
        </is>
      </c>
      <c r="L49" s="56" t="n">
        <v>716</v>
      </c>
      <c r="M49" s="56" t="n">
        <v>17</v>
      </c>
      <c r="N49" s="44" t="n">
        <v>2254</v>
      </c>
      <c r="O49" s="44" t="n">
        <v>193</v>
      </c>
      <c r="P49" s="44" t="inlineStr">
        <is>
          <t>10M</t>
        </is>
      </c>
      <c r="Q49" s="45" t="n">
        <v>58</v>
      </c>
      <c r="R49" s="56" t="n">
        <v>903</v>
      </c>
      <c r="S49" s="57" t="n">
        <v>45652</v>
      </c>
      <c r="T49" s="45" t="n">
        <v>1968.8</v>
      </c>
      <c r="U49" s="45" t="n">
        <v>1888.8</v>
      </c>
      <c r="V49" s="45" t="n">
        <v>988</v>
      </c>
      <c r="W49" s="45" t="n">
        <v>18988</v>
      </c>
      <c r="X49" s="44" t="n">
        <v>13.2</v>
      </c>
      <c r="Y49" s="44">
        <f>ROUNDUP((10^((X49+Z49)/10)/1000)*LEFT(P49,2)*5*12,0)</f>
        <v/>
      </c>
      <c r="Z49" s="44" t="n">
        <v>-3</v>
      </c>
      <c r="AA49" s="44" t="n">
        <v>1</v>
      </c>
      <c r="AB49" s="44">
        <f>Y49*I49</f>
        <v/>
      </c>
      <c r="AC49" s="44" t="inlineStr">
        <is>
          <t>-</t>
        </is>
      </c>
      <c r="AD49" s="44" t="inlineStr">
        <is>
          <t>-</t>
        </is>
      </c>
      <c r="AE49" s="44" t="n">
        <v>0</v>
      </c>
      <c r="AF49" s="45" t="n">
        <v>10</v>
      </c>
      <c r="AG49" s="45" t="n">
        <v>3</v>
      </c>
      <c r="AH49" s="45" t="n">
        <v>112</v>
      </c>
    </row>
    <row r="50" ht="12.75" customHeight="1" s="99">
      <c r="A50" s="56" t="inlineStr">
        <is>
          <t>01622541_IC_B40_Garzas_Mir_1900</t>
        </is>
      </c>
      <c r="B50" s="45">
        <f>_xlfn.XLOOKUP(A50,'RF Parameter'!I:I,'RF Parameter'!A:A)</f>
        <v/>
      </c>
      <c r="C50" s="45">
        <f>_xlfn.XLOOKUP(A50,'RF Parameter'!I:I,'RF Parameter'!E:E)</f>
        <v/>
      </c>
      <c r="D50" s="44">
        <f>_xlfn.XLOOKUP(A50,'RF Parameter'!I:I,'RF Parameter'!K:K)</f>
        <v/>
      </c>
      <c r="E50" s="44">
        <f>_xlfn.XLOOKUP(A50,'RF Parameter'!I:I,'RF Parameter'!AB:AB)</f>
        <v/>
      </c>
      <c r="F50" s="44">
        <f>_xlfn.XLOOKUP(A50,'RF Parameter'!I:I,'RF Parameter'!AA:AA)</f>
        <v/>
      </c>
      <c r="G50" s="44">
        <f>_xlfn.XLOOKUP(A50,'RF Parameter'!I:I,'RF Parameter'!B:B)</f>
        <v/>
      </c>
      <c r="H50" s="45">
        <f>_xlfn.XLOOKUP(A50,'RF Parameter'!I:I,'RF Parameter'!M:M)</f>
        <v/>
      </c>
      <c r="I50" s="45" t="n">
        <v>2</v>
      </c>
      <c r="J50" s="44">
        <f>G50</f>
        <v/>
      </c>
      <c r="K50" s="44" t="inlineStr">
        <is>
          <t>-</t>
        </is>
      </c>
      <c r="L50" s="56" t="n">
        <v>716</v>
      </c>
      <c r="M50" s="56" t="n">
        <v>17</v>
      </c>
      <c r="N50" s="44" t="n">
        <v>2254</v>
      </c>
      <c r="O50" s="44" t="n">
        <v>231</v>
      </c>
      <c r="P50" s="44" t="inlineStr">
        <is>
          <t>15M</t>
        </is>
      </c>
      <c r="Q50" s="45" t="n">
        <v>2</v>
      </c>
      <c r="R50" s="56" t="n">
        <v>903</v>
      </c>
      <c r="S50" s="57" t="n">
        <v>45652</v>
      </c>
      <c r="T50" s="56" t="n">
        <v>2367.5</v>
      </c>
      <c r="U50" s="56" t="inlineStr">
        <is>
          <t>-</t>
        </is>
      </c>
      <c r="V50" s="56" t="n">
        <v>39325</v>
      </c>
      <c r="W50" s="45" t="inlineStr">
        <is>
          <t>-</t>
        </is>
      </c>
      <c r="X50" s="44" t="n">
        <v>14.2</v>
      </c>
      <c r="Y50" s="44">
        <f>ROUNDUP((10^((X50+Z50)/10)/1000)*LEFT(P50,2)*5*12,0)</f>
        <v/>
      </c>
      <c r="Z50" s="44" t="n">
        <v>-3</v>
      </c>
      <c r="AA50" s="44" t="n">
        <v>1</v>
      </c>
      <c r="AB50" s="44">
        <f>Y50*I50</f>
        <v/>
      </c>
      <c r="AC50" s="44" t="n">
        <v>2</v>
      </c>
      <c r="AD50" s="44" t="n">
        <v>7</v>
      </c>
      <c r="AE50" s="44" t="n">
        <v>0</v>
      </c>
      <c r="AF50" s="45" t="n">
        <v>10</v>
      </c>
      <c r="AG50" s="63" t="n">
        <v>0</v>
      </c>
      <c r="AH50" s="45" t="n">
        <v>24</v>
      </c>
    </row>
    <row r="51" ht="12.75" customHeight="1" s="99">
      <c r="A51" s="56" t="inlineStr">
        <is>
          <t>01622546_IC_B40_Garzas_Mir_1900</t>
        </is>
      </c>
      <c r="B51" s="45">
        <f>_xlfn.XLOOKUP(A51,'RF Parameter'!I:I,'RF Parameter'!A:A)</f>
        <v/>
      </c>
      <c r="C51" s="45">
        <f>_xlfn.XLOOKUP(A51,'RF Parameter'!I:I,'RF Parameter'!E:E)</f>
        <v/>
      </c>
      <c r="D51" s="44">
        <f>_xlfn.XLOOKUP(A51,'RF Parameter'!I:I,'RF Parameter'!K:K)</f>
        <v/>
      </c>
      <c r="E51" s="44">
        <f>_xlfn.XLOOKUP(A51,'RF Parameter'!I:I,'RF Parameter'!AB:AB)</f>
        <v/>
      </c>
      <c r="F51" s="44">
        <f>_xlfn.XLOOKUP(A51,'RF Parameter'!I:I,'RF Parameter'!AA:AA)</f>
        <v/>
      </c>
      <c r="G51" s="44">
        <f>_xlfn.XLOOKUP(A51,'RF Parameter'!I:I,'RF Parameter'!B:B)</f>
        <v/>
      </c>
      <c r="H51" s="45">
        <f>_xlfn.XLOOKUP(A51,'RF Parameter'!I:I,'RF Parameter'!M:M)</f>
        <v/>
      </c>
      <c r="I51" s="45" t="n">
        <v>2</v>
      </c>
      <c r="J51" s="44">
        <f>G51</f>
        <v/>
      </c>
      <c r="K51" s="44" t="inlineStr">
        <is>
          <t>-</t>
        </is>
      </c>
      <c r="L51" s="56" t="n">
        <v>716</v>
      </c>
      <c r="M51" s="56" t="n">
        <v>17</v>
      </c>
      <c r="N51" s="44" t="n">
        <v>2254</v>
      </c>
      <c r="O51" s="44" t="n">
        <v>236</v>
      </c>
      <c r="P51" s="44" t="inlineStr">
        <is>
          <t>15M</t>
        </is>
      </c>
      <c r="Q51" s="45" t="n">
        <v>2</v>
      </c>
      <c r="R51" s="56" t="n">
        <v>903</v>
      </c>
      <c r="S51" s="57" t="n">
        <v>45652</v>
      </c>
      <c r="T51" s="56" t="n">
        <v>2382.5</v>
      </c>
      <c r="U51" s="56" t="inlineStr">
        <is>
          <t>-</t>
        </is>
      </c>
      <c r="V51" s="56" t="n">
        <v>39475</v>
      </c>
      <c r="W51" s="45" t="inlineStr">
        <is>
          <t>-</t>
        </is>
      </c>
      <c r="X51" s="44" t="n">
        <v>14.2</v>
      </c>
      <c r="Y51" s="44">
        <f>ROUNDUP((10^((X51+Z51)/10)/1000)*LEFT(P51,2)*5*12,0)</f>
        <v/>
      </c>
      <c r="Z51" s="44" t="n">
        <v>-3</v>
      </c>
      <c r="AA51" s="44" t="n">
        <v>1</v>
      </c>
      <c r="AB51" s="44">
        <f>Y51*I51</f>
        <v/>
      </c>
      <c r="AC51" s="44" t="n">
        <v>2</v>
      </c>
      <c r="AD51" s="44" t="n">
        <v>7</v>
      </c>
      <c r="AE51" s="44" t="n">
        <v>0</v>
      </c>
      <c r="AF51" s="45" t="n">
        <v>10</v>
      </c>
      <c r="AG51" s="63" t="n">
        <v>0</v>
      </c>
      <c r="AH51" s="45" t="n">
        <v>24</v>
      </c>
    </row>
    <row r="52" ht="12.75" customHeight="1" s="99">
      <c r="A52" s="56" t="inlineStr">
        <is>
          <t>01622542_IC_B40_Garzas_Mir_1900</t>
        </is>
      </c>
      <c r="B52" s="45">
        <f>_xlfn.XLOOKUP(A52,'RF Parameter'!I:I,'RF Parameter'!A:A)</f>
        <v/>
      </c>
      <c r="C52" s="45">
        <f>_xlfn.XLOOKUP(A52,'RF Parameter'!I:I,'RF Parameter'!E:E)</f>
        <v/>
      </c>
      <c r="D52" s="44">
        <f>_xlfn.XLOOKUP(A52,'RF Parameter'!I:I,'RF Parameter'!K:K)</f>
        <v/>
      </c>
      <c r="E52" s="44">
        <f>_xlfn.XLOOKUP(A52,'RF Parameter'!I:I,'RF Parameter'!AB:AB)</f>
        <v/>
      </c>
      <c r="F52" s="44">
        <f>_xlfn.XLOOKUP(A52,'RF Parameter'!I:I,'RF Parameter'!AA:AA)</f>
        <v/>
      </c>
      <c r="G52" s="44">
        <f>_xlfn.XLOOKUP(A52,'RF Parameter'!I:I,'RF Parameter'!B:B)</f>
        <v/>
      </c>
      <c r="H52" s="45">
        <f>_xlfn.XLOOKUP(A52,'RF Parameter'!I:I,'RF Parameter'!M:M)</f>
        <v/>
      </c>
      <c r="I52" s="45" t="n">
        <v>2</v>
      </c>
      <c r="J52" s="44">
        <f>G52</f>
        <v/>
      </c>
      <c r="K52" s="44" t="inlineStr">
        <is>
          <t>-</t>
        </is>
      </c>
      <c r="L52" s="56" t="n">
        <v>716</v>
      </c>
      <c r="M52" s="56" t="n">
        <v>17</v>
      </c>
      <c r="N52" s="44" t="n">
        <v>2254</v>
      </c>
      <c r="O52" s="44" t="n">
        <v>232</v>
      </c>
      <c r="P52" s="44" t="inlineStr">
        <is>
          <t>15M</t>
        </is>
      </c>
      <c r="Q52" s="45" t="n">
        <v>321</v>
      </c>
      <c r="R52" s="56" t="n">
        <v>903</v>
      </c>
      <c r="S52" s="57" t="n">
        <v>45652</v>
      </c>
      <c r="T52" s="56" t="n">
        <v>2367.5</v>
      </c>
      <c r="U52" s="56" t="inlineStr">
        <is>
          <t>-</t>
        </is>
      </c>
      <c r="V52" s="56" t="n">
        <v>39325</v>
      </c>
      <c r="W52" s="45" t="inlineStr">
        <is>
          <t>-</t>
        </is>
      </c>
      <c r="X52" s="44" t="n">
        <v>12.2</v>
      </c>
      <c r="Y52" s="44">
        <f>ROUNDUP((10^((X52+Z52)/10)/1000)*LEFT(P52,2)*5*12,0)</f>
        <v/>
      </c>
      <c r="Z52" s="44" t="n">
        <v>-3</v>
      </c>
      <c r="AA52" s="44" t="n">
        <v>1</v>
      </c>
      <c r="AB52" s="44">
        <f>Y52*I52</f>
        <v/>
      </c>
      <c r="AC52" s="44" t="n">
        <v>2</v>
      </c>
      <c r="AD52" s="44" t="n">
        <v>7</v>
      </c>
      <c r="AE52" s="44" t="n">
        <v>0</v>
      </c>
      <c r="AF52" s="45" t="n">
        <v>10</v>
      </c>
      <c r="AG52" s="63" t="n">
        <v>0</v>
      </c>
      <c r="AH52" s="45" t="n">
        <v>272</v>
      </c>
    </row>
    <row r="53" ht="12.75" customHeight="1" s="99">
      <c r="A53" s="56" t="inlineStr">
        <is>
          <t>01622547_IC_B40_Garzas_Mir_1900</t>
        </is>
      </c>
      <c r="B53" s="45">
        <f>_xlfn.XLOOKUP(A53,'RF Parameter'!I:I,'RF Parameter'!A:A)</f>
        <v/>
      </c>
      <c r="C53" s="45">
        <f>_xlfn.XLOOKUP(A53,'RF Parameter'!I:I,'RF Parameter'!E:E)</f>
        <v/>
      </c>
      <c r="D53" s="44">
        <f>_xlfn.XLOOKUP(A53,'RF Parameter'!I:I,'RF Parameter'!K:K)</f>
        <v/>
      </c>
      <c r="E53" s="44">
        <f>_xlfn.XLOOKUP(A53,'RF Parameter'!I:I,'RF Parameter'!AB:AB)</f>
        <v/>
      </c>
      <c r="F53" s="44">
        <f>_xlfn.XLOOKUP(A53,'RF Parameter'!I:I,'RF Parameter'!AA:AA)</f>
        <v/>
      </c>
      <c r="G53" s="44">
        <f>_xlfn.XLOOKUP(A53,'RF Parameter'!I:I,'RF Parameter'!B:B)</f>
        <v/>
      </c>
      <c r="H53" s="45">
        <f>_xlfn.XLOOKUP(A53,'RF Parameter'!I:I,'RF Parameter'!M:M)</f>
        <v/>
      </c>
      <c r="I53" s="45" t="n">
        <v>2</v>
      </c>
      <c r="J53" s="44">
        <f>G53</f>
        <v/>
      </c>
      <c r="K53" s="44" t="inlineStr">
        <is>
          <t>-</t>
        </is>
      </c>
      <c r="L53" s="56" t="n">
        <v>716</v>
      </c>
      <c r="M53" s="56" t="n">
        <v>17</v>
      </c>
      <c r="N53" s="44" t="n">
        <v>2254</v>
      </c>
      <c r="O53" s="44" t="n">
        <v>237</v>
      </c>
      <c r="P53" s="44" t="inlineStr">
        <is>
          <t>15M</t>
        </is>
      </c>
      <c r="Q53" s="45" t="n">
        <v>312</v>
      </c>
      <c r="R53" s="56" t="n">
        <v>903</v>
      </c>
      <c r="S53" s="57" t="n">
        <v>45652</v>
      </c>
      <c r="T53" s="56" t="n">
        <v>2382.5</v>
      </c>
      <c r="U53" s="56" t="inlineStr">
        <is>
          <t>-</t>
        </is>
      </c>
      <c r="V53" s="56" t="n">
        <v>39475</v>
      </c>
      <c r="W53" s="45" t="inlineStr">
        <is>
          <t>-</t>
        </is>
      </c>
      <c r="X53" s="44" t="n">
        <v>12.2</v>
      </c>
      <c r="Y53" s="44">
        <f>ROUNDUP((10^((X53+Z53)/10)/1000)*LEFT(P53,2)*5*12,0)</f>
        <v/>
      </c>
      <c r="Z53" s="44" t="n">
        <v>-3</v>
      </c>
      <c r="AA53" s="44" t="n">
        <v>1</v>
      </c>
      <c r="AB53" s="44">
        <f>Y53*I53</f>
        <v/>
      </c>
      <c r="AC53" s="44" t="n">
        <v>2</v>
      </c>
      <c r="AD53" s="44" t="n">
        <v>7</v>
      </c>
      <c r="AE53" s="44" t="n">
        <v>0</v>
      </c>
      <c r="AF53" s="45" t="n">
        <v>10</v>
      </c>
      <c r="AG53" s="63" t="n">
        <v>0</v>
      </c>
      <c r="AH53" s="45" t="n">
        <v>568</v>
      </c>
    </row>
    <row r="54" ht="12.75" customHeight="1" s="99">
      <c r="A54" s="56" t="inlineStr">
        <is>
          <t>01622543_IC_B40_Garzas_Mir_1900</t>
        </is>
      </c>
      <c r="B54" s="45">
        <f>_xlfn.XLOOKUP(A54,'RF Parameter'!I:I,'RF Parameter'!A:A)</f>
        <v/>
      </c>
      <c r="C54" s="45">
        <f>_xlfn.XLOOKUP(A54,'RF Parameter'!I:I,'RF Parameter'!E:E)</f>
        <v/>
      </c>
      <c r="D54" s="44">
        <f>_xlfn.XLOOKUP(A54,'RF Parameter'!I:I,'RF Parameter'!K:K)</f>
        <v/>
      </c>
      <c r="E54" s="44">
        <f>_xlfn.XLOOKUP(A54,'RF Parameter'!I:I,'RF Parameter'!AB:AB)</f>
        <v/>
      </c>
      <c r="F54" s="44">
        <f>_xlfn.XLOOKUP(A54,'RF Parameter'!I:I,'RF Parameter'!AA:AA)</f>
        <v/>
      </c>
      <c r="G54" s="44">
        <f>_xlfn.XLOOKUP(A54,'RF Parameter'!I:I,'RF Parameter'!B:B)</f>
        <v/>
      </c>
      <c r="H54" s="45">
        <f>_xlfn.XLOOKUP(A54,'RF Parameter'!I:I,'RF Parameter'!M:M)</f>
        <v/>
      </c>
      <c r="I54" s="45" t="n">
        <v>2</v>
      </c>
      <c r="J54" s="44">
        <f>G54</f>
        <v/>
      </c>
      <c r="K54" s="44" t="inlineStr">
        <is>
          <t>-</t>
        </is>
      </c>
      <c r="L54" s="56" t="n">
        <v>716</v>
      </c>
      <c r="M54" s="56" t="n">
        <v>17</v>
      </c>
      <c r="N54" s="44" t="n">
        <v>2254</v>
      </c>
      <c r="O54" s="44" t="n">
        <v>233</v>
      </c>
      <c r="P54" s="44" t="inlineStr">
        <is>
          <t>15M</t>
        </is>
      </c>
      <c r="Q54" s="45" t="n">
        <v>58</v>
      </c>
      <c r="R54" s="56" t="n">
        <v>903</v>
      </c>
      <c r="S54" s="57" t="n">
        <v>45652</v>
      </c>
      <c r="T54" s="56" t="n">
        <v>2367.5</v>
      </c>
      <c r="U54" s="56" t="inlineStr">
        <is>
          <t>-</t>
        </is>
      </c>
      <c r="V54" s="56" t="n">
        <v>39325</v>
      </c>
      <c r="W54" s="45" t="inlineStr">
        <is>
          <t>-</t>
        </is>
      </c>
      <c r="X54" s="44" t="n">
        <v>14.2</v>
      </c>
      <c r="Y54" s="44">
        <f>ROUNDUP((10^((X54+Z54)/10)/1000)*LEFT(P54,2)*5*12,0)</f>
        <v/>
      </c>
      <c r="Z54" s="44" t="n">
        <v>-3</v>
      </c>
      <c r="AA54" s="44" t="n">
        <v>1</v>
      </c>
      <c r="AB54" s="44">
        <f>Y54*I54</f>
        <v/>
      </c>
      <c r="AC54" s="44" t="n">
        <v>2</v>
      </c>
      <c r="AD54" s="44" t="n">
        <v>7</v>
      </c>
      <c r="AE54" s="44" t="n">
        <v>0</v>
      </c>
      <c r="AF54" s="45" t="n">
        <v>10</v>
      </c>
      <c r="AG54" s="63" t="n">
        <v>0</v>
      </c>
      <c r="AH54" s="45" t="n">
        <v>112</v>
      </c>
    </row>
    <row r="55" ht="12.75" customHeight="1" s="99">
      <c r="A55" s="56" t="inlineStr">
        <is>
          <t>01622548_IC_B40_Garzas_Mir_1900</t>
        </is>
      </c>
      <c r="B55" s="45">
        <f>_xlfn.XLOOKUP(A55,'RF Parameter'!I:I,'RF Parameter'!A:A)</f>
        <v/>
      </c>
      <c r="C55" s="45">
        <f>_xlfn.XLOOKUP(A55,'RF Parameter'!I:I,'RF Parameter'!E:E)</f>
        <v/>
      </c>
      <c r="D55" s="44">
        <f>_xlfn.XLOOKUP(A55,'RF Parameter'!I:I,'RF Parameter'!K:K)</f>
        <v/>
      </c>
      <c r="E55" s="44">
        <f>_xlfn.XLOOKUP(A55,'RF Parameter'!I:I,'RF Parameter'!AB:AB)</f>
        <v/>
      </c>
      <c r="F55" s="44">
        <f>_xlfn.XLOOKUP(A55,'RF Parameter'!I:I,'RF Parameter'!AA:AA)</f>
        <v/>
      </c>
      <c r="G55" s="44">
        <f>_xlfn.XLOOKUP(A55,'RF Parameter'!I:I,'RF Parameter'!B:B)</f>
        <v/>
      </c>
      <c r="H55" s="45">
        <f>_xlfn.XLOOKUP(A55,'RF Parameter'!I:I,'RF Parameter'!M:M)</f>
        <v/>
      </c>
      <c r="I55" s="45" t="n">
        <v>2</v>
      </c>
      <c r="J55" s="44">
        <f>G55</f>
        <v/>
      </c>
      <c r="K55" s="44" t="inlineStr">
        <is>
          <t>-</t>
        </is>
      </c>
      <c r="L55" s="56" t="n">
        <v>716</v>
      </c>
      <c r="M55" s="56" t="n">
        <v>17</v>
      </c>
      <c r="N55" s="44" t="n">
        <v>2254</v>
      </c>
      <c r="O55" s="44" t="n">
        <v>238</v>
      </c>
      <c r="P55" s="44" t="inlineStr">
        <is>
          <t>15M</t>
        </is>
      </c>
      <c r="Q55" s="45" t="n">
        <v>301</v>
      </c>
      <c r="R55" s="56" t="n">
        <v>903</v>
      </c>
      <c r="S55" s="57" t="n">
        <v>45652</v>
      </c>
      <c r="T55" s="56" t="n">
        <v>2382.5</v>
      </c>
      <c r="U55" s="56" t="inlineStr">
        <is>
          <t>-</t>
        </is>
      </c>
      <c r="V55" s="56" t="n">
        <v>39475</v>
      </c>
      <c r="W55" s="45" t="inlineStr">
        <is>
          <t>-</t>
        </is>
      </c>
      <c r="X55" s="44" t="n">
        <v>14.2</v>
      </c>
      <c r="Y55" s="44">
        <f>ROUNDUP((10^((X55+Z55)/10)/1000)*LEFT(P55,2)*5*12,0)</f>
        <v/>
      </c>
      <c r="Z55" s="44" t="n">
        <v>-3</v>
      </c>
      <c r="AA55" s="44" t="n">
        <v>1</v>
      </c>
      <c r="AB55" s="44">
        <f>Y55*I55</f>
        <v/>
      </c>
      <c r="AC55" s="44" t="n">
        <v>2</v>
      </c>
      <c r="AD55" s="44" t="n">
        <v>7</v>
      </c>
      <c r="AE55" s="44" t="n">
        <v>0</v>
      </c>
      <c r="AF55" s="45" t="n">
        <v>10</v>
      </c>
      <c r="AG55" s="63" t="n">
        <v>0</v>
      </c>
      <c r="AH55" s="45" t="n">
        <v>392</v>
      </c>
    </row>
    <row r="56" hidden="1" ht="12.75" customHeight="1" s="99">
      <c r="A56" s="56" t="inlineStr">
        <is>
          <t>01746821_IC_Clemente_Bajo</t>
        </is>
      </c>
      <c r="B56" s="45">
        <f>_xlfn.XLOOKUP(A56,'RF Parameter'!I:I,'RF Parameter'!A:A)</f>
        <v/>
      </c>
      <c r="C56" s="45">
        <f>_xlfn.XLOOKUP(A56,'RF Parameter'!I:I,'RF Parameter'!E:E)</f>
        <v/>
      </c>
      <c r="D56" s="44">
        <f>_xlfn.XLOOKUP(A56,'RF Parameter'!I:I,'RF Parameter'!K:K)</f>
        <v/>
      </c>
      <c r="E56" s="44">
        <f>_xlfn.XLOOKUP(A56,'RF Parameter'!I:I,'RF Parameter'!AB:AB)</f>
        <v/>
      </c>
      <c r="F56" s="44">
        <f>_xlfn.XLOOKUP(A56,'RF Parameter'!I:I,'RF Parameter'!AA:AA)</f>
        <v/>
      </c>
      <c r="G56" s="44">
        <f>_xlfn.XLOOKUP(A56,'RF Parameter'!I:I,'RF Parameter'!B:B)</f>
        <v/>
      </c>
      <c r="H56" s="45">
        <f>_xlfn.XLOOKUP(A56,'RF Parameter'!I:I,'RF Parameter'!M:M)</f>
        <v/>
      </c>
      <c r="I56" s="45" t="n">
        <v>4</v>
      </c>
      <c r="J56" s="44">
        <f>G56</f>
        <v/>
      </c>
      <c r="K56" s="44" t="inlineStr">
        <is>
          <t>-</t>
        </is>
      </c>
      <c r="L56" s="56" t="n">
        <v>716</v>
      </c>
      <c r="M56" s="56" t="n">
        <v>17</v>
      </c>
      <c r="N56" s="44" t="n">
        <v>4682</v>
      </c>
      <c r="O56" s="44" t="n">
        <v>71</v>
      </c>
      <c r="P56" s="44" t="inlineStr">
        <is>
          <t>15M</t>
        </is>
      </c>
      <c r="Q56" s="45" t="n">
        <v>315</v>
      </c>
      <c r="R56" s="56" t="n">
        <v>903</v>
      </c>
      <c r="S56" s="57" t="n">
        <v>45652</v>
      </c>
      <c r="T56" s="56" t="n">
        <v>765.5</v>
      </c>
      <c r="U56" s="56" t="n">
        <v>710.5</v>
      </c>
      <c r="V56" s="56" t="n">
        <v>9285</v>
      </c>
      <c r="W56" s="56" t="n">
        <v>27285</v>
      </c>
      <c r="X56" s="44" t="n">
        <v>12</v>
      </c>
      <c r="Y56" s="44">
        <f>ROUNDUP((10^((X56+Z56)/10)/1000)*LEFT(P56,2)*5*12,0)</f>
        <v/>
      </c>
      <c r="Z56" s="44" t="n">
        <v>0</v>
      </c>
      <c r="AA56" s="44" t="n">
        <v>0</v>
      </c>
      <c r="AB56" s="44">
        <f>Y56*I56</f>
        <v/>
      </c>
      <c r="AC56" s="44" t="inlineStr">
        <is>
          <t>-</t>
        </is>
      </c>
      <c r="AD56" s="44" t="inlineStr">
        <is>
          <t>-</t>
        </is>
      </c>
      <c r="AE56" s="44" t="n">
        <v>0</v>
      </c>
      <c r="AF56" s="45" t="n">
        <v>10</v>
      </c>
      <c r="AG56" s="45" t="n">
        <v>3</v>
      </c>
      <c r="AH56" s="45" t="n">
        <v>408</v>
      </c>
    </row>
    <row r="57" hidden="1" ht="12.75" customHeight="1" s="99">
      <c r="A57" s="56" t="inlineStr">
        <is>
          <t>01746822_IC_Clemente_Bajo</t>
        </is>
      </c>
      <c r="B57" s="45">
        <f>_xlfn.XLOOKUP(A57,'RF Parameter'!I:I,'RF Parameter'!A:A)</f>
        <v/>
      </c>
      <c r="C57" s="45">
        <f>_xlfn.XLOOKUP(A57,'RF Parameter'!I:I,'RF Parameter'!E:E)</f>
        <v/>
      </c>
      <c r="D57" s="44">
        <f>_xlfn.XLOOKUP(A57,'RF Parameter'!I:I,'RF Parameter'!K:K)</f>
        <v/>
      </c>
      <c r="E57" s="44">
        <f>_xlfn.XLOOKUP(A57,'RF Parameter'!I:I,'RF Parameter'!AB:AB)</f>
        <v/>
      </c>
      <c r="F57" s="44">
        <f>_xlfn.XLOOKUP(A57,'RF Parameter'!I:I,'RF Parameter'!AA:AA)</f>
        <v/>
      </c>
      <c r="G57" s="44">
        <f>_xlfn.XLOOKUP(A57,'RF Parameter'!I:I,'RF Parameter'!B:B)</f>
        <v/>
      </c>
      <c r="H57" s="45">
        <f>_xlfn.XLOOKUP(A57,'RF Parameter'!I:I,'RF Parameter'!M:M)</f>
        <v/>
      </c>
      <c r="I57" s="45" t="n">
        <v>4</v>
      </c>
      <c r="J57" s="44">
        <f>G57</f>
        <v/>
      </c>
      <c r="K57" s="44" t="inlineStr">
        <is>
          <t>-</t>
        </is>
      </c>
      <c r="L57" s="56" t="n">
        <v>716</v>
      </c>
      <c r="M57" s="56" t="n">
        <v>17</v>
      </c>
      <c r="N57" s="44" t="n">
        <v>4682</v>
      </c>
      <c r="O57" s="44" t="n">
        <v>72</v>
      </c>
      <c r="P57" s="44" t="inlineStr">
        <is>
          <t>15M</t>
        </is>
      </c>
      <c r="Q57" s="45" t="n">
        <v>316</v>
      </c>
      <c r="R57" s="56" t="n">
        <v>903</v>
      </c>
      <c r="S57" s="57" t="n">
        <v>45652</v>
      </c>
      <c r="T57" s="56" t="n">
        <v>765.5</v>
      </c>
      <c r="U57" s="56" t="n">
        <v>710.5</v>
      </c>
      <c r="V57" s="56" t="n">
        <v>9285</v>
      </c>
      <c r="W57" s="56" t="n">
        <v>27285</v>
      </c>
      <c r="X57" s="44" t="n">
        <v>9.199999999999999</v>
      </c>
      <c r="Y57" s="44">
        <f>ROUNDUP((10^((X57+Z57)/10)/1000)*LEFT(P57,2)*5*12,0)</f>
        <v/>
      </c>
      <c r="Z57" s="44" t="n">
        <v>0</v>
      </c>
      <c r="AA57" s="44" t="n">
        <v>1</v>
      </c>
      <c r="AB57" s="44">
        <f>Y57*I57</f>
        <v/>
      </c>
      <c r="AC57" s="44" t="inlineStr">
        <is>
          <t>-</t>
        </is>
      </c>
      <c r="AD57" s="44" t="inlineStr">
        <is>
          <t>-</t>
        </is>
      </c>
      <c r="AE57" s="44" t="n">
        <v>0</v>
      </c>
      <c r="AF57" s="45" t="n">
        <v>10</v>
      </c>
      <c r="AG57" s="45" t="n">
        <v>3</v>
      </c>
      <c r="AH57" s="45" t="n">
        <v>440</v>
      </c>
    </row>
    <row r="58" hidden="1" ht="12.75" customHeight="1" s="99">
      <c r="A58" s="56" t="inlineStr">
        <is>
          <t>01746823_IC_Clemente_Bajo</t>
        </is>
      </c>
      <c r="B58" s="45">
        <f>_xlfn.XLOOKUP(A58,'RF Parameter'!I:I,'RF Parameter'!A:A)</f>
        <v/>
      </c>
      <c r="C58" s="45">
        <f>_xlfn.XLOOKUP(A58,'RF Parameter'!I:I,'RF Parameter'!E:E)</f>
        <v/>
      </c>
      <c r="D58" s="44">
        <f>_xlfn.XLOOKUP(A58,'RF Parameter'!I:I,'RF Parameter'!K:K)</f>
        <v/>
      </c>
      <c r="E58" s="44">
        <f>_xlfn.XLOOKUP(A58,'RF Parameter'!I:I,'RF Parameter'!AB:AB)</f>
        <v/>
      </c>
      <c r="F58" s="44">
        <f>_xlfn.XLOOKUP(A58,'RF Parameter'!I:I,'RF Parameter'!AA:AA)</f>
        <v/>
      </c>
      <c r="G58" s="44">
        <f>_xlfn.XLOOKUP(A58,'RF Parameter'!I:I,'RF Parameter'!B:B)</f>
        <v/>
      </c>
      <c r="H58" s="45">
        <f>_xlfn.XLOOKUP(A58,'RF Parameter'!I:I,'RF Parameter'!M:M)</f>
        <v/>
      </c>
      <c r="I58" s="45" t="n">
        <v>4</v>
      </c>
      <c r="J58" s="44">
        <f>G58</f>
        <v/>
      </c>
      <c r="K58" s="44" t="inlineStr">
        <is>
          <t>-</t>
        </is>
      </c>
      <c r="L58" s="56" t="n">
        <v>716</v>
      </c>
      <c r="M58" s="56" t="n">
        <v>17</v>
      </c>
      <c r="N58" s="44" t="n">
        <v>4682</v>
      </c>
      <c r="O58" s="44" t="n">
        <v>73</v>
      </c>
      <c r="P58" s="44" t="inlineStr">
        <is>
          <t>15M</t>
        </is>
      </c>
      <c r="Q58" s="45" t="n">
        <v>317</v>
      </c>
      <c r="R58" s="56" t="n">
        <v>903</v>
      </c>
      <c r="S58" s="57" t="n">
        <v>45652</v>
      </c>
      <c r="T58" s="56" t="n">
        <v>765.5</v>
      </c>
      <c r="U58" s="56" t="n">
        <v>710.5</v>
      </c>
      <c r="V58" s="56" t="n">
        <v>9285</v>
      </c>
      <c r="W58" s="56" t="n">
        <v>27285</v>
      </c>
      <c r="X58" s="44" t="n">
        <v>9.199999999999999</v>
      </c>
      <c r="Y58" s="44">
        <f>ROUNDUP((10^((X58+Z58)/10)/1000)*LEFT(P58,2)*5*12,0)</f>
        <v/>
      </c>
      <c r="Z58" s="44" t="n">
        <v>0</v>
      </c>
      <c r="AA58" s="44" t="n">
        <v>0</v>
      </c>
      <c r="AB58" s="44">
        <f>Y58*I58</f>
        <v/>
      </c>
      <c r="AC58" s="44" t="inlineStr">
        <is>
          <t>-</t>
        </is>
      </c>
      <c r="AD58" s="44" t="inlineStr">
        <is>
          <t>-</t>
        </is>
      </c>
      <c r="AE58" s="44" t="n">
        <v>0</v>
      </c>
      <c r="AF58" s="45" t="n">
        <v>10</v>
      </c>
      <c r="AG58" s="45" t="n">
        <v>3</v>
      </c>
      <c r="AH58" s="45" t="n">
        <v>448</v>
      </c>
    </row>
    <row r="59" hidden="1" ht="12.75" customHeight="1" s="99">
      <c r="A59" s="56" t="inlineStr">
        <is>
          <t>01446821_IC_Clemente_Bajo</t>
        </is>
      </c>
      <c r="B59" s="45">
        <f>_xlfn.XLOOKUP(A59,'RF Parameter'!I:I,'RF Parameter'!A:A)</f>
        <v/>
      </c>
      <c r="C59" s="45">
        <f>_xlfn.XLOOKUP(A59,'RF Parameter'!I:I,'RF Parameter'!E:E)</f>
        <v/>
      </c>
      <c r="D59" s="44">
        <f>_xlfn.XLOOKUP(A59,'RF Parameter'!I:I,'RF Parameter'!K:K)</f>
        <v/>
      </c>
      <c r="E59" s="44">
        <f>_xlfn.XLOOKUP(A59,'RF Parameter'!I:I,'RF Parameter'!AB:AB)</f>
        <v/>
      </c>
      <c r="F59" s="44">
        <f>_xlfn.XLOOKUP(A59,'RF Parameter'!I:I,'RF Parameter'!AA:AA)</f>
        <v/>
      </c>
      <c r="G59" s="44">
        <f>_xlfn.XLOOKUP(A59,'RF Parameter'!I:I,'RF Parameter'!B:B)</f>
        <v/>
      </c>
      <c r="H59" s="45">
        <f>_xlfn.XLOOKUP(A59,'RF Parameter'!I:I,'RF Parameter'!M:M)</f>
        <v/>
      </c>
      <c r="I59" s="45" t="n">
        <v>4</v>
      </c>
      <c r="J59" s="44">
        <f>G59</f>
        <v/>
      </c>
      <c r="K59" s="44" t="inlineStr">
        <is>
          <t>-</t>
        </is>
      </c>
      <c r="L59" s="56" t="n">
        <v>716</v>
      </c>
      <c r="M59" s="56" t="n">
        <v>17</v>
      </c>
      <c r="N59" s="44" t="n">
        <v>4682</v>
      </c>
      <c r="O59" s="44" t="n">
        <v>1</v>
      </c>
      <c r="P59" s="44" t="inlineStr">
        <is>
          <t>20M</t>
        </is>
      </c>
      <c r="Q59" s="45" t="n">
        <v>315</v>
      </c>
      <c r="R59" s="56" t="n">
        <v>903</v>
      </c>
      <c r="S59" s="57" t="n">
        <v>45652</v>
      </c>
      <c r="T59" s="45" t="n">
        <v>2140</v>
      </c>
      <c r="U59" s="45" t="n">
        <v>1740</v>
      </c>
      <c r="V59" s="45" t="n">
        <v>2250</v>
      </c>
      <c r="W59" s="45" t="n">
        <v>20250</v>
      </c>
      <c r="X59" s="44" t="n">
        <v>15</v>
      </c>
      <c r="Y59" s="44">
        <f>ROUNDUP((10^((X59+Z59)/10)/1000)*LEFT(P59,2)*5*12,0)</f>
        <v/>
      </c>
      <c r="Z59" s="44" t="n">
        <v>-3</v>
      </c>
      <c r="AA59" s="44" t="n">
        <v>1</v>
      </c>
      <c r="AB59" s="44">
        <f>Y59*I59</f>
        <v/>
      </c>
      <c r="AC59" s="44" t="inlineStr">
        <is>
          <t>-</t>
        </is>
      </c>
      <c r="AD59" s="44" t="inlineStr">
        <is>
          <t>-</t>
        </is>
      </c>
      <c r="AE59" s="44" t="n">
        <v>0</v>
      </c>
      <c r="AF59" s="45" t="n">
        <v>10</v>
      </c>
      <c r="AG59" s="45" t="n">
        <v>3</v>
      </c>
      <c r="AH59" s="45" t="n">
        <v>408</v>
      </c>
    </row>
    <row r="60" hidden="1" ht="12.75" customHeight="1" s="99">
      <c r="A60" s="56" t="inlineStr">
        <is>
          <t>01446822_IC_Clemente_Bajo</t>
        </is>
      </c>
      <c r="B60" s="45">
        <f>_xlfn.XLOOKUP(A60,'RF Parameter'!I:I,'RF Parameter'!A:A)</f>
        <v/>
      </c>
      <c r="C60" s="45">
        <f>_xlfn.XLOOKUP(A60,'RF Parameter'!I:I,'RF Parameter'!E:E)</f>
        <v/>
      </c>
      <c r="D60" s="44">
        <f>_xlfn.XLOOKUP(A60,'RF Parameter'!I:I,'RF Parameter'!K:K)</f>
        <v/>
      </c>
      <c r="E60" s="44">
        <f>_xlfn.XLOOKUP(A60,'RF Parameter'!I:I,'RF Parameter'!AB:AB)</f>
        <v/>
      </c>
      <c r="F60" s="44">
        <f>_xlfn.XLOOKUP(A60,'RF Parameter'!I:I,'RF Parameter'!AA:AA)</f>
        <v/>
      </c>
      <c r="G60" s="44">
        <f>_xlfn.XLOOKUP(A60,'RF Parameter'!I:I,'RF Parameter'!B:B)</f>
        <v/>
      </c>
      <c r="H60" s="45">
        <f>_xlfn.XLOOKUP(A60,'RF Parameter'!I:I,'RF Parameter'!M:M)</f>
        <v/>
      </c>
      <c r="I60" s="45" t="n">
        <v>4</v>
      </c>
      <c r="J60" s="44">
        <f>G60</f>
        <v/>
      </c>
      <c r="K60" s="44" t="inlineStr">
        <is>
          <t>-</t>
        </is>
      </c>
      <c r="L60" s="56" t="n">
        <v>716</v>
      </c>
      <c r="M60" s="56" t="n">
        <v>17</v>
      </c>
      <c r="N60" s="44" t="n">
        <v>4682</v>
      </c>
      <c r="O60" s="44" t="n">
        <v>2</v>
      </c>
      <c r="P60" s="44" t="inlineStr">
        <is>
          <t>20M</t>
        </is>
      </c>
      <c r="Q60" s="45" t="n">
        <v>316</v>
      </c>
      <c r="R60" s="56" t="n">
        <v>903</v>
      </c>
      <c r="S60" s="57" t="n">
        <v>45652</v>
      </c>
      <c r="T60" s="45" t="n">
        <v>2140</v>
      </c>
      <c r="U60" s="45" t="n">
        <v>1740</v>
      </c>
      <c r="V60" s="45" t="n">
        <v>2250</v>
      </c>
      <c r="W60" s="45" t="n">
        <v>20250</v>
      </c>
      <c r="X60" s="44" t="n">
        <v>15.1</v>
      </c>
      <c r="Y60" s="44">
        <f>ROUNDUP((10^((X60+Z60)/10)/1000)*LEFT(P60,2)*5*12,0)</f>
        <v/>
      </c>
      <c r="Z60" s="44" t="n">
        <v>-3</v>
      </c>
      <c r="AA60" s="44" t="n">
        <v>1</v>
      </c>
      <c r="AB60" s="44">
        <f>Y60*I60</f>
        <v/>
      </c>
      <c r="AC60" s="44" t="inlineStr">
        <is>
          <t>-</t>
        </is>
      </c>
      <c r="AD60" s="44" t="inlineStr">
        <is>
          <t>-</t>
        </is>
      </c>
      <c r="AE60" s="44" t="n">
        <v>0</v>
      </c>
      <c r="AF60" s="45" t="n">
        <v>10</v>
      </c>
      <c r="AG60" s="45" t="n">
        <v>3</v>
      </c>
      <c r="AH60" s="45" t="n">
        <v>440</v>
      </c>
    </row>
    <row r="61" hidden="1" ht="12.75" customHeight="1" s="99">
      <c r="A61" s="56" t="inlineStr">
        <is>
          <t>01446823_IC_Clemente_Bajo</t>
        </is>
      </c>
      <c r="B61" s="45">
        <f>_xlfn.XLOOKUP(A61,'RF Parameter'!I:I,'RF Parameter'!A:A)</f>
        <v/>
      </c>
      <c r="C61" s="45">
        <f>_xlfn.XLOOKUP(A61,'RF Parameter'!I:I,'RF Parameter'!E:E)</f>
        <v/>
      </c>
      <c r="D61" s="44">
        <f>_xlfn.XLOOKUP(A61,'RF Parameter'!I:I,'RF Parameter'!K:K)</f>
        <v/>
      </c>
      <c r="E61" s="44">
        <f>_xlfn.XLOOKUP(A61,'RF Parameter'!I:I,'RF Parameter'!AB:AB)</f>
        <v/>
      </c>
      <c r="F61" s="44">
        <f>_xlfn.XLOOKUP(A61,'RF Parameter'!I:I,'RF Parameter'!AA:AA)</f>
        <v/>
      </c>
      <c r="G61" s="44">
        <f>_xlfn.XLOOKUP(A61,'RF Parameter'!I:I,'RF Parameter'!B:B)</f>
        <v/>
      </c>
      <c r="H61" s="45">
        <f>_xlfn.XLOOKUP(A61,'RF Parameter'!I:I,'RF Parameter'!M:M)</f>
        <v/>
      </c>
      <c r="I61" s="45" t="n">
        <v>4</v>
      </c>
      <c r="J61" s="44">
        <f>G61</f>
        <v/>
      </c>
      <c r="K61" s="44" t="inlineStr">
        <is>
          <t>-</t>
        </is>
      </c>
      <c r="L61" s="56" t="n">
        <v>716</v>
      </c>
      <c r="M61" s="56" t="n">
        <v>17</v>
      </c>
      <c r="N61" s="44" t="n">
        <v>4682</v>
      </c>
      <c r="O61" s="44" t="n">
        <v>3</v>
      </c>
      <c r="P61" s="44" t="inlineStr">
        <is>
          <t>20M</t>
        </is>
      </c>
      <c r="Q61" s="45" t="n">
        <v>317</v>
      </c>
      <c r="R61" s="56" t="n">
        <v>903</v>
      </c>
      <c r="S61" s="57" t="n">
        <v>45652</v>
      </c>
      <c r="T61" s="45" t="n">
        <v>2140</v>
      </c>
      <c r="U61" s="45" t="n">
        <v>1740</v>
      </c>
      <c r="V61" s="45" t="n">
        <v>2250</v>
      </c>
      <c r="W61" s="45" t="n">
        <v>20250</v>
      </c>
      <c r="X61" s="44" t="n">
        <v>15.2</v>
      </c>
      <c r="Y61" s="44">
        <f>ROUNDUP((10^((X61+Z61)/10)/1000)*LEFT(P61,2)*5*12,0)</f>
        <v/>
      </c>
      <c r="Z61" s="44" t="n">
        <v>-3</v>
      </c>
      <c r="AA61" s="44" t="n">
        <v>1</v>
      </c>
      <c r="AB61" s="44">
        <f>Y61*I61</f>
        <v/>
      </c>
      <c r="AC61" s="44" t="inlineStr">
        <is>
          <t>-</t>
        </is>
      </c>
      <c r="AD61" s="44" t="inlineStr">
        <is>
          <t>-</t>
        </is>
      </c>
      <c r="AE61" s="44" t="n">
        <v>0</v>
      </c>
      <c r="AF61" s="45" t="n">
        <v>10</v>
      </c>
      <c r="AG61" s="45" t="n">
        <v>3</v>
      </c>
      <c r="AH61" s="45" t="n">
        <v>448</v>
      </c>
    </row>
    <row r="62" hidden="1" ht="12.75" customHeight="1" s="99">
      <c r="A62" s="56" t="inlineStr">
        <is>
          <t>09446821_IC_Clemente_Bajo</t>
        </is>
      </c>
      <c r="B62" s="45">
        <f>_xlfn.XLOOKUP(A62,'RF Parameter'!I:I,'RF Parameter'!A:A)</f>
        <v/>
      </c>
      <c r="C62" s="45">
        <f>_xlfn.XLOOKUP(A62,'RF Parameter'!I:I,'RF Parameter'!E:E)</f>
        <v/>
      </c>
      <c r="D62" s="44">
        <f>_xlfn.XLOOKUP(A62,'RF Parameter'!I:I,'RF Parameter'!K:K)</f>
        <v/>
      </c>
      <c r="E62" s="44">
        <f>_xlfn.XLOOKUP(A62,'RF Parameter'!I:I,'RF Parameter'!AB:AB)</f>
        <v/>
      </c>
      <c r="F62" s="44">
        <f>_xlfn.XLOOKUP(A62,'RF Parameter'!I:I,'RF Parameter'!AA:AA)</f>
        <v/>
      </c>
      <c r="G62" s="44">
        <f>_xlfn.XLOOKUP(A62,'RF Parameter'!I:I,'RF Parameter'!B:B)</f>
        <v/>
      </c>
      <c r="H62" s="45">
        <f>_xlfn.XLOOKUP(A62,'RF Parameter'!I:I,'RF Parameter'!M:M)</f>
        <v/>
      </c>
      <c r="I62" s="45" t="n">
        <v>4</v>
      </c>
      <c r="J62" s="44">
        <f>G62</f>
        <v/>
      </c>
      <c r="K62" s="44" t="inlineStr">
        <is>
          <t>-</t>
        </is>
      </c>
      <c r="L62" s="56" t="n">
        <v>716</v>
      </c>
      <c r="M62" s="56" t="n">
        <v>17</v>
      </c>
      <c r="N62" s="44" t="n">
        <v>4682</v>
      </c>
      <c r="O62" s="44" t="n">
        <v>191</v>
      </c>
      <c r="P62" s="44" t="inlineStr">
        <is>
          <t>10M</t>
        </is>
      </c>
      <c r="Q62" s="45" t="n">
        <v>315</v>
      </c>
      <c r="R62" s="56" t="n">
        <v>903</v>
      </c>
      <c r="S62" s="57" t="n">
        <v>45652</v>
      </c>
      <c r="T62" s="45" t="n">
        <v>1968.8</v>
      </c>
      <c r="U62" s="45" t="n">
        <v>1888.8</v>
      </c>
      <c r="V62" s="45" t="n">
        <v>988</v>
      </c>
      <c r="W62" s="45" t="n">
        <v>18988</v>
      </c>
      <c r="X62" s="44" t="n">
        <v>13.4</v>
      </c>
      <c r="Y62" s="44">
        <f>ROUNDUP((10^((X62+Z62)/10)/1000)*LEFT(P62,2)*5*12,0)</f>
        <v/>
      </c>
      <c r="Z62" s="44" t="n">
        <v>-3</v>
      </c>
      <c r="AA62" s="44" t="n">
        <v>1</v>
      </c>
      <c r="AB62" s="44">
        <f>Y62*I62</f>
        <v/>
      </c>
      <c r="AC62" s="44" t="inlineStr">
        <is>
          <t>-</t>
        </is>
      </c>
      <c r="AD62" s="44" t="inlineStr">
        <is>
          <t>-</t>
        </is>
      </c>
      <c r="AE62" s="44" t="n">
        <v>0</v>
      </c>
      <c r="AF62" s="45" t="n">
        <v>10</v>
      </c>
      <c r="AG62" s="45" t="n">
        <v>3</v>
      </c>
      <c r="AH62" s="45" t="n">
        <v>408</v>
      </c>
    </row>
    <row r="63" hidden="1" ht="12.75" customHeight="1" s="99">
      <c r="A63" s="56" t="inlineStr">
        <is>
          <t>09446822_IC_Clemente_Bajo</t>
        </is>
      </c>
      <c r="B63" s="45">
        <f>_xlfn.XLOOKUP(A63,'RF Parameter'!I:I,'RF Parameter'!A:A)</f>
        <v/>
      </c>
      <c r="C63" s="45">
        <f>_xlfn.XLOOKUP(A63,'RF Parameter'!I:I,'RF Parameter'!E:E)</f>
        <v/>
      </c>
      <c r="D63" s="44">
        <f>_xlfn.XLOOKUP(A63,'RF Parameter'!I:I,'RF Parameter'!K:K)</f>
        <v/>
      </c>
      <c r="E63" s="44">
        <f>_xlfn.XLOOKUP(A63,'RF Parameter'!I:I,'RF Parameter'!AB:AB)</f>
        <v/>
      </c>
      <c r="F63" s="44">
        <f>_xlfn.XLOOKUP(A63,'RF Parameter'!I:I,'RF Parameter'!AA:AA)</f>
        <v/>
      </c>
      <c r="G63" s="44">
        <f>_xlfn.XLOOKUP(A63,'RF Parameter'!I:I,'RF Parameter'!B:B)</f>
        <v/>
      </c>
      <c r="H63" s="45">
        <f>_xlfn.XLOOKUP(A63,'RF Parameter'!I:I,'RF Parameter'!M:M)</f>
        <v/>
      </c>
      <c r="I63" s="45" t="n">
        <v>4</v>
      </c>
      <c r="J63" s="44">
        <f>G63</f>
        <v/>
      </c>
      <c r="K63" s="44" t="inlineStr">
        <is>
          <t>-</t>
        </is>
      </c>
      <c r="L63" s="56" t="n">
        <v>716</v>
      </c>
      <c r="M63" s="56" t="n">
        <v>17</v>
      </c>
      <c r="N63" s="44" t="n">
        <v>4682</v>
      </c>
      <c r="O63" s="44" t="n">
        <v>192</v>
      </c>
      <c r="P63" s="44" t="inlineStr">
        <is>
          <t>10M</t>
        </is>
      </c>
      <c r="Q63" s="45" t="n">
        <v>316</v>
      </c>
      <c r="R63" s="56" t="n">
        <v>903</v>
      </c>
      <c r="S63" s="57" t="n">
        <v>45652</v>
      </c>
      <c r="T63" s="45" t="n">
        <v>1968.8</v>
      </c>
      <c r="U63" s="45" t="n">
        <v>1888.8</v>
      </c>
      <c r="V63" s="45" t="n">
        <v>988</v>
      </c>
      <c r="W63" s="45" t="n">
        <v>18988</v>
      </c>
      <c r="X63" s="44" t="n">
        <v>11.7</v>
      </c>
      <c r="Y63" s="44">
        <f>ROUNDUP((10^((X63+Z63)/10)/1000)*LEFT(P63,2)*5*12,0)</f>
        <v/>
      </c>
      <c r="Z63" s="44" t="n">
        <v>-3</v>
      </c>
      <c r="AA63" s="44" t="n">
        <v>1</v>
      </c>
      <c r="AB63" s="44">
        <f>Y63*I63</f>
        <v/>
      </c>
      <c r="AC63" s="44" t="inlineStr">
        <is>
          <t>-</t>
        </is>
      </c>
      <c r="AD63" s="44" t="inlineStr">
        <is>
          <t>-</t>
        </is>
      </c>
      <c r="AE63" s="44" t="n">
        <v>0</v>
      </c>
      <c r="AF63" s="45" t="n">
        <v>10</v>
      </c>
      <c r="AG63" s="45" t="n">
        <v>3</v>
      </c>
      <c r="AH63" s="45" t="n">
        <v>440</v>
      </c>
    </row>
    <row r="64" hidden="1" ht="12.75" customHeight="1" s="99">
      <c r="A64" s="56" t="inlineStr">
        <is>
          <t>09446823_IC_Clemente_Bajo</t>
        </is>
      </c>
      <c r="B64" s="45">
        <f>_xlfn.XLOOKUP(A64,'RF Parameter'!I:I,'RF Parameter'!A:A)</f>
        <v/>
      </c>
      <c r="C64" s="45">
        <f>_xlfn.XLOOKUP(A64,'RF Parameter'!I:I,'RF Parameter'!E:E)</f>
        <v/>
      </c>
      <c r="D64" s="44">
        <f>_xlfn.XLOOKUP(A64,'RF Parameter'!I:I,'RF Parameter'!K:K)</f>
        <v/>
      </c>
      <c r="E64" s="44">
        <f>_xlfn.XLOOKUP(A64,'RF Parameter'!I:I,'RF Parameter'!AB:AB)</f>
        <v/>
      </c>
      <c r="F64" s="44">
        <f>_xlfn.XLOOKUP(A64,'RF Parameter'!I:I,'RF Parameter'!AA:AA)</f>
        <v/>
      </c>
      <c r="G64" s="44">
        <f>_xlfn.XLOOKUP(A64,'RF Parameter'!I:I,'RF Parameter'!B:B)</f>
        <v/>
      </c>
      <c r="H64" s="45">
        <f>_xlfn.XLOOKUP(A64,'RF Parameter'!I:I,'RF Parameter'!M:M)</f>
        <v/>
      </c>
      <c r="I64" s="45" t="n">
        <v>4</v>
      </c>
      <c r="J64" s="44">
        <f>G64</f>
        <v/>
      </c>
      <c r="K64" s="44" t="inlineStr">
        <is>
          <t>-</t>
        </is>
      </c>
      <c r="L64" s="56" t="n">
        <v>716</v>
      </c>
      <c r="M64" s="56" t="n">
        <v>17</v>
      </c>
      <c r="N64" s="44" t="n">
        <v>4682</v>
      </c>
      <c r="O64" s="44" t="n">
        <v>193</v>
      </c>
      <c r="P64" s="44" t="inlineStr">
        <is>
          <t>10M</t>
        </is>
      </c>
      <c r="Q64" s="45" t="n">
        <v>317</v>
      </c>
      <c r="R64" s="56" t="n">
        <v>903</v>
      </c>
      <c r="S64" s="57" t="n">
        <v>45652</v>
      </c>
      <c r="T64" s="45" t="n">
        <v>1968.8</v>
      </c>
      <c r="U64" s="45" t="n">
        <v>1888.8</v>
      </c>
      <c r="V64" s="45" t="n">
        <v>988</v>
      </c>
      <c r="W64" s="45" t="n">
        <v>18988</v>
      </c>
      <c r="X64" s="44" t="n">
        <v>12.2</v>
      </c>
      <c r="Y64" s="44">
        <f>ROUNDUP((10^((X64+Z64)/10)/1000)*LEFT(P64,2)*5*12,0)</f>
        <v/>
      </c>
      <c r="Z64" s="44" t="n">
        <v>-3</v>
      </c>
      <c r="AA64" s="44" t="n">
        <v>1</v>
      </c>
      <c r="AB64" s="44">
        <f>Y64*I64</f>
        <v/>
      </c>
      <c r="AC64" s="44" t="inlineStr">
        <is>
          <t>-</t>
        </is>
      </c>
      <c r="AD64" s="44" t="inlineStr">
        <is>
          <t>-</t>
        </is>
      </c>
      <c r="AE64" s="44" t="n">
        <v>0</v>
      </c>
      <c r="AF64" s="45" t="n">
        <v>10</v>
      </c>
      <c r="AG64" s="45" t="n">
        <v>3</v>
      </c>
      <c r="AH64" s="45" t="n">
        <v>448</v>
      </c>
    </row>
    <row r="65" ht="12.75" customHeight="1" s="99">
      <c r="A65" s="56" t="inlineStr">
        <is>
          <t>01646821_IC_Clemente_Bajo</t>
        </is>
      </c>
      <c r="B65" s="45">
        <f>_xlfn.XLOOKUP(A65,'RF Parameter'!I:I,'RF Parameter'!A:A)</f>
        <v/>
      </c>
      <c r="C65" s="45">
        <f>_xlfn.XLOOKUP(A65,'RF Parameter'!I:I,'RF Parameter'!E:E)</f>
        <v/>
      </c>
      <c r="D65" s="44">
        <f>_xlfn.XLOOKUP(A65,'RF Parameter'!I:I,'RF Parameter'!K:K)</f>
        <v/>
      </c>
      <c r="E65" s="44">
        <f>_xlfn.XLOOKUP(A65,'RF Parameter'!I:I,'RF Parameter'!AB:AB)</f>
        <v/>
      </c>
      <c r="F65" s="44">
        <f>_xlfn.XLOOKUP(A65,'RF Parameter'!I:I,'RF Parameter'!AA:AA)</f>
        <v/>
      </c>
      <c r="G65" s="44">
        <f>_xlfn.XLOOKUP(A65,'RF Parameter'!I:I,'RF Parameter'!B:B)</f>
        <v/>
      </c>
      <c r="H65" s="45">
        <f>_xlfn.XLOOKUP(A65,'RF Parameter'!I:I,'RF Parameter'!M:M)</f>
        <v/>
      </c>
      <c r="I65" s="45" t="n">
        <v>2</v>
      </c>
      <c r="J65" s="44">
        <f>G65</f>
        <v/>
      </c>
      <c r="K65" s="44" t="inlineStr">
        <is>
          <t>-</t>
        </is>
      </c>
      <c r="L65" s="56" t="n">
        <v>716</v>
      </c>
      <c r="M65" s="56" t="n">
        <v>17</v>
      </c>
      <c r="N65" s="44" t="n">
        <v>4682</v>
      </c>
      <c r="O65" s="44" t="n">
        <v>231</v>
      </c>
      <c r="P65" s="44" t="inlineStr">
        <is>
          <t>15M</t>
        </is>
      </c>
      <c r="Q65" s="45" t="n">
        <v>8</v>
      </c>
      <c r="R65" s="56" t="n">
        <v>903</v>
      </c>
      <c r="S65" s="57" t="n">
        <v>45652</v>
      </c>
      <c r="T65" s="56" t="n">
        <v>2367.5</v>
      </c>
      <c r="U65" s="56" t="inlineStr">
        <is>
          <t>-</t>
        </is>
      </c>
      <c r="V65" s="56" t="n">
        <v>39325</v>
      </c>
      <c r="W65" s="45" t="inlineStr">
        <is>
          <t>-</t>
        </is>
      </c>
      <c r="X65" s="44" t="n">
        <v>15.2</v>
      </c>
      <c r="Y65" s="44">
        <f>ROUNDUP((10^((X65+Z65)/10)/1000)*LEFT(P65,2)*5*12,0)</f>
        <v/>
      </c>
      <c r="Z65" s="44" t="n">
        <v>0</v>
      </c>
      <c r="AA65" s="44" t="n">
        <v>1</v>
      </c>
      <c r="AB65" s="44">
        <f>Y65*I65</f>
        <v/>
      </c>
      <c r="AC65" s="44" t="n">
        <v>2</v>
      </c>
      <c r="AD65" s="44" t="n">
        <v>7</v>
      </c>
      <c r="AE65" s="44" t="n">
        <v>0</v>
      </c>
      <c r="AF65" s="45" t="n">
        <v>10</v>
      </c>
      <c r="AG65" s="63" t="n">
        <v>0</v>
      </c>
      <c r="AH65" s="45" t="n">
        <v>30</v>
      </c>
    </row>
    <row r="66" ht="12.75" customHeight="1" s="99">
      <c r="A66" s="56" t="inlineStr">
        <is>
          <t>01646822_IC_Clemente_Bajo</t>
        </is>
      </c>
      <c r="B66" s="45">
        <f>_xlfn.XLOOKUP(A66,'RF Parameter'!I:I,'RF Parameter'!A:A)</f>
        <v/>
      </c>
      <c r="C66" s="45">
        <f>_xlfn.XLOOKUP(A66,'RF Parameter'!I:I,'RF Parameter'!E:E)</f>
        <v/>
      </c>
      <c r="D66" s="44">
        <f>_xlfn.XLOOKUP(A66,'RF Parameter'!I:I,'RF Parameter'!K:K)</f>
        <v/>
      </c>
      <c r="E66" s="44">
        <f>_xlfn.XLOOKUP(A66,'RF Parameter'!I:I,'RF Parameter'!AB:AB)</f>
        <v/>
      </c>
      <c r="F66" s="44">
        <f>_xlfn.XLOOKUP(A66,'RF Parameter'!I:I,'RF Parameter'!AA:AA)</f>
        <v/>
      </c>
      <c r="G66" s="44">
        <f>_xlfn.XLOOKUP(A66,'RF Parameter'!I:I,'RF Parameter'!B:B)</f>
        <v/>
      </c>
      <c r="H66" s="45">
        <f>_xlfn.XLOOKUP(A66,'RF Parameter'!I:I,'RF Parameter'!M:M)</f>
        <v/>
      </c>
      <c r="I66" s="45" t="n">
        <v>2</v>
      </c>
      <c r="J66" s="44">
        <f>G66</f>
        <v/>
      </c>
      <c r="K66" s="44" t="inlineStr">
        <is>
          <t>-</t>
        </is>
      </c>
      <c r="L66" s="56" t="n">
        <v>716</v>
      </c>
      <c r="M66" s="56" t="n">
        <v>17</v>
      </c>
      <c r="N66" s="44" t="n">
        <v>4682</v>
      </c>
      <c r="O66" s="44" t="n">
        <v>232</v>
      </c>
      <c r="P66" s="44" t="inlineStr">
        <is>
          <t>15M</t>
        </is>
      </c>
      <c r="Q66" s="45" t="n">
        <v>6</v>
      </c>
      <c r="R66" s="56" t="n">
        <v>903</v>
      </c>
      <c r="S66" s="57" t="n">
        <v>45652</v>
      </c>
      <c r="T66" s="56" t="n">
        <v>2367.5</v>
      </c>
      <c r="U66" s="56" t="inlineStr">
        <is>
          <t>-</t>
        </is>
      </c>
      <c r="V66" s="56" t="n">
        <v>39325</v>
      </c>
      <c r="W66" s="45" t="inlineStr">
        <is>
          <t>-</t>
        </is>
      </c>
      <c r="X66" s="44" t="n">
        <v>15.2</v>
      </c>
      <c r="Y66" s="44">
        <f>ROUNDUP((10^((X66+Z66)/10)/1000)*LEFT(P66,2)*5*12,0)</f>
        <v/>
      </c>
      <c r="Z66" s="44" t="n">
        <v>0</v>
      </c>
      <c r="AA66" s="44" t="n">
        <v>1</v>
      </c>
      <c r="AB66" s="44">
        <f>Y66*I66</f>
        <v/>
      </c>
      <c r="AC66" s="44" t="n">
        <v>2</v>
      </c>
      <c r="AD66" s="44" t="n">
        <v>7</v>
      </c>
      <c r="AE66" s="44" t="n">
        <v>0</v>
      </c>
      <c r="AF66" s="45" t="n">
        <v>10</v>
      </c>
      <c r="AG66" s="63" t="n">
        <v>0</v>
      </c>
      <c r="AH66" s="45" t="n">
        <v>42</v>
      </c>
    </row>
    <row r="67" ht="12.75" customHeight="1" s="99">
      <c r="A67" s="56" t="inlineStr">
        <is>
          <t>01646823_IC_Clemente_Bajo</t>
        </is>
      </c>
      <c r="B67" s="45">
        <f>_xlfn.XLOOKUP(A67,'RF Parameter'!I:I,'RF Parameter'!A:A)</f>
        <v/>
      </c>
      <c r="C67" s="45">
        <f>_xlfn.XLOOKUP(A67,'RF Parameter'!I:I,'RF Parameter'!E:E)</f>
        <v/>
      </c>
      <c r="D67" s="44">
        <f>_xlfn.XLOOKUP(A67,'RF Parameter'!I:I,'RF Parameter'!K:K)</f>
        <v/>
      </c>
      <c r="E67" s="44">
        <f>_xlfn.XLOOKUP(A67,'RF Parameter'!I:I,'RF Parameter'!AB:AB)</f>
        <v/>
      </c>
      <c r="F67" s="44">
        <f>_xlfn.XLOOKUP(A67,'RF Parameter'!I:I,'RF Parameter'!AA:AA)</f>
        <v/>
      </c>
      <c r="G67" s="44">
        <f>_xlfn.XLOOKUP(A67,'RF Parameter'!I:I,'RF Parameter'!B:B)</f>
        <v/>
      </c>
      <c r="H67" s="45">
        <f>_xlfn.XLOOKUP(A67,'RF Parameter'!I:I,'RF Parameter'!M:M)</f>
        <v/>
      </c>
      <c r="I67" s="45" t="n">
        <v>2</v>
      </c>
      <c r="J67" s="44">
        <f>G67</f>
        <v/>
      </c>
      <c r="K67" s="44" t="inlineStr">
        <is>
          <t>-</t>
        </is>
      </c>
      <c r="L67" s="56" t="n">
        <v>716</v>
      </c>
      <c r="M67" s="56" t="n">
        <v>17</v>
      </c>
      <c r="N67" s="44" t="n">
        <v>4682</v>
      </c>
      <c r="O67" s="44" t="n">
        <v>233</v>
      </c>
      <c r="P67" s="44" t="inlineStr">
        <is>
          <t>15M</t>
        </is>
      </c>
      <c r="Q67" s="45" t="n">
        <v>7</v>
      </c>
      <c r="R67" s="56" t="n">
        <v>903</v>
      </c>
      <c r="S67" s="57" t="n">
        <v>45652</v>
      </c>
      <c r="T67" s="56" t="n">
        <v>2367.5</v>
      </c>
      <c r="U67" s="56" t="inlineStr">
        <is>
          <t>-</t>
        </is>
      </c>
      <c r="V67" s="56" t="n">
        <v>39325</v>
      </c>
      <c r="W67" s="45" t="inlineStr">
        <is>
          <t>-</t>
        </is>
      </c>
      <c r="X67" s="44" t="n">
        <v>15.2</v>
      </c>
      <c r="Y67" s="44">
        <f>ROUNDUP((10^((X67+Z67)/10)/1000)*LEFT(P67,2)*5*12,0)</f>
        <v/>
      </c>
      <c r="Z67" s="44" t="n">
        <v>0</v>
      </c>
      <c r="AA67" s="44" t="n">
        <v>1</v>
      </c>
      <c r="AB67" s="44">
        <f>Y67*I67</f>
        <v/>
      </c>
      <c r="AC67" s="44" t="n">
        <v>2</v>
      </c>
      <c r="AD67" s="44" t="n">
        <v>7</v>
      </c>
      <c r="AE67" s="44" t="n">
        <v>0</v>
      </c>
      <c r="AF67" s="45" t="n">
        <v>10</v>
      </c>
      <c r="AG67" s="63" t="n">
        <v>0</v>
      </c>
      <c r="AH67" s="45" t="n">
        <v>36</v>
      </c>
    </row>
    <row r="68" ht="12.75" customHeight="1" s="99">
      <c r="A68" s="56" t="inlineStr">
        <is>
          <t>01646826_IC_Clemente_Bajo</t>
        </is>
      </c>
      <c r="B68" s="45">
        <f>_xlfn.XLOOKUP(A68,'RF Parameter'!I:I,'RF Parameter'!A:A)</f>
        <v/>
      </c>
      <c r="C68" s="45">
        <f>_xlfn.XLOOKUP(A68,'RF Parameter'!I:I,'RF Parameter'!E:E)</f>
        <v/>
      </c>
      <c r="D68" s="44">
        <f>_xlfn.XLOOKUP(A68,'RF Parameter'!I:I,'RF Parameter'!K:K)</f>
        <v/>
      </c>
      <c r="E68" s="44">
        <f>_xlfn.XLOOKUP(A68,'RF Parameter'!I:I,'RF Parameter'!AB:AB)</f>
        <v/>
      </c>
      <c r="F68" s="44">
        <f>_xlfn.XLOOKUP(A68,'RF Parameter'!I:I,'RF Parameter'!AA:AA)</f>
        <v/>
      </c>
      <c r="G68" s="44">
        <f>_xlfn.XLOOKUP(A68,'RF Parameter'!I:I,'RF Parameter'!B:B)</f>
        <v/>
      </c>
      <c r="H68" s="45">
        <f>_xlfn.XLOOKUP(A68,'RF Parameter'!I:I,'RF Parameter'!M:M)</f>
        <v/>
      </c>
      <c r="I68" s="45" t="n">
        <v>2</v>
      </c>
      <c r="J68" s="44">
        <f>G68</f>
        <v/>
      </c>
      <c r="K68" s="44" t="inlineStr">
        <is>
          <t>-</t>
        </is>
      </c>
      <c r="L68" s="56" t="n">
        <v>716</v>
      </c>
      <c r="M68" s="56" t="n">
        <v>17</v>
      </c>
      <c r="N68" s="44" t="n">
        <v>4682</v>
      </c>
      <c r="O68" s="44" t="n">
        <v>236</v>
      </c>
      <c r="P68" s="44" t="inlineStr">
        <is>
          <t>15M</t>
        </is>
      </c>
      <c r="Q68" s="45" t="n">
        <v>8</v>
      </c>
      <c r="R68" s="56" t="n">
        <v>903</v>
      </c>
      <c r="S68" s="57" t="n">
        <v>45652</v>
      </c>
      <c r="T68" s="56" t="n">
        <v>2382.5</v>
      </c>
      <c r="U68" s="56" t="inlineStr">
        <is>
          <t>-</t>
        </is>
      </c>
      <c r="V68" s="56" t="n">
        <v>39475</v>
      </c>
      <c r="W68" s="45" t="inlineStr">
        <is>
          <t>-</t>
        </is>
      </c>
      <c r="X68" s="44" t="n">
        <v>15.2</v>
      </c>
      <c r="Y68" s="44">
        <f>ROUNDUP((10^((X68+Z68)/10)/1000)*LEFT(P68,2)*5*12,0)</f>
        <v/>
      </c>
      <c r="Z68" s="44" t="n">
        <v>0</v>
      </c>
      <c r="AA68" s="44" t="n">
        <v>1</v>
      </c>
      <c r="AB68" s="44">
        <f>Y68*I68</f>
        <v/>
      </c>
      <c r="AC68" s="44" t="n">
        <v>2</v>
      </c>
      <c r="AD68" s="44" t="n">
        <v>7</v>
      </c>
      <c r="AE68" s="44" t="n">
        <v>0</v>
      </c>
      <c r="AF68" s="45" t="n">
        <v>10</v>
      </c>
      <c r="AG68" s="63" t="n">
        <v>0</v>
      </c>
      <c r="AH68" s="45" t="n">
        <v>30</v>
      </c>
    </row>
    <row r="69" ht="12.75" customHeight="1" s="99">
      <c r="A69" s="56" t="inlineStr">
        <is>
          <t>01646827_IC_Clemente_Bajo</t>
        </is>
      </c>
      <c r="B69" s="45">
        <f>_xlfn.XLOOKUP(A69,'RF Parameter'!I:I,'RF Parameter'!A:A)</f>
        <v/>
      </c>
      <c r="C69" s="45">
        <f>_xlfn.XLOOKUP(A69,'RF Parameter'!I:I,'RF Parameter'!E:E)</f>
        <v/>
      </c>
      <c r="D69" s="44">
        <f>_xlfn.XLOOKUP(A69,'RF Parameter'!I:I,'RF Parameter'!K:K)</f>
        <v/>
      </c>
      <c r="E69" s="44">
        <f>_xlfn.XLOOKUP(A69,'RF Parameter'!I:I,'RF Parameter'!AB:AB)</f>
        <v/>
      </c>
      <c r="F69" s="44">
        <f>_xlfn.XLOOKUP(A69,'RF Parameter'!I:I,'RF Parameter'!AA:AA)</f>
        <v/>
      </c>
      <c r="G69" s="44">
        <f>_xlfn.XLOOKUP(A69,'RF Parameter'!I:I,'RF Parameter'!B:B)</f>
        <v/>
      </c>
      <c r="H69" s="45">
        <f>_xlfn.XLOOKUP(A69,'RF Parameter'!I:I,'RF Parameter'!M:M)</f>
        <v/>
      </c>
      <c r="I69" s="45" t="n">
        <v>2</v>
      </c>
      <c r="J69" s="44">
        <f>G69</f>
        <v/>
      </c>
      <c r="K69" s="44" t="inlineStr">
        <is>
          <t>-</t>
        </is>
      </c>
      <c r="L69" s="56" t="n">
        <v>716</v>
      </c>
      <c r="M69" s="56" t="n">
        <v>17</v>
      </c>
      <c r="N69" s="44" t="n">
        <v>4682</v>
      </c>
      <c r="O69" s="44" t="n">
        <v>237</v>
      </c>
      <c r="P69" s="44" t="inlineStr">
        <is>
          <t>15M</t>
        </is>
      </c>
      <c r="Q69" s="45" t="n">
        <v>6</v>
      </c>
      <c r="R69" s="56" t="n">
        <v>903</v>
      </c>
      <c r="S69" s="57" t="n">
        <v>45652</v>
      </c>
      <c r="T69" s="56" t="n">
        <v>2382.5</v>
      </c>
      <c r="U69" s="56" t="inlineStr">
        <is>
          <t>-</t>
        </is>
      </c>
      <c r="V69" s="56" t="n">
        <v>39475</v>
      </c>
      <c r="W69" s="45" t="inlineStr">
        <is>
          <t>-</t>
        </is>
      </c>
      <c r="X69" s="44" t="n">
        <v>15.2</v>
      </c>
      <c r="Y69" s="44">
        <f>ROUNDUP((10^((X69+Z69)/10)/1000)*LEFT(P69,2)*5*12,0)</f>
        <v/>
      </c>
      <c r="Z69" s="44" t="n">
        <v>0</v>
      </c>
      <c r="AA69" s="44" t="n">
        <v>1</v>
      </c>
      <c r="AB69" s="44">
        <f>Y69*I69</f>
        <v/>
      </c>
      <c r="AC69" s="44" t="n">
        <v>2</v>
      </c>
      <c r="AD69" s="44" t="n">
        <v>7</v>
      </c>
      <c r="AE69" s="44" t="n">
        <v>0</v>
      </c>
      <c r="AF69" s="45" t="n">
        <v>10</v>
      </c>
      <c r="AG69" s="63" t="n">
        <v>0</v>
      </c>
      <c r="AH69" s="45" t="n">
        <v>42</v>
      </c>
    </row>
    <row r="70" ht="12.75" customHeight="1" s="99">
      <c r="A70" s="56" t="inlineStr">
        <is>
          <t>01646828_IC_Clemente_Bajo</t>
        </is>
      </c>
      <c r="B70" s="45">
        <f>_xlfn.XLOOKUP(A70,'RF Parameter'!I:I,'RF Parameter'!A:A)</f>
        <v/>
      </c>
      <c r="C70" s="45">
        <f>_xlfn.XLOOKUP(A70,'RF Parameter'!I:I,'RF Parameter'!E:E)</f>
        <v/>
      </c>
      <c r="D70" s="44">
        <f>_xlfn.XLOOKUP(A70,'RF Parameter'!I:I,'RF Parameter'!K:K)</f>
        <v/>
      </c>
      <c r="E70" s="44">
        <f>_xlfn.XLOOKUP(A70,'RF Parameter'!I:I,'RF Parameter'!AB:AB)</f>
        <v/>
      </c>
      <c r="F70" s="44">
        <f>_xlfn.XLOOKUP(A70,'RF Parameter'!I:I,'RF Parameter'!AA:AA)</f>
        <v/>
      </c>
      <c r="G70" s="44">
        <f>_xlfn.XLOOKUP(A70,'RF Parameter'!I:I,'RF Parameter'!B:B)</f>
        <v/>
      </c>
      <c r="H70" s="45">
        <f>_xlfn.XLOOKUP(A70,'RF Parameter'!I:I,'RF Parameter'!M:M)</f>
        <v/>
      </c>
      <c r="I70" s="45" t="n">
        <v>2</v>
      </c>
      <c r="J70" s="44">
        <f>G70</f>
        <v/>
      </c>
      <c r="K70" s="44" t="inlineStr">
        <is>
          <t>-</t>
        </is>
      </c>
      <c r="L70" s="56" t="n">
        <v>716</v>
      </c>
      <c r="M70" s="56" t="n">
        <v>17</v>
      </c>
      <c r="N70" s="44" t="n">
        <v>4682</v>
      </c>
      <c r="O70" s="44" t="n">
        <v>238</v>
      </c>
      <c r="P70" s="44" t="inlineStr">
        <is>
          <t>15M</t>
        </is>
      </c>
      <c r="Q70" s="45" t="n">
        <v>7</v>
      </c>
      <c r="R70" s="56" t="n">
        <v>903</v>
      </c>
      <c r="S70" s="57" t="n">
        <v>45652</v>
      </c>
      <c r="T70" s="56" t="n">
        <v>2382.5</v>
      </c>
      <c r="U70" s="56" t="inlineStr">
        <is>
          <t>-</t>
        </is>
      </c>
      <c r="V70" s="56" t="n">
        <v>39475</v>
      </c>
      <c r="W70" s="45" t="inlineStr">
        <is>
          <t>-</t>
        </is>
      </c>
      <c r="X70" s="44" t="n">
        <v>15.2</v>
      </c>
      <c r="Y70" s="44">
        <f>ROUNDUP((10^((X70+Z70)/10)/1000)*LEFT(P70,2)*5*12,0)</f>
        <v/>
      </c>
      <c r="Z70" s="44" t="n">
        <v>0</v>
      </c>
      <c r="AA70" s="44" t="n">
        <v>1</v>
      </c>
      <c r="AB70" s="44">
        <f>Y70*I70</f>
        <v/>
      </c>
      <c r="AC70" s="44" t="n">
        <v>2</v>
      </c>
      <c r="AD70" s="44" t="n">
        <v>7</v>
      </c>
      <c r="AE70" s="44" t="n">
        <v>0</v>
      </c>
      <c r="AF70" s="45" t="n">
        <v>10</v>
      </c>
      <c r="AG70" s="63" t="n">
        <v>0</v>
      </c>
      <c r="AH70" s="45" t="n">
        <v>36</v>
      </c>
    </row>
    <row r="71" hidden="1" ht="12.75" customHeight="1" s="99">
      <c r="A71" s="56" t="inlineStr">
        <is>
          <t>01746911_IC_Villa_Amaru</t>
        </is>
      </c>
      <c r="B71" s="45">
        <f>_xlfn.XLOOKUP(A71,'RF Parameter'!I:I,'RF Parameter'!A:A)</f>
        <v/>
      </c>
      <c r="C71" s="45">
        <f>_xlfn.XLOOKUP(A71,'RF Parameter'!I:I,'RF Parameter'!E:E)</f>
        <v/>
      </c>
      <c r="D71" s="44">
        <f>_xlfn.XLOOKUP(A71,'RF Parameter'!I:I,'RF Parameter'!K:K)</f>
        <v/>
      </c>
      <c r="E71" s="44">
        <f>_xlfn.XLOOKUP(A71,'RF Parameter'!I:I,'RF Parameter'!AB:AB)</f>
        <v/>
      </c>
      <c r="F71" s="44">
        <f>_xlfn.XLOOKUP(A71,'RF Parameter'!I:I,'RF Parameter'!AA:AA)</f>
        <v/>
      </c>
      <c r="G71" s="44">
        <f>_xlfn.XLOOKUP(A71,'RF Parameter'!I:I,'RF Parameter'!B:B)</f>
        <v/>
      </c>
      <c r="H71" s="45">
        <f>_xlfn.XLOOKUP(A71,'RF Parameter'!I:I,'RF Parameter'!M:M)</f>
        <v/>
      </c>
      <c r="I71" s="45" t="n">
        <v>4</v>
      </c>
      <c r="J71" s="44">
        <f>G71</f>
        <v/>
      </c>
      <c r="K71" s="44" t="inlineStr">
        <is>
          <t>-</t>
        </is>
      </c>
      <c r="L71" s="56" t="n">
        <v>716</v>
      </c>
      <c r="M71" s="56" t="n">
        <v>17</v>
      </c>
      <c r="N71" s="44" t="n">
        <v>4691</v>
      </c>
      <c r="O71" s="44" t="n">
        <v>71</v>
      </c>
      <c r="P71" s="44" t="inlineStr">
        <is>
          <t>15M</t>
        </is>
      </c>
      <c r="Q71" s="45" t="n">
        <v>43</v>
      </c>
      <c r="R71" s="56" t="n">
        <v>903</v>
      </c>
      <c r="S71" s="57" t="n">
        <v>45652</v>
      </c>
      <c r="T71" s="56" t="n">
        <v>765.5</v>
      </c>
      <c r="U71" s="56" t="n">
        <v>710.5</v>
      </c>
      <c r="V71" s="56" t="n">
        <v>9285</v>
      </c>
      <c r="W71" s="56" t="n">
        <v>27285</v>
      </c>
      <c r="X71" s="44" t="n">
        <v>11.2</v>
      </c>
      <c r="Y71" s="44">
        <f>ROUNDUP((10^((X71+Z71)/10)/1000)*LEFT(P71,2)*5*12,0)</f>
        <v/>
      </c>
      <c r="Z71" s="44" t="n">
        <v>0</v>
      </c>
      <c r="AA71" s="44" t="n">
        <v>0</v>
      </c>
      <c r="AB71" s="44">
        <f>Y71*I71</f>
        <v/>
      </c>
      <c r="AC71" s="44" t="inlineStr">
        <is>
          <t>-</t>
        </is>
      </c>
      <c r="AD71" s="44" t="inlineStr">
        <is>
          <t>-</t>
        </is>
      </c>
      <c r="AE71" s="44" t="n">
        <v>0</v>
      </c>
      <c r="AF71" s="45" t="n">
        <v>10</v>
      </c>
      <c r="AG71" s="45" t="n">
        <v>3</v>
      </c>
      <c r="AH71" s="45" t="n">
        <v>200</v>
      </c>
    </row>
    <row r="72" hidden="1" ht="12.75" customHeight="1" s="99">
      <c r="A72" s="56" t="inlineStr">
        <is>
          <t>01746912_IC_Villa_Amaru</t>
        </is>
      </c>
      <c r="B72" s="45">
        <f>_xlfn.XLOOKUP(A72,'RF Parameter'!I:I,'RF Parameter'!A:A)</f>
        <v/>
      </c>
      <c r="C72" s="45">
        <f>_xlfn.XLOOKUP(A72,'RF Parameter'!I:I,'RF Parameter'!E:E)</f>
        <v/>
      </c>
      <c r="D72" s="44">
        <f>_xlfn.XLOOKUP(A72,'RF Parameter'!I:I,'RF Parameter'!K:K)</f>
        <v/>
      </c>
      <c r="E72" s="44">
        <f>_xlfn.XLOOKUP(A72,'RF Parameter'!I:I,'RF Parameter'!AB:AB)</f>
        <v/>
      </c>
      <c r="F72" s="44">
        <f>_xlfn.XLOOKUP(A72,'RF Parameter'!I:I,'RF Parameter'!AA:AA)</f>
        <v/>
      </c>
      <c r="G72" s="44">
        <f>_xlfn.XLOOKUP(A72,'RF Parameter'!I:I,'RF Parameter'!B:B)</f>
        <v/>
      </c>
      <c r="H72" s="45">
        <f>_xlfn.XLOOKUP(A72,'RF Parameter'!I:I,'RF Parameter'!M:M)</f>
        <v/>
      </c>
      <c r="I72" s="45" t="n">
        <v>4</v>
      </c>
      <c r="J72" s="44">
        <f>G72</f>
        <v/>
      </c>
      <c r="K72" s="44" t="inlineStr">
        <is>
          <t>-</t>
        </is>
      </c>
      <c r="L72" s="56" t="n">
        <v>716</v>
      </c>
      <c r="M72" s="56" t="n">
        <v>17</v>
      </c>
      <c r="N72" s="44" t="n">
        <v>4691</v>
      </c>
      <c r="O72" s="44" t="n">
        <v>72</v>
      </c>
      <c r="P72" s="44" t="inlineStr">
        <is>
          <t>15M</t>
        </is>
      </c>
      <c r="Q72" s="45" t="n">
        <v>44</v>
      </c>
      <c r="R72" s="56" t="n">
        <v>903</v>
      </c>
      <c r="S72" s="57" t="n">
        <v>45652</v>
      </c>
      <c r="T72" s="56" t="n">
        <v>765.5</v>
      </c>
      <c r="U72" s="56" t="n">
        <v>710.5</v>
      </c>
      <c r="V72" s="56" t="n">
        <v>9285</v>
      </c>
      <c r="W72" s="56" t="n">
        <v>27285</v>
      </c>
      <c r="X72" s="44" t="n">
        <v>12.2</v>
      </c>
      <c r="Y72" s="44">
        <f>ROUNDUP((10^((X72+Z72)/10)/1000)*LEFT(P72,2)*5*12,0)</f>
        <v/>
      </c>
      <c r="Z72" s="44" t="n">
        <v>0</v>
      </c>
      <c r="AA72" s="44" t="n">
        <v>0</v>
      </c>
      <c r="AB72" s="44">
        <f>Y72*I72</f>
        <v/>
      </c>
      <c r="AC72" s="44" t="inlineStr">
        <is>
          <t>-</t>
        </is>
      </c>
      <c r="AD72" s="44" t="inlineStr">
        <is>
          <t>-</t>
        </is>
      </c>
      <c r="AE72" s="44" t="n">
        <v>0</v>
      </c>
      <c r="AF72" s="45" t="n">
        <v>10</v>
      </c>
      <c r="AG72" s="45" t="n">
        <v>3</v>
      </c>
      <c r="AH72" s="45" t="n">
        <v>224</v>
      </c>
    </row>
    <row r="73" hidden="1" ht="12.75" customHeight="1" s="99">
      <c r="A73" s="56" t="inlineStr">
        <is>
          <t>01746913_IC_Villa_Amaru</t>
        </is>
      </c>
      <c r="B73" s="45">
        <f>_xlfn.XLOOKUP(A73,'RF Parameter'!I:I,'RF Parameter'!A:A)</f>
        <v/>
      </c>
      <c r="C73" s="45">
        <f>_xlfn.XLOOKUP(A73,'RF Parameter'!I:I,'RF Parameter'!E:E)</f>
        <v/>
      </c>
      <c r="D73" s="44">
        <f>_xlfn.XLOOKUP(A73,'RF Parameter'!I:I,'RF Parameter'!K:K)</f>
        <v/>
      </c>
      <c r="E73" s="44">
        <f>_xlfn.XLOOKUP(A73,'RF Parameter'!I:I,'RF Parameter'!AB:AB)</f>
        <v/>
      </c>
      <c r="F73" s="44">
        <f>_xlfn.XLOOKUP(A73,'RF Parameter'!I:I,'RF Parameter'!AA:AA)</f>
        <v/>
      </c>
      <c r="G73" s="44">
        <f>_xlfn.XLOOKUP(A73,'RF Parameter'!I:I,'RF Parameter'!B:B)</f>
        <v/>
      </c>
      <c r="H73" s="45">
        <f>_xlfn.XLOOKUP(A73,'RF Parameter'!I:I,'RF Parameter'!M:M)</f>
        <v/>
      </c>
      <c r="I73" s="45" t="n">
        <v>4</v>
      </c>
      <c r="J73" s="44">
        <f>G73</f>
        <v/>
      </c>
      <c r="K73" s="44" t="inlineStr">
        <is>
          <t>-</t>
        </is>
      </c>
      <c r="L73" s="56" t="n">
        <v>716</v>
      </c>
      <c r="M73" s="56" t="n">
        <v>17</v>
      </c>
      <c r="N73" s="44" t="n">
        <v>4691</v>
      </c>
      <c r="O73" s="44" t="n">
        <v>73</v>
      </c>
      <c r="P73" s="44" t="inlineStr">
        <is>
          <t>15M</t>
        </is>
      </c>
      <c r="Q73" s="45" t="n">
        <v>45</v>
      </c>
      <c r="R73" s="56" t="n">
        <v>903</v>
      </c>
      <c r="S73" s="57" t="n">
        <v>45652</v>
      </c>
      <c r="T73" s="56" t="n">
        <v>765.5</v>
      </c>
      <c r="U73" s="56" t="n">
        <v>710.5</v>
      </c>
      <c r="V73" s="56" t="n">
        <v>9285</v>
      </c>
      <c r="W73" s="56" t="n">
        <v>27285</v>
      </c>
      <c r="X73" s="44" t="n">
        <v>10.2</v>
      </c>
      <c r="Y73" s="44">
        <f>ROUNDUP((10^((X73+Z73)/10)/1000)*LEFT(P73,2)*5*12,0)</f>
        <v/>
      </c>
      <c r="Z73" s="44" t="n">
        <v>0</v>
      </c>
      <c r="AA73" s="44" t="n">
        <v>0</v>
      </c>
      <c r="AB73" s="44">
        <f>Y73*I73</f>
        <v/>
      </c>
      <c r="AC73" s="44" t="inlineStr">
        <is>
          <t>-</t>
        </is>
      </c>
      <c r="AD73" s="44" t="inlineStr">
        <is>
          <t>-</t>
        </is>
      </c>
      <c r="AE73" s="44" t="n">
        <v>0</v>
      </c>
      <c r="AF73" s="45" t="n">
        <v>10</v>
      </c>
      <c r="AG73" s="45" t="n">
        <v>3</v>
      </c>
      <c r="AH73" s="45" t="n">
        <v>240</v>
      </c>
    </row>
    <row r="74" hidden="1" ht="12.75" customHeight="1" s="99">
      <c r="A74" s="56" t="inlineStr">
        <is>
          <t>01446911_IC_Villa_Amaru</t>
        </is>
      </c>
      <c r="B74" s="45">
        <f>_xlfn.XLOOKUP(A74,'RF Parameter'!I:I,'RF Parameter'!A:A)</f>
        <v/>
      </c>
      <c r="C74" s="45">
        <f>_xlfn.XLOOKUP(A74,'RF Parameter'!I:I,'RF Parameter'!E:E)</f>
        <v/>
      </c>
      <c r="D74" s="44">
        <f>_xlfn.XLOOKUP(A74,'RF Parameter'!I:I,'RF Parameter'!K:K)</f>
        <v/>
      </c>
      <c r="E74" s="44">
        <f>_xlfn.XLOOKUP(A74,'RF Parameter'!I:I,'RF Parameter'!AB:AB)</f>
        <v/>
      </c>
      <c r="F74" s="44">
        <f>_xlfn.XLOOKUP(A74,'RF Parameter'!I:I,'RF Parameter'!AA:AA)</f>
        <v/>
      </c>
      <c r="G74" s="44">
        <f>_xlfn.XLOOKUP(A74,'RF Parameter'!I:I,'RF Parameter'!B:B)</f>
        <v/>
      </c>
      <c r="H74" s="45">
        <f>_xlfn.XLOOKUP(A74,'RF Parameter'!I:I,'RF Parameter'!M:M)</f>
        <v/>
      </c>
      <c r="I74" s="45" t="n">
        <v>4</v>
      </c>
      <c r="J74" s="44">
        <f>G74</f>
        <v/>
      </c>
      <c r="K74" s="44" t="inlineStr">
        <is>
          <t>-</t>
        </is>
      </c>
      <c r="L74" s="56" t="n">
        <v>716</v>
      </c>
      <c r="M74" s="56" t="n">
        <v>17</v>
      </c>
      <c r="N74" s="44" t="n">
        <v>4691</v>
      </c>
      <c r="O74" s="44" t="n">
        <v>1</v>
      </c>
      <c r="P74" s="44" t="inlineStr">
        <is>
          <t>20M</t>
        </is>
      </c>
      <c r="Q74" s="45" t="n">
        <v>192</v>
      </c>
      <c r="R74" s="56" t="n">
        <v>903</v>
      </c>
      <c r="S74" s="57" t="n">
        <v>45652</v>
      </c>
      <c r="T74" s="45" t="n">
        <v>2140</v>
      </c>
      <c r="U74" s="45" t="n">
        <v>1740</v>
      </c>
      <c r="V74" s="45" t="n">
        <v>2250</v>
      </c>
      <c r="W74" s="45" t="n">
        <v>20250</v>
      </c>
      <c r="X74" s="44" t="n">
        <v>15.2</v>
      </c>
      <c r="Y74" s="44">
        <f>ROUNDUP((10^((X74+Z74)/10)/1000)*LEFT(P74,2)*5*12,0)</f>
        <v/>
      </c>
      <c r="Z74" s="44" t="n">
        <v>-3</v>
      </c>
      <c r="AA74" s="44" t="n">
        <v>1</v>
      </c>
      <c r="AB74" s="44">
        <f>Y74*I74</f>
        <v/>
      </c>
      <c r="AC74" s="44" t="inlineStr">
        <is>
          <t>-</t>
        </is>
      </c>
      <c r="AD74" s="44" t="inlineStr">
        <is>
          <t>-</t>
        </is>
      </c>
      <c r="AE74" s="44" t="n">
        <v>0</v>
      </c>
      <c r="AF74" s="45" t="n">
        <v>10</v>
      </c>
      <c r="AG74" s="45" t="n">
        <v>3</v>
      </c>
      <c r="AH74" s="45" t="n">
        <v>416</v>
      </c>
    </row>
    <row r="75" hidden="1" ht="12.75" customHeight="1" s="99">
      <c r="A75" s="56" t="inlineStr">
        <is>
          <t>01446912_IC_Villa_Amaru</t>
        </is>
      </c>
      <c r="B75" s="45">
        <f>_xlfn.XLOOKUP(A75,'RF Parameter'!I:I,'RF Parameter'!A:A)</f>
        <v/>
      </c>
      <c r="C75" s="45">
        <f>_xlfn.XLOOKUP(A75,'RF Parameter'!I:I,'RF Parameter'!E:E)</f>
        <v/>
      </c>
      <c r="D75" s="44">
        <f>_xlfn.XLOOKUP(A75,'RF Parameter'!I:I,'RF Parameter'!K:K)</f>
        <v/>
      </c>
      <c r="E75" s="44">
        <f>_xlfn.XLOOKUP(A75,'RF Parameter'!I:I,'RF Parameter'!AB:AB)</f>
        <v/>
      </c>
      <c r="F75" s="44">
        <f>_xlfn.XLOOKUP(A75,'RF Parameter'!I:I,'RF Parameter'!AA:AA)</f>
        <v/>
      </c>
      <c r="G75" s="44">
        <f>_xlfn.XLOOKUP(A75,'RF Parameter'!I:I,'RF Parameter'!B:B)</f>
        <v/>
      </c>
      <c r="H75" s="45">
        <f>_xlfn.XLOOKUP(A75,'RF Parameter'!I:I,'RF Parameter'!M:M)</f>
        <v/>
      </c>
      <c r="I75" s="45" t="n">
        <v>4</v>
      </c>
      <c r="J75" s="44">
        <f>G75</f>
        <v/>
      </c>
      <c r="K75" s="44" t="inlineStr">
        <is>
          <t>-</t>
        </is>
      </c>
      <c r="L75" s="56" t="n">
        <v>716</v>
      </c>
      <c r="M75" s="56" t="n">
        <v>17</v>
      </c>
      <c r="N75" s="44" t="n">
        <v>4691</v>
      </c>
      <c r="O75" s="44" t="n">
        <v>2</v>
      </c>
      <c r="P75" s="44" t="inlineStr">
        <is>
          <t>20M</t>
        </is>
      </c>
      <c r="Q75" s="45" t="n">
        <v>193</v>
      </c>
      <c r="R75" s="56" t="n">
        <v>903</v>
      </c>
      <c r="S75" s="57" t="n">
        <v>45652</v>
      </c>
      <c r="T75" s="45" t="n">
        <v>2140</v>
      </c>
      <c r="U75" s="45" t="n">
        <v>1740</v>
      </c>
      <c r="V75" s="45" t="n">
        <v>2250</v>
      </c>
      <c r="W75" s="45" t="n">
        <v>20250</v>
      </c>
      <c r="X75" s="44" t="n">
        <v>16.2</v>
      </c>
      <c r="Y75" s="44">
        <f>ROUNDUP((10^((X75+Z75)/10)/1000)*LEFT(P75,2)*5*12,0)</f>
        <v/>
      </c>
      <c r="Z75" s="44" t="n">
        <v>-3</v>
      </c>
      <c r="AA75" s="44" t="n">
        <v>1</v>
      </c>
      <c r="AB75" s="44">
        <f>Y75*I75</f>
        <v/>
      </c>
      <c r="AC75" s="44" t="inlineStr">
        <is>
          <t>-</t>
        </is>
      </c>
      <c r="AD75" s="44" t="inlineStr">
        <is>
          <t>-</t>
        </is>
      </c>
      <c r="AE75" s="44" t="n">
        <v>0</v>
      </c>
      <c r="AF75" s="45" t="n">
        <v>10</v>
      </c>
      <c r="AG75" s="45" t="n">
        <v>3</v>
      </c>
      <c r="AH75" s="45" t="n">
        <v>424</v>
      </c>
    </row>
    <row r="76" hidden="1" ht="12.75" customHeight="1" s="99">
      <c r="A76" s="56" t="inlineStr">
        <is>
          <t>01446913_IC_Villa_Amaru</t>
        </is>
      </c>
      <c r="B76" s="45">
        <f>_xlfn.XLOOKUP(A76,'RF Parameter'!I:I,'RF Parameter'!A:A)</f>
        <v/>
      </c>
      <c r="C76" s="45">
        <f>_xlfn.XLOOKUP(A76,'RF Parameter'!I:I,'RF Parameter'!E:E)</f>
        <v/>
      </c>
      <c r="D76" s="44">
        <f>_xlfn.XLOOKUP(A76,'RF Parameter'!I:I,'RF Parameter'!K:K)</f>
        <v/>
      </c>
      <c r="E76" s="44">
        <f>_xlfn.XLOOKUP(A76,'RF Parameter'!I:I,'RF Parameter'!AB:AB)</f>
        <v/>
      </c>
      <c r="F76" s="44">
        <f>_xlfn.XLOOKUP(A76,'RF Parameter'!I:I,'RF Parameter'!AA:AA)</f>
        <v/>
      </c>
      <c r="G76" s="44">
        <f>_xlfn.XLOOKUP(A76,'RF Parameter'!I:I,'RF Parameter'!B:B)</f>
        <v/>
      </c>
      <c r="H76" s="45">
        <f>_xlfn.XLOOKUP(A76,'RF Parameter'!I:I,'RF Parameter'!M:M)</f>
        <v/>
      </c>
      <c r="I76" s="45" t="n">
        <v>4</v>
      </c>
      <c r="J76" s="44">
        <f>G76</f>
        <v/>
      </c>
      <c r="K76" s="44" t="inlineStr">
        <is>
          <t>-</t>
        </is>
      </c>
      <c r="L76" s="56" t="n">
        <v>716</v>
      </c>
      <c r="M76" s="56" t="n">
        <v>17</v>
      </c>
      <c r="N76" s="44" t="n">
        <v>4691</v>
      </c>
      <c r="O76" s="44" t="n">
        <v>3</v>
      </c>
      <c r="P76" s="44" t="inlineStr">
        <is>
          <t>20M</t>
        </is>
      </c>
      <c r="Q76" s="45" t="n">
        <v>194</v>
      </c>
      <c r="R76" s="56" t="n">
        <v>903</v>
      </c>
      <c r="S76" s="57" t="n">
        <v>45652</v>
      </c>
      <c r="T76" s="45" t="n">
        <v>2140</v>
      </c>
      <c r="U76" s="45" t="n">
        <v>1740</v>
      </c>
      <c r="V76" s="45" t="n">
        <v>2250</v>
      </c>
      <c r="W76" s="45" t="n">
        <v>20250</v>
      </c>
      <c r="X76" s="44" t="n">
        <v>12.2</v>
      </c>
      <c r="Y76" s="44">
        <f>ROUNDUP((10^((X76+Z76)/10)/1000)*LEFT(P76,2)*5*12,0)</f>
        <v/>
      </c>
      <c r="Z76" s="44" t="n">
        <v>-3</v>
      </c>
      <c r="AA76" s="44" t="n">
        <v>1</v>
      </c>
      <c r="AB76" s="44">
        <f>Y76*I76</f>
        <v/>
      </c>
      <c r="AC76" s="44" t="inlineStr">
        <is>
          <t>-</t>
        </is>
      </c>
      <c r="AD76" s="44" t="inlineStr">
        <is>
          <t>-</t>
        </is>
      </c>
      <c r="AE76" s="44" t="n">
        <v>0</v>
      </c>
      <c r="AF76" s="45" t="n">
        <v>10</v>
      </c>
      <c r="AG76" s="45" t="n">
        <v>3</v>
      </c>
      <c r="AH76" s="45" t="n">
        <v>432</v>
      </c>
    </row>
    <row r="77" hidden="1" ht="12.75" customHeight="1" s="99">
      <c r="A77" s="56" t="inlineStr">
        <is>
          <t>09446911_IC_Villa_Amaru</t>
        </is>
      </c>
      <c r="B77" s="45">
        <f>_xlfn.XLOOKUP(A77,'RF Parameter'!I:I,'RF Parameter'!A:A)</f>
        <v/>
      </c>
      <c r="C77" s="45">
        <f>_xlfn.XLOOKUP(A77,'RF Parameter'!I:I,'RF Parameter'!E:E)</f>
        <v/>
      </c>
      <c r="D77" s="44">
        <f>_xlfn.XLOOKUP(A77,'RF Parameter'!I:I,'RF Parameter'!K:K)</f>
        <v/>
      </c>
      <c r="E77" s="44">
        <f>_xlfn.XLOOKUP(A77,'RF Parameter'!I:I,'RF Parameter'!AB:AB)</f>
        <v/>
      </c>
      <c r="F77" s="44">
        <f>_xlfn.XLOOKUP(A77,'RF Parameter'!I:I,'RF Parameter'!AA:AA)</f>
        <v/>
      </c>
      <c r="G77" s="44">
        <f>_xlfn.XLOOKUP(A77,'RF Parameter'!I:I,'RF Parameter'!B:B)</f>
        <v/>
      </c>
      <c r="H77" s="45">
        <f>_xlfn.XLOOKUP(A77,'RF Parameter'!I:I,'RF Parameter'!M:M)</f>
        <v/>
      </c>
      <c r="I77" s="45" t="n">
        <v>4</v>
      </c>
      <c r="J77" s="44">
        <f>G77</f>
        <v/>
      </c>
      <c r="K77" s="44" t="inlineStr">
        <is>
          <t>-</t>
        </is>
      </c>
      <c r="L77" s="56" t="n">
        <v>716</v>
      </c>
      <c r="M77" s="56" t="n">
        <v>17</v>
      </c>
      <c r="N77" s="44" t="n">
        <v>4691</v>
      </c>
      <c r="O77" s="44" t="n">
        <v>191</v>
      </c>
      <c r="P77" s="44" t="inlineStr">
        <is>
          <t>10M</t>
        </is>
      </c>
      <c r="Q77" s="45" t="n">
        <v>192</v>
      </c>
      <c r="R77" s="56" t="n">
        <v>903</v>
      </c>
      <c r="S77" s="57" t="n">
        <v>45652</v>
      </c>
      <c r="T77" s="45" t="n">
        <v>1968.8</v>
      </c>
      <c r="U77" s="45" t="n">
        <v>1888.8</v>
      </c>
      <c r="V77" s="45" t="n">
        <v>988</v>
      </c>
      <c r="W77" s="45" t="n">
        <v>18988</v>
      </c>
      <c r="X77" s="44" t="n">
        <v>14.2</v>
      </c>
      <c r="Y77" s="44">
        <f>ROUNDUP((10^((X77+Z77)/10)/1000)*LEFT(P77,2)*5*12,0)</f>
        <v/>
      </c>
      <c r="Z77" s="44" t="n">
        <v>-3</v>
      </c>
      <c r="AA77" s="44" t="n">
        <v>1</v>
      </c>
      <c r="AB77" s="44">
        <f>Y77*I77</f>
        <v/>
      </c>
      <c r="AC77" s="44" t="inlineStr">
        <is>
          <t>-</t>
        </is>
      </c>
      <c r="AD77" s="44" t="inlineStr">
        <is>
          <t>-</t>
        </is>
      </c>
      <c r="AE77" s="44" t="n">
        <v>0</v>
      </c>
      <c r="AF77" s="45" t="n">
        <v>10</v>
      </c>
      <c r="AG77" s="45" t="n">
        <v>3</v>
      </c>
      <c r="AH77" s="45" t="n">
        <v>416</v>
      </c>
    </row>
    <row r="78" hidden="1" ht="12.75" customHeight="1" s="99">
      <c r="A78" s="56" t="inlineStr">
        <is>
          <t>09446912_IC_Villa_Amaru</t>
        </is>
      </c>
      <c r="B78" s="45">
        <f>_xlfn.XLOOKUP(A78,'RF Parameter'!I:I,'RF Parameter'!A:A)</f>
        <v/>
      </c>
      <c r="C78" s="45">
        <f>_xlfn.XLOOKUP(A78,'RF Parameter'!I:I,'RF Parameter'!E:E)</f>
        <v/>
      </c>
      <c r="D78" s="44">
        <f>_xlfn.XLOOKUP(A78,'RF Parameter'!I:I,'RF Parameter'!K:K)</f>
        <v/>
      </c>
      <c r="E78" s="44">
        <f>_xlfn.XLOOKUP(A78,'RF Parameter'!I:I,'RF Parameter'!AB:AB)</f>
        <v/>
      </c>
      <c r="F78" s="44">
        <f>_xlfn.XLOOKUP(A78,'RF Parameter'!I:I,'RF Parameter'!AA:AA)</f>
        <v/>
      </c>
      <c r="G78" s="44">
        <f>_xlfn.XLOOKUP(A78,'RF Parameter'!I:I,'RF Parameter'!B:B)</f>
        <v/>
      </c>
      <c r="H78" s="45">
        <f>_xlfn.XLOOKUP(A78,'RF Parameter'!I:I,'RF Parameter'!M:M)</f>
        <v/>
      </c>
      <c r="I78" s="45" t="n">
        <v>4</v>
      </c>
      <c r="J78" s="44">
        <f>G78</f>
        <v/>
      </c>
      <c r="K78" s="44" t="inlineStr">
        <is>
          <t>-</t>
        </is>
      </c>
      <c r="L78" s="56" t="n">
        <v>716</v>
      </c>
      <c r="M78" s="56" t="n">
        <v>17</v>
      </c>
      <c r="N78" s="44" t="n">
        <v>4691</v>
      </c>
      <c r="O78" s="44" t="n">
        <v>192</v>
      </c>
      <c r="P78" s="44" t="inlineStr">
        <is>
          <t>10M</t>
        </is>
      </c>
      <c r="Q78" s="45" t="n">
        <v>193</v>
      </c>
      <c r="R78" s="56" t="n">
        <v>903</v>
      </c>
      <c r="S78" s="57" t="n">
        <v>45652</v>
      </c>
      <c r="T78" s="45" t="n">
        <v>1968.8</v>
      </c>
      <c r="U78" s="45" t="n">
        <v>1888.8</v>
      </c>
      <c r="V78" s="45" t="n">
        <v>988</v>
      </c>
      <c r="W78" s="45" t="n">
        <v>18988</v>
      </c>
      <c r="X78" s="44" t="n">
        <v>13.2</v>
      </c>
      <c r="Y78" s="44">
        <f>ROUNDUP((10^((X78+Z78)/10)/1000)*LEFT(P78,2)*5*12,0)</f>
        <v/>
      </c>
      <c r="Z78" s="44" t="n">
        <v>-3</v>
      </c>
      <c r="AA78" s="44" t="n">
        <v>1</v>
      </c>
      <c r="AB78" s="44">
        <f>Y78*I78</f>
        <v/>
      </c>
      <c r="AC78" s="44" t="inlineStr">
        <is>
          <t>-</t>
        </is>
      </c>
      <c r="AD78" s="44" t="inlineStr">
        <is>
          <t>-</t>
        </is>
      </c>
      <c r="AE78" s="44" t="n">
        <v>0</v>
      </c>
      <c r="AF78" s="45" t="n">
        <v>10</v>
      </c>
      <c r="AG78" s="45" t="n">
        <v>3</v>
      </c>
      <c r="AH78" s="45" t="n">
        <v>424</v>
      </c>
    </row>
    <row r="79" hidden="1" ht="12.75" customHeight="1" s="99">
      <c r="A79" s="56" t="inlineStr">
        <is>
          <t>09446913_IC_Villa_Amaru</t>
        </is>
      </c>
      <c r="B79" s="45">
        <f>_xlfn.XLOOKUP(A79,'RF Parameter'!I:I,'RF Parameter'!A:A)</f>
        <v/>
      </c>
      <c r="C79" s="45">
        <f>_xlfn.XLOOKUP(A79,'RF Parameter'!I:I,'RF Parameter'!E:E)</f>
        <v/>
      </c>
      <c r="D79" s="44">
        <f>_xlfn.XLOOKUP(A79,'RF Parameter'!I:I,'RF Parameter'!K:K)</f>
        <v/>
      </c>
      <c r="E79" s="44">
        <f>_xlfn.XLOOKUP(A79,'RF Parameter'!I:I,'RF Parameter'!AB:AB)</f>
        <v/>
      </c>
      <c r="F79" s="44">
        <f>_xlfn.XLOOKUP(A79,'RF Parameter'!I:I,'RF Parameter'!AA:AA)</f>
        <v/>
      </c>
      <c r="G79" s="44">
        <f>_xlfn.XLOOKUP(A79,'RF Parameter'!I:I,'RF Parameter'!B:B)</f>
        <v/>
      </c>
      <c r="H79" s="45">
        <f>_xlfn.XLOOKUP(A79,'RF Parameter'!I:I,'RF Parameter'!M:M)</f>
        <v/>
      </c>
      <c r="I79" s="45" t="n">
        <v>4</v>
      </c>
      <c r="J79" s="44">
        <f>G79</f>
        <v/>
      </c>
      <c r="K79" s="44" t="inlineStr">
        <is>
          <t>-</t>
        </is>
      </c>
      <c r="L79" s="56" t="n">
        <v>716</v>
      </c>
      <c r="M79" s="56" t="n">
        <v>17</v>
      </c>
      <c r="N79" s="44" t="n">
        <v>4691</v>
      </c>
      <c r="O79" s="44" t="n">
        <v>193</v>
      </c>
      <c r="P79" s="44" t="inlineStr">
        <is>
          <t>10M</t>
        </is>
      </c>
      <c r="Q79" s="45" t="n">
        <v>194</v>
      </c>
      <c r="R79" s="56" t="n">
        <v>903</v>
      </c>
      <c r="S79" s="57" t="n">
        <v>45652</v>
      </c>
      <c r="T79" s="45" t="n">
        <v>1968.8</v>
      </c>
      <c r="U79" s="45" t="n">
        <v>1888.8</v>
      </c>
      <c r="V79" s="45" t="n">
        <v>988</v>
      </c>
      <c r="W79" s="45" t="n">
        <v>18988</v>
      </c>
      <c r="X79" s="44" t="n">
        <v>11.2</v>
      </c>
      <c r="Y79" s="44">
        <f>ROUNDUP((10^((X79+Z79)/10)/1000)*LEFT(P79,2)*5*12,0)</f>
        <v/>
      </c>
      <c r="Z79" s="44" t="n">
        <v>-3</v>
      </c>
      <c r="AA79" s="44" t="n">
        <v>1</v>
      </c>
      <c r="AB79" s="44">
        <f>Y79*I79</f>
        <v/>
      </c>
      <c r="AC79" s="44" t="inlineStr">
        <is>
          <t>-</t>
        </is>
      </c>
      <c r="AD79" s="44" t="inlineStr">
        <is>
          <t>-</t>
        </is>
      </c>
      <c r="AE79" s="44" t="n">
        <v>0</v>
      </c>
      <c r="AF79" s="45" t="n">
        <v>10</v>
      </c>
      <c r="AG79" s="45" t="n">
        <v>3</v>
      </c>
      <c r="AH79" s="45" t="n">
        <v>432</v>
      </c>
    </row>
    <row r="80" ht="12.75" customHeight="1" s="99">
      <c r="A80" s="56" t="inlineStr">
        <is>
          <t>01646911_IC_Villa_Amaru</t>
        </is>
      </c>
      <c r="B80" s="45">
        <f>_xlfn.XLOOKUP(A80,'RF Parameter'!I:I,'RF Parameter'!A:A)</f>
        <v/>
      </c>
      <c r="C80" s="45">
        <f>_xlfn.XLOOKUP(A80,'RF Parameter'!I:I,'RF Parameter'!E:E)</f>
        <v/>
      </c>
      <c r="D80" s="44">
        <f>_xlfn.XLOOKUP(A80,'RF Parameter'!I:I,'RF Parameter'!K:K)</f>
        <v/>
      </c>
      <c r="E80" s="44">
        <f>_xlfn.XLOOKUP(A80,'RF Parameter'!I:I,'RF Parameter'!AB:AB)</f>
        <v/>
      </c>
      <c r="F80" s="44">
        <f>_xlfn.XLOOKUP(A80,'RF Parameter'!I:I,'RF Parameter'!AA:AA)</f>
        <v/>
      </c>
      <c r="G80" s="44">
        <f>_xlfn.XLOOKUP(A80,'RF Parameter'!I:I,'RF Parameter'!B:B)</f>
        <v/>
      </c>
      <c r="H80" s="45">
        <f>_xlfn.XLOOKUP(A80,'RF Parameter'!I:I,'RF Parameter'!M:M)</f>
        <v/>
      </c>
      <c r="I80" s="45" t="n">
        <v>2</v>
      </c>
      <c r="J80" s="44">
        <f>G80</f>
        <v/>
      </c>
      <c r="K80" s="44" t="inlineStr">
        <is>
          <t>-</t>
        </is>
      </c>
      <c r="L80" s="56" t="n">
        <v>716</v>
      </c>
      <c r="M80" s="56" t="n">
        <v>17</v>
      </c>
      <c r="N80" s="44" t="n">
        <v>4691</v>
      </c>
      <c r="O80" s="44" t="n">
        <v>231</v>
      </c>
      <c r="P80" s="44" t="inlineStr">
        <is>
          <t>15M</t>
        </is>
      </c>
      <c r="Q80" s="45" t="n">
        <v>1</v>
      </c>
      <c r="R80" s="56" t="n">
        <v>903</v>
      </c>
      <c r="S80" s="57" t="n">
        <v>45652</v>
      </c>
      <c r="T80" s="56" t="n">
        <v>2367.5</v>
      </c>
      <c r="U80" s="56" t="inlineStr">
        <is>
          <t>-</t>
        </is>
      </c>
      <c r="V80" s="56" t="n">
        <v>39325</v>
      </c>
      <c r="W80" s="45" t="inlineStr">
        <is>
          <t>-</t>
        </is>
      </c>
      <c r="X80" s="44" t="n">
        <v>15.2</v>
      </c>
      <c r="Y80" s="44">
        <f>ROUNDUP((10^((X80+Z80)/10)/1000)*LEFT(P80,2)*5*12,0)</f>
        <v/>
      </c>
      <c r="Z80" s="44" t="n">
        <v>0</v>
      </c>
      <c r="AA80" s="44" t="n">
        <v>1</v>
      </c>
      <c r="AB80" s="44">
        <f>Y80*I80</f>
        <v/>
      </c>
      <c r="AC80" s="44" t="n">
        <v>2</v>
      </c>
      <c r="AD80" s="44" t="n">
        <v>7</v>
      </c>
      <c r="AE80" s="44" t="n">
        <v>0</v>
      </c>
      <c r="AF80" s="45" t="n">
        <v>10</v>
      </c>
      <c r="AG80" s="63" t="n">
        <v>0</v>
      </c>
      <c r="AH80" s="45" t="n">
        <v>60</v>
      </c>
    </row>
    <row r="81" ht="12.75" customHeight="1" s="99">
      <c r="A81" s="56" t="inlineStr">
        <is>
          <t>01646912_IC_Villa_Amaru</t>
        </is>
      </c>
      <c r="B81" s="45">
        <f>_xlfn.XLOOKUP(A81,'RF Parameter'!I:I,'RF Parameter'!A:A)</f>
        <v/>
      </c>
      <c r="C81" s="45">
        <f>_xlfn.XLOOKUP(A81,'RF Parameter'!I:I,'RF Parameter'!E:E)</f>
        <v/>
      </c>
      <c r="D81" s="44">
        <f>_xlfn.XLOOKUP(A81,'RF Parameter'!I:I,'RF Parameter'!K:K)</f>
        <v/>
      </c>
      <c r="E81" s="44">
        <f>_xlfn.XLOOKUP(A81,'RF Parameter'!I:I,'RF Parameter'!AB:AB)</f>
        <v/>
      </c>
      <c r="F81" s="44">
        <f>_xlfn.XLOOKUP(A81,'RF Parameter'!I:I,'RF Parameter'!AA:AA)</f>
        <v/>
      </c>
      <c r="G81" s="44">
        <f>_xlfn.XLOOKUP(A81,'RF Parameter'!I:I,'RF Parameter'!B:B)</f>
        <v/>
      </c>
      <c r="H81" s="45">
        <f>_xlfn.XLOOKUP(A81,'RF Parameter'!I:I,'RF Parameter'!M:M)</f>
        <v/>
      </c>
      <c r="I81" s="45" t="n">
        <v>2</v>
      </c>
      <c r="J81" s="44">
        <f>G81</f>
        <v/>
      </c>
      <c r="K81" s="44" t="inlineStr">
        <is>
          <t>-</t>
        </is>
      </c>
      <c r="L81" s="56" t="n">
        <v>716</v>
      </c>
      <c r="M81" s="56" t="n">
        <v>17</v>
      </c>
      <c r="N81" s="44" t="n">
        <v>4691</v>
      </c>
      <c r="O81" s="44" t="n">
        <v>232</v>
      </c>
      <c r="P81" s="44" t="inlineStr">
        <is>
          <t>15M</t>
        </is>
      </c>
      <c r="Q81" s="45" t="n">
        <v>5</v>
      </c>
      <c r="R81" s="56" t="n">
        <v>903</v>
      </c>
      <c r="S81" s="57" t="n">
        <v>45652</v>
      </c>
      <c r="T81" s="56" t="n">
        <v>2367.5</v>
      </c>
      <c r="U81" s="56" t="inlineStr">
        <is>
          <t>-</t>
        </is>
      </c>
      <c r="V81" s="56" t="n">
        <v>39325</v>
      </c>
      <c r="W81" s="45" t="inlineStr">
        <is>
          <t>-</t>
        </is>
      </c>
      <c r="X81" s="44" t="n">
        <v>15.2</v>
      </c>
      <c r="Y81" s="44">
        <f>ROUNDUP((10^((X81+Z81)/10)/1000)*LEFT(P81,2)*5*12,0)</f>
        <v/>
      </c>
      <c r="Z81" s="44" t="n">
        <v>0</v>
      </c>
      <c r="AA81" s="44" t="n">
        <v>1</v>
      </c>
      <c r="AB81" s="44">
        <f>Y81*I81</f>
        <v/>
      </c>
      <c r="AC81" s="44" t="n">
        <v>2</v>
      </c>
      <c r="AD81" s="44" t="n">
        <v>7</v>
      </c>
      <c r="AE81" s="44" t="n">
        <v>0</v>
      </c>
      <c r="AF81" s="45" t="n">
        <v>10</v>
      </c>
      <c r="AG81" s="63" t="n">
        <v>0</v>
      </c>
      <c r="AH81" s="45" t="n">
        <v>48</v>
      </c>
    </row>
    <row r="82" ht="12.75" customHeight="1" s="99">
      <c r="A82" s="56" t="inlineStr">
        <is>
          <t>01646913_IC_Villa_Amaru</t>
        </is>
      </c>
      <c r="B82" s="45">
        <f>_xlfn.XLOOKUP(A82,'RF Parameter'!I:I,'RF Parameter'!A:A)</f>
        <v/>
      </c>
      <c r="C82" s="45">
        <f>_xlfn.XLOOKUP(A82,'RF Parameter'!I:I,'RF Parameter'!E:E)</f>
        <v/>
      </c>
      <c r="D82" s="44">
        <f>_xlfn.XLOOKUP(A82,'RF Parameter'!I:I,'RF Parameter'!K:K)</f>
        <v/>
      </c>
      <c r="E82" s="44">
        <f>_xlfn.XLOOKUP(A82,'RF Parameter'!I:I,'RF Parameter'!AB:AB)</f>
        <v/>
      </c>
      <c r="F82" s="44">
        <f>_xlfn.XLOOKUP(A82,'RF Parameter'!I:I,'RF Parameter'!AA:AA)</f>
        <v/>
      </c>
      <c r="G82" s="44">
        <f>_xlfn.XLOOKUP(A82,'RF Parameter'!I:I,'RF Parameter'!B:B)</f>
        <v/>
      </c>
      <c r="H82" s="45">
        <f>_xlfn.XLOOKUP(A82,'RF Parameter'!I:I,'RF Parameter'!M:M)</f>
        <v/>
      </c>
      <c r="I82" s="45" t="n">
        <v>2</v>
      </c>
      <c r="J82" s="44">
        <f>G82</f>
        <v/>
      </c>
      <c r="K82" s="44" t="inlineStr">
        <is>
          <t>-</t>
        </is>
      </c>
      <c r="L82" s="56" t="n">
        <v>716</v>
      </c>
      <c r="M82" s="56" t="n">
        <v>17</v>
      </c>
      <c r="N82" s="44" t="n">
        <v>4691</v>
      </c>
      <c r="O82" s="44" t="n">
        <v>233</v>
      </c>
      <c r="P82" s="44" t="inlineStr">
        <is>
          <t>15M</t>
        </is>
      </c>
      <c r="Q82" s="45" t="n">
        <v>0</v>
      </c>
      <c r="R82" s="56" t="n">
        <v>903</v>
      </c>
      <c r="S82" s="57" t="n">
        <v>45652</v>
      </c>
      <c r="T82" s="56" t="n">
        <v>2367.5</v>
      </c>
      <c r="U82" s="56" t="inlineStr">
        <is>
          <t>-</t>
        </is>
      </c>
      <c r="V82" s="56" t="n">
        <v>39325</v>
      </c>
      <c r="W82" s="45" t="inlineStr">
        <is>
          <t>-</t>
        </is>
      </c>
      <c r="X82" s="44" t="n">
        <v>15.2</v>
      </c>
      <c r="Y82" s="44">
        <f>ROUNDUP((10^((X82+Z82)/10)/1000)*LEFT(P82,2)*5*12,0)</f>
        <v/>
      </c>
      <c r="Z82" s="44" t="n">
        <v>0</v>
      </c>
      <c r="AA82" s="44" t="n">
        <v>1</v>
      </c>
      <c r="AB82" s="44">
        <f>Y82*I82</f>
        <v/>
      </c>
      <c r="AC82" s="44" t="n">
        <v>2</v>
      </c>
      <c r="AD82" s="44" t="n">
        <v>7</v>
      </c>
      <c r="AE82" s="44" t="n">
        <v>0</v>
      </c>
      <c r="AF82" s="45" t="n">
        <v>10</v>
      </c>
      <c r="AG82" s="63" t="n">
        <v>0</v>
      </c>
      <c r="AH82" s="45" t="n">
        <v>54</v>
      </c>
    </row>
    <row r="83" ht="12.75" customHeight="1" s="99">
      <c r="A83" s="56" t="inlineStr">
        <is>
          <t>01646916_IC_Villa_Amaru</t>
        </is>
      </c>
      <c r="B83" s="45">
        <f>_xlfn.XLOOKUP(A83,'RF Parameter'!I:I,'RF Parameter'!A:A)</f>
        <v/>
      </c>
      <c r="C83" s="45">
        <f>_xlfn.XLOOKUP(A83,'RF Parameter'!I:I,'RF Parameter'!E:E)</f>
        <v/>
      </c>
      <c r="D83" s="44">
        <f>_xlfn.XLOOKUP(A83,'RF Parameter'!I:I,'RF Parameter'!K:K)</f>
        <v/>
      </c>
      <c r="E83" s="44">
        <f>_xlfn.XLOOKUP(A83,'RF Parameter'!I:I,'RF Parameter'!AB:AB)</f>
        <v/>
      </c>
      <c r="F83" s="44">
        <f>_xlfn.XLOOKUP(A83,'RF Parameter'!I:I,'RF Parameter'!AA:AA)</f>
        <v/>
      </c>
      <c r="G83" s="44">
        <f>_xlfn.XLOOKUP(A83,'RF Parameter'!I:I,'RF Parameter'!B:B)</f>
        <v/>
      </c>
      <c r="H83" s="45">
        <f>_xlfn.XLOOKUP(A83,'RF Parameter'!I:I,'RF Parameter'!M:M)</f>
        <v/>
      </c>
      <c r="I83" s="45" t="n">
        <v>2</v>
      </c>
      <c r="J83" s="44">
        <f>G83</f>
        <v/>
      </c>
      <c r="K83" s="44" t="inlineStr">
        <is>
          <t>-</t>
        </is>
      </c>
      <c r="L83" s="56" t="n">
        <v>716</v>
      </c>
      <c r="M83" s="56" t="n">
        <v>17</v>
      </c>
      <c r="N83" s="44" t="n">
        <v>4691</v>
      </c>
      <c r="O83" s="44" t="n">
        <v>236</v>
      </c>
      <c r="P83" s="44" t="inlineStr">
        <is>
          <t>15M</t>
        </is>
      </c>
      <c r="Q83" s="45" t="n">
        <v>1</v>
      </c>
      <c r="R83" s="56" t="n">
        <v>903</v>
      </c>
      <c r="S83" s="57" t="n">
        <v>45652</v>
      </c>
      <c r="T83" s="56" t="n">
        <v>2382.5</v>
      </c>
      <c r="U83" s="56" t="inlineStr">
        <is>
          <t>-</t>
        </is>
      </c>
      <c r="V83" s="56" t="n">
        <v>39475</v>
      </c>
      <c r="W83" s="45" t="inlineStr">
        <is>
          <t>-</t>
        </is>
      </c>
      <c r="X83" s="44" t="n">
        <v>15.2</v>
      </c>
      <c r="Y83" s="44">
        <f>ROUNDUP((10^((X83+Z83)/10)/1000)*LEFT(P83,2)*5*12,0)</f>
        <v/>
      </c>
      <c r="Z83" s="44" t="n">
        <v>0</v>
      </c>
      <c r="AA83" s="44" t="n">
        <v>1</v>
      </c>
      <c r="AB83" s="44">
        <f>Y83*I83</f>
        <v/>
      </c>
      <c r="AC83" s="44" t="n">
        <v>2</v>
      </c>
      <c r="AD83" s="44" t="n">
        <v>7</v>
      </c>
      <c r="AE83" s="44" t="n">
        <v>0</v>
      </c>
      <c r="AF83" s="45" t="n">
        <v>10</v>
      </c>
      <c r="AG83" s="63" t="n">
        <v>0</v>
      </c>
      <c r="AH83" s="45" t="n">
        <v>60</v>
      </c>
    </row>
    <row r="84" ht="12.75" customHeight="1" s="99">
      <c r="A84" s="56" t="inlineStr">
        <is>
          <t>01646917_IC_Villa_Amaru</t>
        </is>
      </c>
      <c r="B84" s="45">
        <f>_xlfn.XLOOKUP(A84,'RF Parameter'!I:I,'RF Parameter'!A:A)</f>
        <v/>
      </c>
      <c r="C84" s="45">
        <f>_xlfn.XLOOKUP(A84,'RF Parameter'!I:I,'RF Parameter'!E:E)</f>
        <v/>
      </c>
      <c r="D84" s="44">
        <f>_xlfn.XLOOKUP(A84,'RF Parameter'!I:I,'RF Parameter'!K:K)</f>
        <v/>
      </c>
      <c r="E84" s="44">
        <f>_xlfn.XLOOKUP(A84,'RF Parameter'!I:I,'RF Parameter'!AB:AB)</f>
        <v/>
      </c>
      <c r="F84" s="44">
        <f>_xlfn.XLOOKUP(A84,'RF Parameter'!I:I,'RF Parameter'!AA:AA)</f>
        <v/>
      </c>
      <c r="G84" s="44">
        <f>_xlfn.XLOOKUP(A84,'RF Parameter'!I:I,'RF Parameter'!B:B)</f>
        <v/>
      </c>
      <c r="H84" s="45">
        <f>_xlfn.XLOOKUP(A84,'RF Parameter'!I:I,'RF Parameter'!M:M)</f>
        <v/>
      </c>
      <c r="I84" s="45" t="n">
        <v>2</v>
      </c>
      <c r="J84" s="44">
        <f>G84</f>
        <v/>
      </c>
      <c r="K84" s="44" t="inlineStr">
        <is>
          <t>-</t>
        </is>
      </c>
      <c r="L84" s="56" t="n">
        <v>716</v>
      </c>
      <c r="M84" s="56" t="n">
        <v>17</v>
      </c>
      <c r="N84" s="44" t="n">
        <v>4691</v>
      </c>
      <c r="O84" s="44" t="n">
        <v>237</v>
      </c>
      <c r="P84" s="44" t="inlineStr">
        <is>
          <t>15M</t>
        </is>
      </c>
      <c r="Q84" s="45" t="n">
        <v>5</v>
      </c>
      <c r="R84" s="56" t="n">
        <v>903</v>
      </c>
      <c r="S84" s="57" t="n">
        <v>45652</v>
      </c>
      <c r="T84" s="56" t="n">
        <v>2382.5</v>
      </c>
      <c r="U84" s="56" t="inlineStr">
        <is>
          <t>-</t>
        </is>
      </c>
      <c r="V84" s="56" t="n">
        <v>39475</v>
      </c>
      <c r="W84" s="45" t="inlineStr">
        <is>
          <t>-</t>
        </is>
      </c>
      <c r="X84" s="44" t="n">
        <v>15.2</v>
      </c>
      <c r="Y84" s="44">
        <f>ROUNDUP((10^((X84+Z84)/10)/1000)*LEFT(P84,2)*5*12,0)</f>
        <v/>
      </c>
      <c r="Z84" s="44" t="n">
        <v>0</v>
      </c>
      <c r="AA84" s="44" t="n">
        <v>1</v>
      </c>
      <c r="AB84" s="44">
        <f>Y84*I84</f>
        <v/>
      </c>
      <c r="AC84" s="44" t="n">
        <v>2</v>
      </c>
      <c r="AD84" s="44" t="n">
        <v>7</v>
      </c>
      <c r="AE84" s="44" t="n">
        <v>0</v>
      </c>
      <c r="AF84" s="45" t="n">
        <v>10</v>
      </c>
      <c r="AG84" s="63" t="n">
        <v>0</v>
      </c>
      <c r="AH84" s="45" t="n">
        <v>48</v>
      </c>
    </row>
    <row r="85" ht="12.75" customHeight="1" s="99">
      <c r="A85" s="56" t="inlineStr">
        <is>
          <t>01646918_IC_Villa_Amaru</t>
        </is>
      </c>
      <c r="B85" s="45">
        <f>_xlfn.XLOOKUP(A85,'RF Parameter'!I:I,'RF Parameter'!A:A)</f>
        <v/>
      </c>
      <c r="C85" s="45">
        <f>_xlfn.XLOOKUP(A85,'RF Parameter'!I:I,'RF Parameter'!E:E)</f>
        <v/>
      </c>
      <c r="D85" s="44">
        <f>_xlfn.XLOOKUP(A85,'RF Parameter'!I:I,'RF Parameter'!K:K)</f>
        <v/>
      </c>
      <c r="E85" s="44">
        <f>_xlfn.XLOOKUP(A85,'RF Parameter'!I:I,'RF Parameter'!AB:AB)</f>
        <v/>
      </c>
      <c r="F85" s="44">
        <f>_xlfn.XLOOKUP(A85,'RF Parameter'!I:I,'RF Parameter'!AA:AA)</f>
        <v/>
      </c>
      <c r="G85" s="44">
        <f>_xlfn.XLOOKUP(A85,'RF Parameter'!I:I,'RF Parameter'!B:B)</f>
        <v/>
      </c>
      <c r="H85" s="45">
        <f>_xlfn.XLOOKUP(A85,'RF Parameter'!I:I,'RF Parameter'!M:M)</f>
        <v/>
      </c>
      <c r="I85" s="45" t="n">
        <v>2</v>
      </c>
      <c r="J85" s="44">
        <f>G85</f>
        <v/>
      </c>
      <c r="K85" s="44" t="inlineStr">
        <is>
          <t>-</t>
        </is>
      </c>
      <c r="L85" s="56" t="n">
        <v>716</v>
      </c>
      <c r="M85" s="56" t="n">
        <v>17</v>
      </c>
      <c r="N85" s="44" t="n">
        <v>4691</v>
      </c>
      <c r="O85" s="44" t="n">
        <v>238</v>
      </c>
      <c r="P85" s="44" t="inlineStr">
        <is>
          <t>15M</t>
        </is>
      </c>
      <c r="Q85" s="45" t="n">
        <v>0</v>
      </c>
      <c r="R85" s="56" t="n">
        <v>903</v>
      </c>
      <c r="S85" s="57" t="n">
        <v>45652</v>
      </c>
      <c r="T85" s="56" t="n">
        <v>2382.5</v>
      </c>
      <c r="U85" s="56" t="inlineStr">
        <is>
          <t>-</t>
        </is>
      </c>
      <c r="V85" s="56" t="n">
        <v>39475</v>
      </c>
      <c r="W85" s="45" t="inlineStr">
        <is>
          <t>-</t>
        </is>
      </c>
      <c r="X85" s="44" t="n">
        <v>15.2</v>
      </c>
      <c r="Y85" s="44">
        <f>ROUNDUP((10^((X85+Z85)/10)/1000)*LEFT(P85,2)*5*12,0)</f>
        <v/>
      </c>
      <c r="Z85" s="44" t="n">
        <v>0</v>
      </c>
      <c r="AA85" s="44" t="n">
        <v>1</v>
      </c>
      <c r="AB85" s="44">
        <f>Y85*I85</f>
        <v/>
      </c>
      <c r="AC85" s="44" t="n">
        <v>2</v>
      </c>
      <c r="AD85" s="44" t="n">
        <v>7</v>
      </c>
      <c r="AE85" s="44" t="n">
        <v>0</v>
      </c>
      <c r="AF85" s="45" t="n">
        <v>10</v>
      </c>
      <c r="AG85" s="63" t="n">
        <v>0</v>
      </c>
      <c r="AH85" s="45" t="n">
        <v>54</v>
      </c>
    </row>
  </sheetData>
  <autoFilter ref="A1:AH85">
    <filterColumn colId="7" hiddenButton="0" showButton="1">
      <customFilters>
        <customFilter val="2300" operator="equal"/>
      </customFilters>
    </filterColumn>
  </autoFilter>
  <conditionalFormatting sqref="O1">
    <cfRule type="duplicateValues" priority="2" dxfId="0"/>
  </conditionalFormatting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13">
    <outlinePr summaryBelow="1" summaryRight="1"/>
    <pageSetUpPr/>
  </sheetPr>
  <dimension ref="A1:BF5"/>
  <sheetViews>
    <sheetView topLeftCell="M1" zoomScale="85" zoomScaleNormal="85" workbookViewId="0">
      <selection activeCell="B4" sqref="B4"/>
    </sheetView>
  </sheetViews>
  <sheetFormatPr baseColWidth="8" defaultColWidth="9.723809523809519" defaultRowHeight="12" outlineLevelRow="4"/>
  <cols>
    <col width="35.6095238095238" customWidth="1" style="44" min="1" max="1"/>
    <col width="25.1238095238095" customWidth="1" style="45" min="2" max="2"/>
    <col width="9.723809523809519" customWidth="1" style="44" min="3" max="3"/>
    <col width="15.1809523809524" customWidth="1" style="44" min="4" max="4"/>
    <col width="15" customWidth="1" style="44" min="5" max="5"/>
    <col width="27.1619047619048" customWidth="1" style="44" min="6" max="6"/>
    <col width="24.4571428571429" customWidth="1" style="44" min="7" max="7"/>
    <col width="15.2952380952381" customWidth="1" style="44" min="8" max="8"/>
    <col width="15.5047619047619" customWidth="1" style="44" min="9" max="9"/>
    <col width="11.1619047619048" customWidth="1" style="44" min="10" max="10"/>
    <col width="15.0666666666667" customWidth="1" style="45" min="11" max="11"/>
    <col width="16.0380952380952" customWidth="1" style="44" min="12" max="12"/>
    <col width="9.723809523809519" customWidth="1" style="45" min="13" max="15"/>
    <col width="15" customWidth="1" style="45" min="16" max="16"/>
    <col width="11.5428571428571" customWidth="1" style="45" min="17" max="17"/>
    <col width="14.752380952381" customWidth="1" style="44" min="18" max="18"/>
    <col width="20.6380952380952" customWidth="1" style="44" min="19" max="19"/>
    <col width="15.9047619047619" customWidth="1" style="44" min="20" max="20"/>
    <col width="17" customWidth="1" style="44" min="21" max="21"/>
    <col width="16.1809523809524" customWidth="1" style="45" min="22" max="23"/>
    <col width="11.1619047619048" customWidth="1" style="45" min="24" max="24"/>
    <col width="18.2857142857143" customWidth="1" style="45" min="25" max="25"/>
    <col width="9.723809523809519" customWidth="1" style="45" min="26" max="26"/>
    <col width="5.88571428571429" customWidth="1" style="45" min="27" max="58"/>
    <col width="9.723809523809519" customWidth="1" style="45" min="59" max="16384"/>
  </cols>
  <sheetData>
    <row r="1" customFormat="1" s="56">
      <c r="A1" s="32" t="inlineStr">
        <is>
          <t>Cell Name</t>
        </is>
      </c>
      <c r="B1" s="33" t="inlineStr">
        <is>
          <t>Site Name</t>
        </is>
      </c>
      <c r="C1" s="33" t="inlineStr">
        <is>
          <t>Sector ID</t>
        </is>
      </c>
      <c r="D1" s="33" t="inlineStr">
        <is>
          <t>RRU Type</t>
        </is>
      </c>
      <c r="E1" s="33" t="inlineStr">
        <is>
          <t>TX/RX mode</t>
        </is>
      </c>
      <c r="F1" s="33" t="inlineStr">
        <is>
          <t>NE Name</t>
        </is>
      </c>
      <c r="G1" s="34" t="inlineStr">
        <is>
          <t>gNodeB Name</t>
        </is>
      </c>
      <c r="H1" s="34" t="inlineStr">
        <is>
          <t>gNodeB ID</t>
        </is>
      </c>
      <c r="I1" s="32" t="inlineStr">
        <is>
          <t>gNBIdLength</t>
        </is>
      </c>
      <c r="J1" s="32" t="inlineStr">
        <is>
          <t>CI</t>
        </is>
      </c>
      <c r="K1" s="32" t="inlineStr">
        <is>
          <t>Band</t>
        </is>
      </c>
      <c r="L1" s="32" t="inlineStr">
        <is>
          <t>Bandwidth(Mhz)</t>
        </is>
      </c>
      <c r="M1" s="32" t="inlineStr">
        <is>
          <t>MCC</t>
        </is>
      </c>
      <c r="N1" s="32" t="inlineStr">
        <is>
          <t>MNC</t>
        </is>
      </c>
      <c r="O1" s="34" t="inlineStr">
        <is>
          <t>PCI</t>
        </is>
      </c>
      <c r="P1" s="32" t="inlineStr">
        <is>
          <t>Center Frequency</t>
        </is>
      </c>
      <c r="Q1" s="32" t="inlineStr">
        <is>
          <t>ARFCN</t>
        </is>
      </c>
      <c r="R1" s="67" t="inlineStr">
        <is>
          <t>Cell Totally Power(W)</t>
        </is>
      </c>
      <c r="S1" s="68" t="inlineStr">
        <is>
          <t>powerPerRERef（dBm）</t>
        </is>
      </c>
      <c r="T1" s="68" t="inlineStr">
        <is>
          <t>SSSoffset（dB）</t>
        </is>
      </c>
      <c r="U1" s="68" t="inlineStr">
        <is>
          <t>SSB Power(dBm)</t>
        </is>
      </c>
      <c r="V1" s="32" t="inlineStr">
        <is>
          <t>Preamble Format</t>
        </is>
      </c>
      <c r="W1" s="32" t="inlineStr">
        <is>
          <t>Frame Format</t>
        </is>
      </c>
      <c r="X1" s="32" t="inlineStr">
        <is>
          <t>Ncs</t>
        </is>
      </c>
      <c r="Y1" s="32" t="inlineStr">
        <is>
          <t>PrachConfigIndex</t>
        </is>
      </c>
      <c r="Z1" s="34" t="inlineStr">
        <is>
          <t>RSI</t>
        </is>
      </c>
      <c r="AA1" s="62" t="inlineStr">
        <is>
          <t>BeamAzimuth</t>
        </is>
      </c>
      <c r="AI1" s="42" t="inlineStr">
        <is>
          <t>Tilt</t>
        </is>
      </c>
      <c r="AQ1" s="62" t="inlineStr">
        <is>
          <t>HorizontalBeamwidth</t>
        </is>
      </c>
      <c r="AY1" s="43" t="inlineStr">
        <is>
          <t>VerticalBeamwidth</t>
        </is>
      </c>
    </row>
    <row r="2" ht="12.75" customFormat="1" customHeight="1" s="26">
      <c r="AA2" s="41" t="n">
        <v>0</v>
      </c>
      <c r="AB2" s="41" t="n">
        <v>1</v>
      </c>
      <c r="AC2" s="41" t="n">
        <v>2</v>
      </c>
      <c r="AD2" s="41" t="n">
        <v>3</v>
      </c>
      <c r="AE2" s="41" t="n">
        <v>4</v>
      </c>
      <c r="AF2" s="41" t="n">
        <v>5</v>
      </c>
      <c r="AG2" s="41" t="n">
        <v>6</v>
      </c>
      <c r="AH2" s="41" t="n">
        <v>7</v>
      </c>
      <c r="AI2" s="41" t="n">
        <v>0</v>
      </c>
      <c r="AJ2" s="41" t="n">
        <v>1</v>
      </c>
      <c r="AK2" s="41" t="n">
        <v>2</v>
      </c>
      <c r="AL2" s="41" t="n">
        <v>3</v>
      </c>
      <c r="AM2" s="41" t="n">
        <v>4</v>
      </c>
      <c r="AN2" s="41" t="n">
        <v>5</v>
      </c>
      <c r="AO2" s="41" t="n">
        <v>6</v>
      </c>
      <c r="AP2" s="41" t="n">
        <v>7</v>
      </c>
      <c r="AQ2" s="41" t="n">
        <v>0</v>
      </c>
      <c r="AR2" s="41" t="n">
        <v>1</v>
      </c>
      <c r="AS2" s="41" t="n">
        <v>2</v>
      </c>
      <c r="AT2" s="41" t="n">
        <v>3</v>
      </c>
      <c r="AU2" s="41" t="n">
        <v>4</v>
      </c>
      <c r="AV2" s="41" t="n">
        <v>5</v>
      </c>
      <c r="AW2" s="41" t="n">
        <v>6</v>
      </c>
      <c r="AX2" s="41" t="n">
        <v>7</v>
      </c>
      <c r="AY2" s="41" t="n">
        <v>0</v>
      </c>
      <c r="AZ2" s="41" t="n">
        <v>1</v>
      </c>
      <c r="BA2" s="41" t="n">
        <v>2</v>
      </c>
      <c r="BB2" s="41" t="n">
        <v>3</v>
      </c>
      <c r="BC2" s="41" t="n">
        <v>4</v>
      </c>
      <c r="BD2" s="41" t="n">
        <v>5</v>
      </c>
      <c r="BE2" s="41" t="n">
        <v>6</v>
      </c>
      <c r="BF2" s="41" t="n">
        <v>7</v>
      </c>
    </row>
    <row r="3" customFormat="1" s="45">
      <c r="A3" s="35" t="inlineStr">
        <is>
          <t>xxx46821_IC_Clemente_Bajo</t>
        </is>
      </c>
      <c r="B3" s="65">
        <f>_xlfn.XLOOKUP(A3,'RF Parameter'!I:I,'RF Parameter'!A:A)</f>
        <v/>
      </c>
      <c r="C3" s="44">
        <f>_xlfn.XLOOKUP(A3,'RF Parameter'!I:I,'RF Parameter'!K:K)</f>
        <v/>
      </c>
      <c r="D3" s="44">
        <f>_xlfn.XLOOKUP(A3,'RF Parameter'!I:I,'RF Parameter'!AB:AB)</f>
        <v/>
      </c>
      <c r="E3" s="44">
        <f>_xlfn.XLOOKUP(A3,'RF Parameter'!I:I,'RF Parameter'!AA:AA)</f>
        <v/>
      </c>
      <c r="F3" s="44">
        <f>_xlfn.XLOOKUP(A3,'RF Parameter'!I:I,'RF Parameter'!B:B)</f>
        <v/>
      </c>
      <c r="G3" s="44">
        <f>F3</f>
        <v/>
      </c>
      <c r="J3" s="44" t="n">
        <v>51</v>
      </c>
      <c r="K3" s="45" t="inlineStr">
        <is>
          <t>N3500</t>
        </is>
      </c>
      <c r="M3" s="56" t="n">
        <v>716</v>
      </c>
      <c r="N3" s="56" t="n">
        <v>17</v>
      </c>
      <c r="O3" s="44" t="n">
        <v>0</v>
      </c>
      <c r="T3" s="45" t="n">
        <v>0</v>
      </c>
      <c r="U3" s="44" t="n"/>
      <c r="V3" s="44" t="n"/>
      <c r="W3" s="44" t="n"/>
      <c r="X3" s="44" t="n"/>
      <c r="Y3" s="44" t="n"/>
      <c r="Z3" s="44" t="n"/>
    </row>
    <row r="4" customFormat="1" s="45">
      <c r="A4" s="35" t="inlineStr">
        <is>
          <t>xxx46822_IC_Clemente_Bajo</t>
        </is>
      </c>
      <c r="B4" s="65">
        <f>_xlfn.XLOOKUP(A4,'RF Parameter'!I:I,'RF Parameter'!A:A)</f>
        <v/>
      </c>
      <c r="C4" s="44">
        <f>_xlfn.XLOOKUP(A4,'RF Parameter'!I:I,'RF Parameter'!K:K)</f>
        <v/>
      </c>
      <c r="D4" s="44">
        <f>_xlfn.XLOOKUP(A4,'RF Parameter'!I:I,'RF Parameter'!AB:AB)</f>
        <v/>
      </c>
      <c r="E4" s="44">
        <f>_xlfn.XLOOKUP(A4,'RF Parameter'!I:I,'RF Parameter'!AA:AA)</f>
        <v/>
      </c>
      <c r="F4" s="44">
        <f>_xlfn.XLOOKUP(A4,'RF Parameter'!I:I,'RF Parameter'!B:B)</f>
        <v/>
      </c>
      <c r="G4" s="44">
        <f>F4</f>
        <v/>
      </c>
      <c r="J4" s="44" t="n">
        <v>52</v>
      </c>
      <c r="K4" s="45" t="inlineStr">
        <is>
          <t>N3500</t>
        </is>
      </c>
      <c r="M4" s="56" t="n">
        <v>716</v>
      </c>
      <c r="N4" s="56" t="n">
        <v>17</v>
      </c>
      <c r="O4" s="44" t="n">
        <v>1</v>
      </c>
      <c r="T4" s="45" t="n">
        <v>0</v>
      </c>
      <c r="U4" s="44" t="n"/>
      <c r="V4" s="44" t="n"/>
      <c r="W4" s="44" t="n"/>
      <c r="X4" s="44" t="n"/>
      <c r="Y4" s="44" t="n"/>
      <c r="Z4" s="44" t="n"/>
    </row>
    <row r="5" customFormat="1" s="45">
      <c r="A5" s="35" t="inlineStr">
        <is>
          <t>xxx46823_IC_Clemente_Bajo</t>
        </is>
      </c>
      <c r="B5" s="65">
        <f>_xlfn.XLOOKUP(A5,'RF Parameter'!I:I,'RF Parameter'!A:A)</f>
        <v/>
      </c>
      <c r="C5" s="44">
        <f>_xlfn.XLOOKUP(A5,'RF Parameter'!I:I,'RF Parameter'!K:K)</f>
        <v/>
      </c>
      <c r="D5" s="44">
        <f>_xlfn.XLOOKUP(A5,'RF Parameter'!I:I,'RF Parameter'!AB:AB)</f>
        <v/>
      </c>
      <c r="E5" s="44">
        <f>_xlfn.XLOOKUP(A5,'RF Parameter'!I:I,'RF Parameter'!AA:AA)</f>
        <v/>
      </c>
      <c r="F5" s="44">
        <f>_xlfn.XLOOKUP(A5,'RF Parameter'!I:I,'RF Parameter'!B:B)</f>
        <v/>
      </c>
      <c r="G5" s="44">
        <f>F5</f>
        <v/>
      </c>
      <c r="J5" s="44" t="n">
        <v>53</v>
      </c>
      <c r="K5" s="45" t="inlineStr">
        <is>
          <t>N3500</t>
        </is>
      </c>
      <c r="M5" s="56" t="n">
        <v>716</v>
      </c>
      <c r="N5" s="56" t="n">
        <v>17</v>
      </c>
      <c r="O5" s="44" t="n">
        <v>2</v>
      </c>
      <c r="T5" s="45" t="n">
        <v>0</v>
      </c>
      <c r="U5" s="44" t="n"/>
      <c r="V5" s="44" t="n"/>
      <c r="W5" s="44" t="n"/>
      <c r="X5" s="44" t="n"/>
      <c r="Y5" s="44" t="n"/>
      <c r="Z5" s="44" t="n"/>
    </row>
  </sheetData>
  <mergeCells count="30">
    <mergeCell ref="AA1:AH1"/>
    <mergeCell ref="C1:C2"/>
    <mergeCell ref="E1:E2"/>
    <mergeCell ref="K1:K2"/>
    <mergeCell ref="AI1:AP1"/>
    <mergeCell ref="V1:V2"/>
    <mergeCell ref="M1:M2"/>
    <mergeCell ref="O1:O2"/>
    <mergeCell ref="Q1:Q2"/>
    <mergeCell ref="W1:W2"/>
    <mergeCell ref="Y1:Y2"/>
    <mergeCell ref="B1:B2"/>
    <mergeCell ref="L1:L2"/>
    <mergeCell ref="N1:N2"/>
    <mergeCell ref="T1:T2"/>
    <mergeCell ref="X1:X2"/>
    <mergeCell ref="G1:G2"/>
    <mergeCell ref="I1:I2"/>
    <mergeCell ref="Z1:Z2"/>
    <mergeCell ref="AY1:BF1"/>
    <mergeCell ref="A1:A2"/>
    <mergeCell ref="AQ1:AX1"/>
    <mergeCell ref="S1:S2"/>
    <mergeCell ref="U1:U2"/>
    <mergeCell ref="D1:D2"/>
    <mergeCell ref="F1:F2"/>
    <mergeCell ref="H1:H2"/>
    <mergeCell ref="J1:J2"/>
    <mergeCell ref="P1:P2"/>
    <mergeCell ref="R1:R2"/>
  </mergeCells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zoomScale="85" zoomScaleNormal="85" workbookViewId="0">
      <selection activeCell="A1" sqref="A1"/>
    </sheetView>
  </sheetViews>
  <sheetFormatPr baseColWidth="8" defaultColWidth="9.81904761904762" defaultRowHeight="12"/>
  <cols>
    <col width="9.81904761904762" customWidth="1" style="65" min="1" max="16384"/>
  </cols>
  <sheetData/>
  <pageMargins left="0.747916666666667" right="0.747916666666667" top="0.9840277777777779" bottom="0.9840277777777779" header="0.511805555555556" footer="0.511805555555556"/>
  <pageSetup orientation="portrait" paperSize="9" horizontalDpi="600"/>
  <headerFooter alignWithMargins="0">
    <oddHeader>&amp;L&amp;"Times New Roman"&amp;B&amp;G&amp;R内部使用▲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Sheet5">
    <outlinePr summaryBelow="1" summaryRight="1"/>
    <pageSetUpPr/>
  </sheetPr>
  <dimension ref="A1:Y2"/>
  <sheetViews>
    <sheetView zoomScale="85" zoomScaleNormal="85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H110" sqref="H110"/>
    </sheetView>
  </sheetViews>
  <sheetFormatPr baseColWidth="8" defaultColWidth="9.723809523809519" defaultRowHeight="12" outlineLevelRow="1"/>
  <cols>
    <col width="17.2761904761905" customWidth="1" style="65" min="1" max="1"/>
    <col width="12.1809523809524" customWidth="1" style="4" min="2" max="2"/>
    <col width="9.723809523809519" customWidth="1" style="4" min="3" max="3"/>
    <col width="19.9904761904762" customWidth="1" style="4" min="4" max="5"/>
    <col width="9.723809523809519" customWidth="1" style="4" min="6" max="6"/>
    <col width="15" customWidth="1" style="4" min="7" max="7"/>
    <col width="9.723809523809519" customWidth="1" style="65" min="8" max="9"/>
    <col width="29.4095238095238" customWidth="1" style="4" min="10" max="10"/>
    <col width="15.0761904761905" customWidth="1" style="4" min="11" max="11"/>
    <col width="22.247619047619" customWidth="1" style="4" min="12" max="12"/>
    <col width="16.4571428571429" customWidth="1" style="4" min="13" max="13"/>
    <col width="9.723809523809519" customWidth="1" style="65" min="14" max="14"/>
    <col width="20.4190476190476" customWidth="1" style="4" min="15" max="15"/>
    <col width="15" customWidth="1" style="4" min="16" max="16"/>
    <col width="22.2380952380952" customWidth="1" style="4" min="17" max="17"/>
    <col width="15" customWidth="1" style="5" min="18" max="18"/>
    <col width="18.5047619047619" customWidth="1" style="5" min="19" max="19"/>
    <col width="9.723809523809519" customWidth="1" style="5" min="20" max="20"/>
    <col width="9.361904761904761" customWidth="1" style="65" min="21" max="21"/>
    <col width="14.752380952381" customWidth="1" style="4" min="22" max="22"/>
    <col width="18.0761904761905" customWidth="1" style="4" min="23" max="23"/>
    <col width="17.8571428571429" customWidth="1" style="65" min="24" max="24"/>
    <col width="22.8857142857143" customWidth="1" style="65" min="25" max="25"/>
    <col width="9.723809523809519" customWidth="1" style="65" min="26" max="16384"/>
  </cols>
  <sheetData>
    <row r="1" ht="60" customFormat="1" customHeight="1" s="1">
      <c r="A1" s="6" t="inlineStr">
        <is>
          <t>NODO_New</t>
        </is>
      </c>
      <c r="B1" s="10" t="inlineStr">
        <is>
          <t>Cluster</t>
        </is>
      </c>
      <c r="C1" s="8" t="inlineStr">
        <is>
          <t>Sector ID</t>
        </is>
      </c>
      <c r="D1" s="8" t="inlineStr">
        <is>
          <t>Site_Sector</t>
        </is>
      </c>
      <c r="E1" s="8" t="inlineStr">
        <is>
          <t>Sector_Band</t>
        </is>
      </c>
      <c r="F1" s="8" t="inlineStr">
        <is>
          <t>RRU Type</t>
        </is>
      </c>
      <c r="G1" s="9" t="inlineStr">
        <is>
          <t>TX/RX mode</t>
        </is>
      </c>
      <c r="H1" s="10" t="inlineStr">
        <is>
          <t>MCC</t>
        </is>
      </c>
      <c r="I1" s="10" t="inlineStr">
        <is>
          <t>MNC</t>
        </is>
      </c>
      <c r="J1" s="22" t="inlineStr">
        <is>
          <t>eNodeB Name</t>
        </is>
      </c>
      <c r="K1" s="22" t="inlineStr">
        <is>
          <t>eNodeB ID</t>
        </is>
      </c>
      <c r="L1" s="22" t="inlineStr">
        <is>
          <t>Cell Name</t>
        </is>
      </c>
      <c r="M1" s="13" t="inlineStr">
        <is>
          <t>CI</t>
        </is>
      </c>
      <c r="N1" s="14" t="inlineStr">
        <is>
          <t>Frequency band</t>
        </is>
      </c>
      <c r="O1" s="15" t="inlineStr">
        <is>
          <t>operationMode</t>
        </is>
      </c>
      <c r="P1" s="16" t="inlineStr">
        <is>
          <t>Downlink Center Carrier Frequency(Mhz)</t>
        </is>
      </c>
      <c r="Q1" s="16" t="inlineStr">
        <is>
          <t>DLFreqOffset(Khz)</t>
        </is>
      </c>
      <c r="R1" s="16" t="inlineStr">
        <is>
          <t>Uplink Center Carrier Frequency(Mhz)</t>
        </is>
      </c>
      <c r="S1" s="16" t="inlineStr">
        <is>
          <t>ULFreqOffset(Khz)</t>
        </is>
      </c>
      <c r="T1" s="22" t="inlineStr">
        <is>
          <t>PCI</t>
        </is>
      </c>
      <c r="U1" s="22" t="inlineStr">
        <is>
          <t>TAC</t>
        </is>
      </c>
      <c r="V1" s="23" t="inlineStr">
        <is>
          <t>nrs_CRS_PowerOffset(dB)</t>
        </is>
      </c>
      <c r="W1" s="23" t="inlineStr">
        <is>
          <t>NBAssociatedLTECId</t>
        </is>
      </c>
      <c r="X1" s="23" t="inlineStr">
        <is>
          <t>maxCPTransPwr(W)</t>
        </is>
      </c>
      <c r="Y1" s="24" t="inlineStr">
        <is>
          <t>cpSpeRefSigPwr(dBm)</t>
        </is>
      </c>
    </row>
    <row r="2">
      <c r="A2" s="11" t="inlineStr">
        <is>
          <t>NUR_7ZHOL</t>
        </is>
      </c>
      <c r="B2" s="4" t="inlineStr">
        <is>
          <t>GC</t>
        </is>
      </c>
      <c r="C2" s="4" t="n">
        <v>1</v>
      </c>
      <c r="D2" s="4">
        <f>A2&amp;"_"&amp;C2</f>
        <v/>
      </c>
      <c r="E2" s="4">
        <f>D2&amp;"_"&amp;N2</f>
        <v/>
      </c>
      <c r="F2" s="4" t="inlineStr">
        <is>
          <t>R9222</t>
        </is>
      </c>
      <c r="G2" s="4" t="inlineStr">
        <is>
          <t>2T2R</t>
        </is>
      </c>
      <c r="H2" s="1" t="n">
        <v>401</v>
      </c>
      <c r="I2" s="17" t="inlineStr">
        <is>
          <t>01</t>
        </is>
      </c>
      <c r="J2" s="18" t="inlineStr">
        <is>
          <t>NUR_7zhol_nL81821U21</t>
        </is>
      </c>
      <c r="K2" s="4" t="n">
        <v>9318</v>
      </c>
      <c r="L2" s="19" t="inlineStr">
        <is>
          <t>L8_NUR_7zhol_n-10</t>
        </is>
      </c>
      <c r="M2" s="20" t="n">
        <v>225</v>
      </c>
      <c r="N2" s="65" t="inlineStr">
        <is>
          <t>L8</t>
        </is>
      </c>
      <c r="O2" s="21" t="inlineStr">
        <is>
          <t>Guardband</t>
        </is>
      </c>
      <c r="P2" s="5">
        <f>811+9.7</f>
        <v/>
      </c>
      <c r="Q2" s="5" t="n">
        <v>-2.5</v>
      </c>
      <c r="R2" s="5">
        <f>P2+41</f>
        <v/>
      </c>
      <c r="S2" s="5" t="n">
        <v>-10</v>
      </c>
      <c r="T2" s="5" t="n">
        <v>138</v>
      </c>
      <c r="U2" s="65" t="n">
        <v>10999</v>
      </c>
      <c r="W2" s="4" t="n">
        <v>10</v>
      </c>
      <c r="X2" s="5" t="n">
        <v>1.6</v>
      </c>
      <c r="Y2" s="5" t="n">
        <v>21.2</v>
      </c>
    </row>
  </sheetData>
  <autoFilter ref="A1:Y2"/>
  <conditionalFormatting sqref="M1">
    <cfRule type="duplicateValues" priority="1" dxfId="0"/>
  </conditionalFormatting>
  <pageMargins left="0.747916666666667" right="0.747916666666667" top="0.9840277777777779" bottom="0.9840277777777779" header="0.511805555555556" footer="0.511805555555556"/>
  <pageSetup orientation="portrait" paperSize="9"/>
  <headerFooter alignWithMargins="0">
    <oddHeader>&amp;L&amp;"Times New Roman,加粗"&amp;G&amp;R秘密▲</oddHeader>
    <oddFooter>&amp;L&amp;10 &lt;以上所有信息均为中兴通讯股份有限公司所有，不得外传&gt;&amp;R&amp;10 共 &amp;N 页 , 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10114556</dc:creator>
  <dcterms:created xsi:type="dcterms:W3CDTF">2022-02-11T13:19:00Z</dcterms:created>
  <dcterms:modified xsi:type="dcterms:W3CDTF">2026-06-24T03:34:21Z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1033-11.8.2.8426</vt:lpwstr>
  </property>
  <property name="ICV" fmtid="{D5CDD505-2E9C-101B-9397-08002B2CF9AE}" pid="3">
    <vt:lpwstr>29A193BFA1034F25B5849F84F0ACCABE</vt:lpwstr>
  </property>
  <property name="KSOReadingLayout" fmtid="{D5CDD505-2E9C-101B-9397-08002B2CF9AE}" pid="4">
    <vt:bool>1</vt:bool>
  </property>
</Properties>
</file>